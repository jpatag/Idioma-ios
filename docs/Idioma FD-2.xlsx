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irt22a_fsu_edu/Documents/"/>
    </mc:Choice>
  </mc:AlternateContent>
  <xr:revisionPtr revIDLastSave="0" documentId="8_{2E5806B6-8196-4847-BA4B-6CBAAFBC61AF}" xr6:coauthVersionLast="47" xr6:coauthVersionMax="47" xr10:uidLastSave="{00000000-0000-0000-0000-000000000000}"/>
  <bookViews>
    <workbookView xWindow="6620" yWindow="760" windowWidth="28800" windowHeight="17500" firstSheet="2" activeTab="2" xr2:uid="{3E8CF880-B4CA-E846-AC1E-B70054B272CE}"/>
  </bookViews>
  <sheets>
    <sheet name="Phase Planning" sheetId="1" r:id="rId1"/>
    <sheet name="Words" sheetId="2" r:id="rId2"/>
    <sheet name="Sheet3" sheetId="3" r:id="rId3"/>
    <sheet name="Gemini Output" sheetId="4" r:id="rId4"/>
    <sheet name="Cleaning File" sheetId="5" r:id="rId5"/>
    <sheet name="Final output" sheetId="6" r:id="rId6"/>
  </sheets>
  <definedNames>
    <definedName name="_xlnm._FilterDatabase" localSheetId="2" hidden="1">Sheet3!$C$2:$G$1003</definedName>
    <definedName name="_xlnm._FilterDatabase" localSheetId="4" hidden="1">'Cleaning File'!$I$1:$M$912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8" i="5" l="1"/>
  <c r="J911" i="5"/>
  <c r="J3" i="5"/>
  <c r="K3" i="5"/>
  <c r="L3" i="5"/>
  <c r="M3" i="5"/>
  <c r="J4" i="5"/>
  <c r="K4" i="5"/>
  <c r="L4" i="5"/>
  <c r="M4" i="5"/>
  <c r="J5" i="5"/>
  <c r="K5" i="5"/>
  <c r="L5" i="5"/>
  <c r="M5" i="5"/>
  <c r="J6" i="5"/>
  <c r="K6" i="5"/>
  <c r="L6" i="5"/>
  <c r="M6" i="5"/>
  <c r="J7" i="5"/>
  <c r="K7" i="5"/>
  <c r="L7" i="5"/>
  <c r="M7" i="5"/>
  <c r="J8" i="5"/>
  <c r="K8" i="5"/>
  <c r="L8" i="5"/>
  <c r="M8" i="5"/>
  <c r="J9" i="5"/>
  <c r="K9" i="5"/>
  <c r="L9" i="5"/>
  <c r="M9" i="5"/>
  <c r="J10" i="5"/>
  <c r="K10" i="5"/>
  <c r="L10" i="5"/>
  <c r="M10" i="5"/>
  <c r="J11" i="5"/>
  <c r="K11" i="5"/>
  <c r="L11" i="5"/>
  <c r="M11" i="5"/>
  <c r="J12" i="5"/>
  <c r="K12" i="5"/>
  <c r="L12" i="5"/>
  <c r="M12" i="5"/>
  <c r="J13" i="5"/>
  <c r="K13" i="5"/>
  <c r="L13" i="5"/>
  <c r="M13" i="5"/>
  <c r="J14" i="5"/>
  <c r="K14" i="5"/>
  <c r="L14" i="5"/>
  <c r="M14" i="5"/>
  <c r="J15" i="5"/>
  <c r="K15" i="5"/>
  <c r="L15" i="5"/>
  <c r="M15" i="5"/>
  <c r="J16" i="5"/>
  <c r="K16" i="5"/>
  <c r="L16" i="5"/>
  <c r="M16" i="5"/>
  <c r="J17" i="5"/>
  <c r="K17" i="5"/>
  <c r="L17" i="5"/>
  <c r="M17" i="5"/>
  <c r="J18" i="5"/>
  <c r="K18" i="5"/>
  <c r="L18" i="5"/>
  <c r="M18" i="5"/>
  <c r="J19" i="5"/>
  <c r="K19" i="5"/>
  <c r="L19" i="5"/>
  <c r="M19" i="5"/>
  <c r="J20" i="5"/>
  <c r="K20" i="5"/>
  <c r="L20" i="5"/>
  <c r="M20" i="5"/>
  <c r="J21" i="5"/>
  <c r="K21" i="5"/>
  <c r="L21" i="5"/>
  <c r="M21" i="5"/>
  <c r="J22" i="5"/>
  <c r="K22" i="5"/>
  <c r="L22" i="5"/>
  <c r="M22" i="5"/>
  <c r="J23" i="5"/>
  <c r="K23" i="5"/>
  <c r="L23" i="5"/>
  <c r="M23" i="5"/>
  <c r="J24" i="5"/>
  <c r="K24" i="5"/>
  <c r="L24" i="5"/>
  <c r="M24" i="5"/>
  <c r="J25" i="5"/>
  <c r="K25" i="5"/>
  <c r="L25" i="5"/>
  <c r="M25" i="5"/>
  <c r="J26" i="5"/>
  <c r="K26" i="5"/>
  <c r="L26" i="5"/>
  <c r="M26" i="5"/>
  <c r="J27" i="5"/>
  <c r="K27" i="5"/>
  <c r="L27" i="5"/>
  <c r="M27" i="5"/>
  <c r="J28" i="5"/>
  <c r="K28" i="5"/>
  <c r="L28" i="5"/>
  <c r="M28" i="5"/>
  <c r="J29" i="5"/>
  <c r="K29" i="5"/>
  <c r="L29" i="5"/>
  <c r="M29" i="5"/>
  <c r="J30" i="5"/>
  <c r="K30" i="5"/>
  <c r="L30" i="5"/>
  <c r="M30" i="5"/>
  <c r="J31" i="5"/>
  <c r="K31" i="5"/>
  <c r="L31" i="5"/>
  <c r="M31" i="5"/>
  <c r="J32" i="5"/>
  <c r="K32" i="5"/>
  <c r="L32" i="5"/>
  <c r="M32" i="5"/>
  <c r="J33" i="5"/>
  <c r="K33" i="5"/>
  <c r="L33" i="5"/>
  <c r="M33" i="5"/>
  <c r="J34" i="5"/>
  <c r="K34" i="5"/>
  <c r="L34" i="5"/>
  <c r="M34" i="5"/>
  <c r="J35" i="5"/>
  <c r="K35" i="5"/>
  <c r="L35" i="5"/>
  <c r="M35" i="5"/>
  <c r="J36" i="5"/>
  <c r="K36" i="5"/>
  <c r="L36" i="5"/>
  <c r="M36" i="5"/>
  <c r="J37" i="5"/>
  <c r="K37" i="5"/>
  <c r="L37" i="5"/>
  <c r="M37" i="5"/>
  <c r="J38" i="5"/>
  <c r="K38" i="5"/>
  <c r="L38" i="5"/>
  <c r="M38" i="5"/>
  <c r="J39" i="5"/>
  <c r="K39" i="5"/>
  <c r="L39" i="5"/>
  <c r="M39" i="5"/>
  <c r="J40" i="5"/>
  <c r="K40" i="5"/>
  <c r="L40" i="5"/>
  <c r="M40" i="5"/>
  <c r="J41" i="5"/>
  <c r="K41" i="5"/>
  <c r="L41" i="5"/>
  <c r="M41" i="5"/>
  <c r="J42" i="5"/>
  <c r="K42" i="5"/>
  <c r="L42" i="5"/>
  <c r="M42" i="5"/>
  <c r="J43" i="5"/>
  <c r="K43" i="5"/>
  <c r="L43" i="5"/>
  <c r="M43" i="5"/>
  <c r="J44" i="5"/>
  <c r="K44" i="5"/>
  <c r="L44" i="5"/>
  <c r="M44" i="5"/>
  <c r="J45" i="5"/>
  <c r="K45" i="5"/>
  <c r="L45" i="5"/>
  <c r="M45" i="5"/>
  <c r="J46" i="5"/>
  <c r="K46" i="5"/>
  <c r="L46" i="5"/>
  <c r="M46" i="5"/>
  <c r="J47" i="5"/>
  <c r="K47" i="5"/>
  <c r="L47" i="5"/>
  <c r="M47" i="5"/>
  <c r="J48" i="5"/>
  <c r="K48" i="5"/>
  <c r="L48" i="5"/>
  <c r="M48" i="5"/>
  <c r="J49" i="5"/>
  <c r="K49" i="5"/>
  <c r="L49" i="5"/>
  <c r="M49" i="5"/>
  <c r="J50" i="5"/>
  <c r="K50" i="5"/>
  <c r="L50" i="5"/>
  <c r="M50" i="5"/>
  <c r="J51" i="5"/>
  <c r="K51" i="5"/>
  <c r="L51" i="5"/>
  <c r="M51" i="5"/>
  <c r="J52" i="5"/>
  <c r="K52" i="5"/>
  <c r="L52" i="5"/>
  <c r="M52" i="5"/>
  <c r="J53" i="5"/>
  <c r="K53" i="5"/>
  <c r="L53" i="5"/>
  <c r="M53" i="5"/>
  <c r="J54" i="5"/>
  <c r="K54" i="5"/>
  <c r="L54" i="5"/>
  <c r="M54" i="5"/>
  <c r="J55" i="5"/>
  <c r="K55" i="5"/>
  <c r="L55" i="5"/>
  <c r="M55" i="5"/>
  <c r="J56" i="5"/>
  <c r="K56" i="5"/>
  <c r="L56" i="5"/>
  <c r="M56" i="5"/>
  <c r="J57" i="5"/>
  <c r="K57" i="5"/>
  <c r="L57" i="5"/>
  <c r="M57" i="5"/>
  <c r="J58" i="5"/>
  <c r="K58" i="5"/>
  <c r="L58" i="5"/>
  <c r="M58" i="5"/>
  <c r="J59" i="5"/>
  <c r="K59" i="5"/>
  <c r="L59" i="5"/>
  <c r="M59" i="5"/>
  <c r="J60" i="5"/>
  <c r="K60" i="5"/>
  <c r="L60" i="5"/>
  <c r="M60" i="5"/>
  <c r="J61" i="5"/>
  <c r="K61" i="5"/>
  <c r="L61" i="5"/>
  <c r="M61" i="5"/>
  <c r="J62" i="5"/>
  <c r="K62" i="5"/>
  <c r="L62" i="5"/>
  <c r="M62" i="5"/>
  <c r="J63" i="5"/>
  <c r="K63" i="5"/>
  <c r="L63" i="5"/>
  <c r="M63" i="5"/>
  <c r="J64" i="5"/>
  <c r="K64" i="5"/>
  <c r="L64" i="5"/>
  <c r="M64" i="5"/>
  <c r="J65" i="5"/>
  <c r="K65" i="5"/>
  <c r="L65" i="5"/>
  <c r="M65" i="5"/>
  <c r="J66" i="5"/>
  <c r="K66" i="5"/>
  <c r="L66" i="5"/>
  <c r="M66" i="5"/>
  <c r="J67" i="5"/>
  <c r="K67" i="5"/>
  <c r="L67" i="5"/>
  <c r="M67" i="5"/>
  <c r="J68" i="5"/>
  <c r="K68" i="5"/>
  <c r="L68" i="5"/>
  <c r="M68" i="5"/>
  <c r="J69" i="5"/>
  <c r="K69" i="5"/>
  <c r="L69" i="5"/>
  <c r="M69" i="5"/>
  <c r="J70" i="5"/>
  <c r="K70" i="5"/>
  <c r="L70" i="5"/>
  <c r="M70" i="5"/>
  <c r="J71" i="5"/>
  <c r="K71" i="5"/>
  <c r="L71" i="5"/>
  <c r="M71" i="5"/>
  <c r="J72" i="5"/>
  <c r="K72" i="5"/>
  <c r="L72" i="5"/>
  <c r="M72" i="5"/>
  <c r="J73" i="5"/>
  <c r="K73" i="5"/>
  <c r="L73" i="5"/>
  <c r="M73" i="5"/>
  <c r="J74" i="5"/>
  <c r="K74" i="5"/>
  <c r="L74" i="5"/>
  <c r="M74" i="5"/>
  <c r="J75" i="5"/>
  <c r="K75" i="5"/>
  <c r="L75" i="5"/>
  <c r="M75" i="5"/>
  <c r="J76" i="5"/>
  <c r="K76" i="5"/>
  <c r="L76" i="5"/>
  <c r="M76" i="5"/>
  <c r="J77" i="5"/>
  <c r="K77" i="5"/>
  <c r="L77" i="5"/>
  <c r="M77" i="5"/>
  <c r="J78" i="5"/>
  <c r="K78" i="5"/>
  <c r="L78" i="5"/>
  <c r="M78" i="5"/>
  <c r="J79" i="5"/>
  <c r="K79" i="5"/>
  <c r="L79" i="5"/>
  <c r="M79" i="5"/>
  <c r="J80" i="5"/>
  <c r="K80" i="5"/>
  <c r="L80" i="5"/>
  <c r="M80" i="5"/>
  <c r="J81" i="5"/>
  <c r="K81" i="5"/>
  <c r="L81" i="5"/>
  <c r="M81" i="5"/>
  <c r="J82" i="5"/>
  <c r="K82" i="5"/>
  <c r="L82" i="5"/>
  <c r="M82" i="5"/>
  <c r="J83" i="5"/>
  <c r="K83" i="5"/>
  <c r="L83" i="5"/>
  <c r="M83" i="5"/>
  <c r="J84" i="5"/>
  <c r="K84" i="5"/>
  <c r="L84" i="5"/>
  <c r="M84" i="5"/>
  <c r="J85" i="5"/>
  <c r="K85" i="5"/>
  <c r="L85" i="5"/>
  <c r="M85" i="5"/>
  <c r="J86" i="5"/>
  <c r="K86" i="5"/>
  <c r="L86" i="5"/>
  <c r="M86" i="5"/>
  <c r="J87" i="5"/>
  <c r="K87" i="5"/>
  <c r="L87" i="5"/>
  <c r="M87" i="5"/>
  <c r="J88" i="5"/>
  <c r="K88" i="5"/>
  <c r="L88" i="5"/>
  <c r="M88" i="5"/>
  <c r="J89" i="5"/>
  <c r="K89" i="5"/>
  <c r="L89" i="5"/>
  <c r="M89" i="5"/>
  <c r="J90" i="5"/>
  <c r="K90" i="5"/>
  <c r="L90" i="5"/>
  <c r="M90" i="5"/>
  <c r="J91" i="5"/>
  <c r="K91" i="5"/>
  <c r="L91" i="5"/>
  <c r="M91" i="5"/>
  <c r="J92" i="5"/>
  <c r="K92" i="5"/>
  <c r="L92" i="5"/>
  <c r="M92" i="5"/>
  <c r="J93" i="5"/>
  <c r="K93" i="5"/>
  <c r="L93" i="5"/>
  <c r="M93" i="5"/>
  <c r="J94" i="5"/>
  <c r="K94" i="5"/>
  <c r="L94" i="5"/>
  <c r="M94" i="5"/>
  <c r="J95" i="5"/>
  <c r="K95" i="5"/>
  <c r="L95" i="5"/>
  <c r="M95" i="5"/>
  <c r="J96" i="5"/>
  <c r="K96" i="5"/>
  <c r="L96" i="5"/>
  <c r="M96" i="5"/>
  <c r="J97" i="5"/>
  <c r="K97" i="5"/>
  <c r="L97" i="5"/>
  <c r="M97" i="5"/>
  <c r="J98" i="5"/>
  <c r="K98" i="5"/>
  <c r="L98" i="5"/>
  <c r="M98" i="5"/>
  <c r="J99" i="5"/>
  <c r="K99" i="5"/>
  <c r="L99" i="5"/>
  <c r="M99" i="5"/>
  <c r="J100" i="5"/>
  <c r="K100" i="5"/>
  <c r="L100" i="5"/>
  <c r="M100" i="5"/>
  <c r="J101" i="5"/>
  <c r="K101" i="5"/>
  <c r="L101" i="5"/>
  <c r="M101" i="5"/>
  <c r="J102" i="5"/>
  <c r="K102" i="5"/>
  <c r="L102" i="5"/>
  <c r="M102" i="5"/>
  <c r="J103" i="5"/>
  <c r="K103" i="5"/>
  <c r="L103" i="5"/>
  <c r="M103" i="5"/>
  <c r="J104" i="5"/>
  <c r="K104" i="5"/>
  <c r="L104" i="5"/>
  <c r="M104" i="5"/>
  <c r="J105" i="5"/>
  <c r="K105" i="5"/>
  <c r="L105" i="5"/>
  <c r="M105" i="5"/>
  <c r="J106" i="5"/>
  <c r="K106" i="5"/>
  <c r="L106" i="5"/>
  <c r="M106" i="5"/>
  <c r="J107" i="5"/>
  <c r="K107" i="5"/>
  <c r="L107" i="5"/>
  <c r="M107" i="5"/>
  <c r="J108" i="5"/>
  <c r="K108" i="5"/>
  <c r="L108" i="5"/>
  <c r="M108" i="5"/>
  <c r="J109" i="5"/>
  <c r="K109" i="5"/>
  <c r="L109" i="5"/>
  <c r="M109" i="5"/>
  <c r="J110" i="5"/>
  <c r="K110" i="5"/>
  <c r="L110" i="5"/>
  <c r="M110" i="5"/>
  <c r="J111" i="5"/>
  <c r="K111" i="5"/>
  <c r="L111" i="5"/>
  <c r="M111" i="5"/>
  <c r="J112" i="5"/>
  <c r="K112" i="5"/>
  <c r="L112" i="5"/>
  <c r="M112" i="5"/>
  <c r="J113" i="5"/>
  <c r="K113" i="5"/>
  <c r="L113" i="5"/>
  <c r="M113" i="5"/>
  <c r="J114" i="5"/>
  <c r="K114" i="5"/>
  <c r="L114" i="5"/>
  <c r="M114" i="5"/>
  <c r="J115" i="5"/>
  <c r="K115" i="5"/>
  <c r="L115" i="5"/>
  <c r="M115" i="5"/>
  <c r="J116" i="5"/>
  <c r="K116" i="5"/>
  <c r="L116" i="5"/>
  <c r="M116" i="5"/>
  <c r="J117" i="5"/>
  <c r="K117" i="5"/>
  <c r="L117" i="5"/>
  <c r="M117" i="5"/>
  <c r="J118" i="5"/>
  <c r="K118" i="5"/>
  <c r="L118" i="5"/>
  <c r="M118" i="5"/>
  <c r="J119" i="5"/>
  <c r="K119" i="5"/>
  <c r="L119" i="5"/>
  <c r="M119" i="5"/>
  <c r="J120" i="5"/>
  <c r="K120" i="5"/>
  <c r="L120" i="5"/>
  <c r="M120" i="5"/>
  <c r="J121" i="5"/>
  <c r="K121" i="5"/>
  <c r="L121" i="5"/>
  <c r="M121" i="5"/>
  <c r="J122" i="5"/>
  <c r="K122" i="5"/>
  <c r="L122" i="5"/>
  <c r="M122" i="5"/>
  <c r="J123" i="5"/>
  <c r="K123" i="5"/>
  <c r="L123" i="5"/>
  <c r="M123" i="5"/>
  <c r="J124" i="5"/>
  <c r="K124" i="5"/>
  <c r="L124" i="5"/>
  <c r="M124" i="5"/>
  <c r="J125" i="5"/>
  <c r="K125" i="5"/>
  <c r="L125" i="5"/>
  <c r="M125" i="5"/>
  <c r="J126" i="5"/>
  <c r="K126" i="5"/>
  <c r="L126" i="5"/>
  <c r="M126" i="5"/>
  <c r="J127" i="5"/>
  <c r="K127" i="5"/>
  <c r="L127" i="5"/>
  <c r="M127" i="5"/>
  <c r="J128" i="5"/>
  <c r="K128" i="5"/>
  <c r="L128" i="5"/>
  <c r="M128" i="5"/>
  <c r="J129" i="5"/>
  <c r="K129" i="5"/>
  <c r="L129" i="5"/>
  <c r="M129" i="5"/>
  <c r="J130" i="5"/>
  <c r="K130" i="5"/>
  <c r="L130" i="5"/>
  <c r="M130" i="5"/>
  <c r="J131" i="5"/>
  <c r="K131" i="5"/>
  <c r="L131" i="5"/>
  <c r="M131" i="5"/>
  <c r="J132" i="5"/>
  <c r="K132" i="5"/>
  <c r="L132" i="5"/>
  <c r="M132" i="5"/>
  <c r="J133" i="5"/>
  <c r="K133" i="5"/>
  <c r="L133" i="5"/>
  <c r="M133" i="5"/>
  <c r="J134" i="5"/>
  <c r="K134" i="5"/>
  <c r="L134" i="5"/>
  <c r="M134" i="5"/>
  <c r="J135" i="5"/>
  <c r="K135" i="5"/>
  <c r="L135" i="5"/>
  <c r="M135" i="5"/>
  <c r="J136" i="5"/>
  <c r="K136" i="5"/>
  <c r="L136" i="5"/>
  <c r="M136" i="5"/>
  <c r="J137" i="5"/>
  <c r="K137" i="5"/>
  <c r="L137" i="5"/>
  <c r="M137" i="5"/>
  <c r="J138" i="5"/>
  <c r="K138" i="5"/>
  <c r="L138" i="5"/>
  <c r="M138" i="5"/>
  <c r="J139" i="5"/>
  <c r="K139" i="5"/>
  <c r="L139" i="5"/>
  <c r="M139" i="5"/>
  <c r="J140" i="5"/>
  <c r="K140" i="5"/>
  <c r="L140" i="5"/>
  <c r="M140" i="5"/>
  <c r="J141" i="5"/>
  <c r="K141" i="5"/>
  <c r="L141" i="5"/>
  <c r="M141" i="5"/>
  <c r="J142" i="5"/>
  <c r="K142" i="5"/>
  <c r="L142" i="5"/>
  <c r="M142" i="5"/>
  <c r="J143" i="5"/>
  <c r="K143" i="5"/>
  <c r="L143" i="5"/>
  <c r="M143" i="5"/>
  <c r="J144" i="5"/>
  <c r="K144" i="5"/>
  <c r="L144" i="5"/>
  <c r="M144" i="5"/>
  <c r="J145" i="5"/>
  <c r="K145" i="5"/>
  <c r="L145" i="5"/>
  <c r="M145" i="5"/>
  <c r="J146" i="5"/>
  <c r="K146" i="5"/>
  <c r="L146" i="5"/>
  <c r="M146" i="5"/>
  <c r="J147" i="5"/>
  <c r="K147" i="5"/>
  <c r="L147" i="5"/>
  <c r="M147" i="5"/>
  <c r="J148" i="5"/>
  <c r="K148" i="5"/>
  <c r="L148" i="5"/>
  <c r="M148" i="5"/>
  <c r="J149" i="5"/>
  <c r="K149" i="5"/>
  <c r="L149" i="5"/>
  <c r="M149" i="5"/>
  <c r="J150" i="5"/>
  <c r="K150" i="5"/>
  <c r="L150" i="5"/>
  <c r="M150" i="5"/>
  <c r="J151" i="5"/>
  <c r="K151" i="5"/>
  <c r="L151" i="5"/>
  <c r="M151" i="5"/>
  <c r="J152" i="5"/>
  <c r="K152" i="5"/>
  <c r="L152" i="5"/>
  <c r="M152" i="5"/>
  <c r="J153" i="5"/>
  <c r="K153" i="5"/>
  <c r="L153" i="5"/>
  <c r="M153" i="5"/>
  <c r="J154" i="5"/>
  <c r="K154" i="5"/>
  <c r="L154" i="5"/>
  <c r="M154" i="5"/>
  <c r="J155" i="5"/>
  <c r="K155" i="5"/>
  <c r="L155" i="5"/>
  <c r="M155" i="5"/>
  <c r="J156" i="5"/>
  <c r="K156" i="5"/>
  <c r="L156" i="5"/>
  <c r="M156" i="5"/>
  <c r="J157" i="5"/>
  <c r="K157" i="5"/>
  <c r="L157" i="5"/>
  <c r="M157" i="5"/>
  <c r="J158" i="5"/>
  <c r="K158" i="5"/>
  <c r="L158" i="5"/>
  <c r="M158" i="5"/>
  <c r="J159" i="5"/>
  <c r="K159" i="5"/>
  <c r="L159" i="5"/>
  <c r="M159" i="5"/>
  <c r="J160" i="5"/>
  <c r="K160" i="5"/>
  <c r="L160" i="5"/>
  <c r="M160" i="5"/>
  <c r="J161" i="5"/>
  <c r="K161" i="5"/>
  <c r="L161" i="5"/>
  <c r="M161" i="5"/>
  <c r="J162" i="5"/>
  <c r="K162" i="5"/>
  <c r="L162" i="5"/>
  <c r="M162" i="5"/>
  <c r="J163" i="5"/>
  <c r="K163" i="5"/>
  <c r="L163" i="5"/>
  <c r="M163" i="5"/>
  <c r="J164" i="5"/>
  <c r="K164" i="5"/>
  <c r="L164" i="5"/>
  <c r="M164" i="5"/>
  <c r="J165" i="5"/>
  <c r="K165" i="5"/>
  <c r="L165" i="5"/>
  <c r="M165" i="5"/>
  <c r="J166" i="5"/>
  <c r="K166" i="5"/>
  <c r="L166" i="5"/>
  <c r="M166" i="5"/>
  <c r="J167" i="5"/>
  <c r="K167" i="5"/>
  <c r="L167" i="5"/>
  <c r="M167" i="5"/>
  <c r="J168" i="5"/>
  <c r="K168" i="5"/>
  <c r="L168" i="5"/>
  <c r="M168" i="5"/>
  <c r="J169" i="5"/>
  <c r="K169" i="5"/>
  <c r="L169" i="5"/>
  <c r="M169" i="5"/>
  <c r="J170" i="5"/>
  <c r="K170" i="5"/>
  <c r="L170" i="5"/>
  <c r="M170" i="5"/>
  <c r="J171" i="5"/>
  <c r="K171" i="5"/>
  <c r="L171" i="5"/>
  <c r="M171" i="5"/>
  <c r="J172" i="5"/>
  <c r="K172" i="5"/>
  <c r="L172" i="5"/>
  <c r="M172" i="5"/>
  <c r="J173" i="5"/>
  <c r="K173" i="5"/>
  <c r="L173" i="5"/>
  <c r="M173" i="5"/>
  <c r="J174" i="5"/>
  <c r="K174" i="5"/>
  <c r="L174" i="5"/>
  <c r="M174" i="5"/>
  <c r="J175" i="5"/>
  <c r="K175" i="5"/>
  <c r="L175" i="5"/>
  <c r="M175" i="5"/>
  <c r="J176" i="5"/>
  <c r="K176" i="5"/>
  <c r="L176" i="5"/>
  <c r="M176" i="5"/>
  <c r="J177" i="5"/>
  <c r="K177" i="5"/>
  <c r="L177" i="5"/>
  <c r="M177" i="5"/>
  <c r="J178" i="5"/>
  <c r="K178" i="5"/>
  <c r="L178" i="5"/>
  <c r="M178" i="5"/>
  <c r="J179" i="5"/>
  <c r="K179" i="5"/>
  <c r="L179" i="5"/>
  <c r="M179" i="5"/>
  <c r="J180" i="5"/>
  <c r="K180" i="5"/>
  <c r="L180" i="5"/>
  <c r="M180" i="5"/>
  <c r="J181" i="5"/>
  <c r="K181" i="5"/>
  <c r="L181" i="5"/>
  <c r="M181" i="5"/>
  <c r="J182" i="5"/>
  <c r="K182" i="5"/>
  <c r="L182" i="5"/>
  <c r="M182" i="5"/>
  <c r="J183" i="5"/>
  <c r="K183" i="5"/>
  <c r="L183" i="5"/>
  <c r="M183" i="5"/>
  <c r="J184" i="5"/>
  <c r="K184" i="5"/>
  <c r="L184" i="5"/>
  <c r="M184" i="5"/>
  <c r="J185" i="5"/>
  <c r="K185" i="5"/>
  <c r="L185" i="5"/>
  <c r="M185" i="5"/>
  <c r="J186" i="5"/>
  <c r="K186" i="5"/>
  <c r="L186" i="5"/>
  <c r="M186" i="5"/>
  <c r="J187" i="5"/>
  <c r="K187" i="5"/>
  <c r="L187" i="5"/>
  <c r="M187" i="5"/>
  <c r="J188" i="5"/>
  <c r="K188" i="5"/>
  <c r="L188" i="5"/>
  <c r="M188" i="5"/>
  <c r="J189" i="5"/>
  <c r="K189" i="5"/>
  <c r="L189" i="5"/>
  <c r="M189" i="5"/>
  <c r="J190" i="5"/>
  <c r="K190" i="5"/>
  <c r="L190" i="5"/>
  <c r="M190" i="5"/>
  <c r="J191" i="5"/>
  <c r="K191" i="5"/>
  <c r="L191" i="5"/>
  <c r="M191" i="5"/>
  <c r="J192" i="5"/>
  <c r="K192" i="5"/>
  <c r="L192" i="5"/>
  <c r="M192" i="5"/>
  <c r="J193" i="5"/>
  <c r="K193" i="5"/>
  <c r="L193" i="5"/>
  <c r="M193" i="5"/>
  <c r="J194" i="5"/>
  <c r="K194" i="5"/>
  <c r="L194" i="5"/>
  <c r="M194" i="5"/>
  <c r="J195" i="5"/>
  <c r="K195" i="5"/>
  <c r="L195" i="5"/>
  <c r="M195" i="5"/>
  <c r="J196" i="5"/>
  <c r="K196" i="5"/>
  <c r="L196" i="5"/>
  <c r="M196" i="5"/>
  <c r="J197" i="5"/>
  <c r="K197" i="5"/>
  <c r="L197" i="5"/>
  <c r="M197" i="5"/>
  <c r="J198" i="5"/>
  <c r="K198" i="5"/>
  <c r="L198" i="5"/>
  <c r="M198" i="5"/>
  <c r="J199" i="5"/>
  <c r="K199" i="5"/>
  <c r="L199" i="5"/>
  <c r="M199" i="5"/>
  <c r="J200" i="5"/>
  <c r="K200" i="5"/>
  <c r="L200" i="5"/>
  <c r="M200" i="5"/>
  <c r="J201" i="5"/>
  <c r="K201" i="5"/>
  <c r="L201" i="5"/>
  <c r="M201" i="5"/>
  <c r="J202" i="5"/>
  <c r="K202" i="5"/>
  <c r="L202" i="5"/>
  <c r="M202" i="5"/>
  <c r="J203" i="5"/>
  <c r="K203" i="5"/>
  <c r="L203" i="5"/>
  <c r="M203" i="5"/>
  <c r="J204" i="5"/>
  <c r="K204" i="5"/>
  <c r="L204" i="5"/>
  <c r="M204" i="5"/>
  <c r="J205" i="5"/>
  <c r="K205" i="5"/>
  <c r="L205" i="5"/>
  <c r="M205" i="5"/>
  <c r="J206" i="5"/>
  <c r="K206" i="5"/>
  <c r="L206" i="5"/>
  <c r="M206" i="5"/>
  <c r="J207" i="5"/>
  <c r="K207" i="5"/>
  <c r="L207" i="5"/>
  <c r="M207" i="5"/>
  <c r="J208" i="5"/>
  <c r="K208" i="5"/>
  <c r="L208" i="5"/>
  <c r="M208" i="5"/>
  <c r="J209" i="5"/>
  <c r="K209" i="5"/>
  <c r="L209" i="5"/>
  <c r="M209" i="5"/>
  <c r="J210" i="5"/>
  <c r="K210" i="5"/>
  <c r="L210" i="5"/>
  <c r="M210" i="5"/>
  <c r="J211" i="5"/>
  <c r="K211" i="5"/>
  <c r="L211" i="5"/>
  <c r="M211" i="5"/>
  <c r="J212" i="5"/>
  <c r="K212" i="5"/>
  <c r="L212" i="5"/>
  <c r="M212" i="5"/>
  <c r="J213" i="5"/>
  <c r="K213" i="5"/>
  <c r="L213" i="5"/>
  <c r="M213" i="5"/>
  <c r="J214" i="5"/>
  <c r="K214" i="5"/>
  <c r="L214" i="5"/>
  <c r="M214" i="5"/>
  <c r="J215" i="5"/>
  <c r="K215" i="5"/>
  <c r="L215" i="5"/>
  <c r="M215" i="5"/>
  <c r="J216" i="5"/>
  <c r="K216" i="5"/>
  <c r="L216" i="5"/>
  <c r="M216" i="5"/>
  <c r="J217" i="5"/>
  <c r="K217" i="5"/>
  <c r="L217" i="5"/>
  <c r="M217" i="5"/>
  <c r="J218" i="5"/>
  <c r="K218" i="5"/>
  <c r="L218" i="5"/>
  <c r="M218" i="5"/>
  <c r="J219" i="5"/>
  <c r="K219" i="5"/>
  <c r="L219" i="5"/>
  <c r="M219" i="5"/>
  <c r="J220" i="5"/>
  <c r="K220" i="5"/>
  <c r="L220" i="5"/>
  <c r="M220" i="5"/>
  <c r="J221" i="5"/>
  <c r="K221" i="5"/>
  <c r="L221" i="5"/>
  <c r="M221" i="5"/>
  <c r="J222" i="5"/>
  <c r="K222" i="5"/>
  <c r="L222" i="5"/>
  <c r="M222" i="5"/>
  <c r="J223" i="5"/>
  <c r="K223" i="5"/>
  <c r="L223" i="5"/>
  <c r="M223" i="5"/>
  <c r="J224" i="5"/>
  <c r="K224" i="5"/>
  <c r="L224" i="5"/>
  <c r="M224" i="5"/>
  <c r="J225" i="5"/>
  <c r="K225" i="5"/>
  <c r="L225" i="5"/>
  <c r="M225" i="5"/>
  <c r="J226" i="5"/>
  <c r="K226" i="5"/>
  <c r="L226" i="5"/>
  <c r="M226" i="5"/>
  <c r="J227" i="5"/>
  <c r="K227" i="5"/>
  <c r="L227" i="5"/>
  <c r="M227" i="5"/>
  <c r="J228" i="5"/>
  <c r="K228" i="5"/>
  <c r="L228" i="5"/>
  <c r="M228" i="5"/>
  <c r="J229" i="5"/>
  <c r="K229" i="5"/>
  <c r="L229" i="5"/>
  <c r="M229" i="5"/>
  <c r="J230" i="5"/>
  <c r="K230" i="5"/>
  <c r="L230" i="5"/>
  <c r="M230" i="5"/>
  <c r="J231" i="5"/>
  <c r="K231" i="5"/>
  <c r="L231" i="5"/>
  <c r="M231" i="5"/>
  <c r="J232" i="5"/>
  <c r="K232" i="5"/>
  <c r="L232" i="5"/>
  <c r="M232" i="5"/>
  <c r="J233" i="5"/>
  <c r="K233" i="5"/>
  <c r="L233" i="5"/>
  <c r="M233" i="5"/>
  <c r="J234" i="5"/>
  <c r="K234" i="5"/>
  <c r="L234" i="5"/>
  <c r="M234" i="5"/>
  <c r="J235" i="5"/>
  <c r="K235" i="5"/>
  <c r="L235" i="5"/>
  <c r="M235" i="5"/>
  <c r="J236" i="5"/>
  <c r="K236" i="5"/>
  <c r="L236" i="5"/>
  <c r="M236" i="5"/>
  <c r="J237" i="5"/>
  <c r="K237" i="5"/>
  <c r="L237" i="5"/>
  <c r="M237" i="5"/>
  <c r="J238" i="5"/>
  <c r="K238" i="5"/>
  <c r="L238" i="5"/>
  <c r="M238" i="5"/>
  <c r="J239" i="5"/>
  <c r="K239" i="5"/>
  <c r="L239" i="5"/>
  <c r="M239" i="5"/>
  <c r="J240" i="5"/>
  <c r="K240" i="5"/>
  <c r="L240" i="5"/>
  <c r="M240" i="5"/>
  <c r="J241" i="5"/>
  <c r="K241" i="5"/>
  <c r="L241" i="5"/>
  <c r="M241" i="5"/>
  <c r="J242" i="5"/>
  <c r="K242" i="5"/>
  <c r="L242" i="5"/>
  <c r="M242" i="5"/>
  <c r="J243" i="5"/>
  <c r="K243" i="5"/>
  <c r="L243" i="5"/>
  <c r="M243" i="5"/>
  <c r="J244" i="5"/>
  <c r="K244" i="5"/>
  <c r="L244" i="5"/>
  <c r="M244" i="5"/>
  <c r="J245" i="5"/>
  <c r="K245" i="5"/>
  <c r="L245" i="5"/>
  <c r="M245" i="5"/>
  <c r="J246" i="5"/>
  <c r="K246" i="5"/>
  <c r="L246" i="5"/>
  <c r="M246" i="5"/>
  <c r="J247" i="5"/>
  <c r="K247" i="5"/>
  <c r="L247" i="5"/>
  <c r="M247" i="5"/>
  <c r="J248" i="5"/>
  <c r="K248" i="5"/>
  <c r="L248" i="5"/>
  <c r="M248" i="5"/>
  <c r="J249" i="5"/>
  <c r="K249" i="5"/>
  <c r="L249" i="5"/>
  <c r="M249" i="5"/>
  <c r="J250" i="5"/>
  <c r="K250" i="5"/>
  <c r="L250" i="5"/>
  <c r="M250" i="5"/>
  <c r="J251" i="5"/>
  <c r="K251" i="5"/>
  <c r="L251" i="5"/>
  <c r="M251" i="5"/>
  <c r="J252" i="5"/>
  <c r="K252" i="5"/>
  <c r="L252" i="5"/>
  <c r="M252" i="5"/>
  <c r="J253" i="5"/>
  <c r="K253" i="5"/>
  <c r="L253" i="5"/>
  <c r="M253" i="5"/>
  <c r="J254" i="5"/>
  <c r="K254" i="5"/>
  <c r="L254" i="5"/>
  <c r="M254" i="5"/>
  <c r="J255" i="5"/>
  <c r="K255" i="5"/>
  <c r="L255" i="5"/>
  <c r="M255" i="5"/>
  <c r="J256" i="5"/>
  <c r="K256" i="5"/>
  <c r="L256" i="5"/>
  <c r="M256" i="5"/>
  <c r="J257" i="5"/>
  <c r="K257" i="5"/>
  <c r="L257" i="5"/>
  <c r="M257" i="5"/>
  <c r="J258" i="5"/>
  <c r="K258" i="5"/>
  <c r="L258" i="5"/>
  <c r="M258" i="5"/>
  <c r="J259" i="5"/>
  <c r="K259" i="5"/>
  <c r="L259" i="5"/>
  <c r="M259" i="5"/>
  <c r="J260" i="5"/>
  <c r="K260" i="5"/>
  <c r="L260" i="5"/>
  <c r="M260" i="5"/>
  <c r="J261" i="5"/>
  <c r="K261" i="5"/>
  <c r="L261" i="5"/>
  <c r="M261" i="5"/>
  <c r="J262" i="5"/>
  <c r="K262" i="5"/>
  <c r="L262" i="5"/>
  <c r="M262" i="5"/>
  <c r="J263" i="5"/>
  <c r="K263" i="5"/>
  <c r="L263" i="5"/>
  <c r="M263" i="5"/>
  <c r="J264" i="5"/>
  <c r="K264" i="5"/>
  <c r="L264" i="5"/>
  <c r="M264" i="5"/>
  <c r="J265" i="5"/>
  <c r="K265" i="5"/>
  <c r="L265" i="5"/>
  <c r="M265" i="5"/>
  <c r="J266" i="5"/>
  <c r="K266" i="5"/>
  <c r="L266" i="5"/>
  <c r="M266" i="5"/>
  <c r="J267" i="5"/>
  <c r="K267" i="5"/>
  <c r="L267" i="5"/>
  <c r="M267" i="5"/>
  <c r="J268" i="5"/>
  <c r="K268" i="5"/>
  <c r="L268" i="5"/>
  <c r="M268" i="5"/>
  <c r="J269" i="5"/>
  <c r="K269" i="5"/>
  <c r="L269" i="5"/>
  <c r="M269" i="5"/>
  <c r="J270" i="5"/>
  <c r="K270" i="5"/>
  <c r="L270" i="5"/>
  <c r="M270" i="5"/>
  <c r="J271" i="5"/>
  <c r="K271" i="5"/>
  <c r="L271" i="5"/>
  <c r="M271" i="5"/>
  <c r="J272" i="5"/>
  <c r="K272" i="5"/>
  <c r="L272" i="5"/>
  <c r="M272" i="5"/>
  <c r="J273" i="5"/>
  <c r="K273" i="5"/>
  <c r="L273" i="5"/>
  <c r="M273" i="5"/>
  <c r="J274" i="5"/>
  <c r="K274" i="5"/>
  <c r="L274" i="5"/>
  <c r="M274" i="5"/>
  <c r="J275" i="5"/>
  <c r="K275" i="5"/>
  <c r="L275" i="5"/>
  <c r="M275" i="5"/>
  <c r="J276" i="5"/>
  <c r="K276" i="5"/>
  <c r="L276" i="5"/>
  <c r="M276" i="5"/>
  <c r="J277" i="5"/>
  <c r="K277" i="5"/>
  <c r="L277" i="5"/>
  <c r="M277" i="5"/>
  <c r="J278" i="5"/>
  <c r="K278" i="5"/>
  <c r="L278" i="5"/>
  <c r="M278" i="5"/>
  <c r="J279" i="5"/>
  <c r="K279" i="5"/>
  <c r="L279" i="5"/>
  <c r="M279" i="5"/>
  <c r="J280" i="5"/>
  <c r="K280" i="5"/>
  <c r="L280" i="5"/>
  <c r="M280" i="5"/>
  <c r="J281" i="5"/>
  <c r="K281" i="5"/>
  <c r="L281" i="5"/>
  <c r="M281" i="5"/>
  <c r="J282" i="5"/>
  <c r="K282" i="5"/>
  <c r="L282" i="5"/>
  <c r="M282" i="5"/>
  <c r="J283" i="5"/>
  <c r="K283" i="5"/>
  <c r="L283" i="5"/>
  <c r="M283" i="5"/>
  <c r="J284" i="5"/>
  <c r="K284" i="5"/>
  <c r="L284" i="5"/>
  <c r="M284" i="5"/>
  <c r="J285" i="5"/>
  <c r="K285" i="5"/>
  <c r="L285" i="5"/>
  <c r="M285" i="5"/>
  <c r="J286" i="5"/>
  <c r="K286" i="5"/>
  <c r="L286" i="5"/>
  <c r="M286" i="5"/>
  <c r="J287" i="5"/>
  <c r="K287" i="5"/>
  <c r="L287" i="5"/>
  <c r="M287" i="5"/>
  <c r="J288" i="5"/>
  <c r="K288" i="5"/>
  <c r="L288" i="5"/>
  <c r="M288" i="5"/>
  <c r="J289" i="5"/>
  <c r="K289" i="5"/>
  <c r="L289" i="5"/>
  <c r="M289" i="5"/>
  <c r="J290" i="5"/>
  <c r="K290" i="5"/>
  <c r="L290" i="5"/>
  <c r="M290" i="5"/>
  <c r="J291" i="5"/>
  <c r="K291" i="5"/>
  <c r="L291" i="5"/>
  <c r="M291" i="5"/>
  <c r="J292" i="5"/>
  <c r="K292" i="5"/>
  <c r="L292" i="5"/>
  <c r="M292" i="5"/>
  <c r="J293" i="5"/>
  <c r="K293" i="5"/>
  <c r="L293" i="5"/>
  <c r="M293" i="5"/>
  <c r="J294" i="5"/>
  <c r="K294" i="5"/>
  <c r="L294" i="5"/>
  <c r="M294" i="5"/>
  <c r="J295" i="5"/>
  <c r="K295" i="5"/>
  <c r="L295" i="5"/>
  <c r="M295" i="5"/>
  <c r="J296" i="5"/>
  <c r="K296" i="5"/>
  <c r="L296" i="5"/>
  <c r="M296" i="5"/>
  <c r="J297" i="5"/>
  <c r="K297" i="5"/>
  <c r="L297" i="5"/>
  <c r="M297" i="5"/>
  <c r="J298" i="5"/>
  <c r="K298" i="5"/>
  <c r="L298" i="5"/>
  <c r="M298" i="5"/>
  <c r="J299" i="5"/>
  <c r="K299" i="5"/>
  <c r="L299" i="5"/>
  <c r="M299" i="5"/>
  <c r="J300" i="5"/>
  <c r="K300" i="5"/>
  <c r="L300" i="5"/>
  <c r="M300" i="5"/>
  <c r="J301" i="5"/>
  <c r="K301" i="5"/>
  <c r="L301" i="5"/>
  <c r="M301" i="5"/>
  <c r="J302" i="5"/>
  <c r="K302" i="5"/>
  <c r="L302" i="5"/>
  <c r="M302" i="5"/>
  <c r="J303" i="5"/>
  <c r="K303" i="5"/>
  <c r="L303" i="5"/>
  <c r="M303" i="5"/>
  <c r="J304" i="5"/>
  <c r="K304" i="5"/>
  <c r="L304" i="5"/>
  <c r="M304" i="5"/>
  <c r="J305" i="5"/>
  <c r="K305" i="5"/>
  <c r="L305" i="5"/>
  <c r="M305" i="5"/>
  <c r="J306" i="5"/>
  <c r="K306" i="5"/>
  <c r="L306" i="5"/>
  <c r="M306" i="5"/>
  <c r="J307" i="5"/>
  <c r="K307" i="5"/>
  <c r="L307" i="5"/>
  <c r="M307" i="5"/>
  <c r="J308" i="5"/>
  <c r="K308" i="5"/>
  <c r="L308" i="5"/>
  <c r="M308" i="5"/>
  <c r="J309" i="5"/>
  <c r="K309" i="5"/>
  <c r="L309" i="5"/>
  <c r="M309" i="5"/>
  <c r="J310" i="5"/>
  <c r="K310" i="5"/>
  <c r="L310" i="5"/>
  <c r="M310" i="5"/>
  <c r="J311" i="5"/>
  <c r="K311" i="5"/>
  <c r="L311" i="5"/>
  <c r="M311" i="5"/>
  <c r="J312" i="5"/>
  <c r="K312" i="5"/>
  <c r="L312" i="5"/>
  <c r="M312" i="5"/>
  <c r="J313" i="5"/>
  <c r="K313" i="5"/>
  <c r="L313" i="5"/>
  <c r="M313" i="5"/>
  <c r="J314" i="5"/>
  <c r="K314" i="5"/>
  <c r="L314" i="5"/>
  <c r="M314" i="5"/>
  <c r="J315" i="5"/>
  <c r="K315" i="5"/>
  <c r="L315" i="5"/>
  <c r="M315" i="5"/>
  <c r="J316" i="5"/>
  <c r="K316" i="5"/>
  <c r="L316" i="5"/>
  <c r="M316" i="5"/>
  <c r="J317" i="5"/>
  <c r="K317" i="5"/>
  <c r="L317" i="5"/>
  <c r="M317" i="5"/>
  <c r="J318" i="5"/>
  <c r="K318" i="5"/>
  <c r="L318" i="5"/>
  <c r="M318" i="5"/>
  <c r="J319" i="5"/>
  <c r="K319" i="5"/>
  <c r="L319" i="5"/>
  <c r="M319" i="5"/>
  <c r="J320" i="5"/>
  <c r="K320" i="5"/>
  <c r="L320" i="5"/>
  <c r="M320" i="5"/>
  <c r="J321" i="5"/>
  <c r="K321" i="5"/>
  <c r="L321" i="5"/>
  <c r="M321" i="5"/>
  <c r="J322" i="5"/>
  <c r="K322" i="5"/>
  <c r="L322" i="5"/>
  <c r="M322" i="5"/>
  <c r="J323" i="5"/>
  <c r="K323" i="5"/>
  <c r="L323" i="5"/>
  <c r="M323" i="5"/>
  <c r="J324" i="5"/>
  <c r="K324" i="5"/>
  <c r="L324" i="5"/>
  <c r="M324" i="5"/>
  <c r="J325" i="5"/>
  <c r="K325" i="5"/>
  <c r="L325" i="5"/>
  <c r="M325" i="5"/>
  <c r="J326" i="5"/>
  <c r="K326" i="5"/>
  <c r="L326" i="5"/>
  <c r="M326" i="5"/>
  <c r="J327" i="5"/>
  <c r="K327" i="5"/>
  <c r="L327" i="5"/>
  <c r="M327" i="5"/>
  <c r="J328" i="5"/>
  <c r="K328" i="5"/>
  <c r="L328" i="5"/>
  <c r="M328" i="5"/>
  <c r="J329" i="5"/>
  <c r="K329" i="5"/>
  <c r="L329" i="5"/>
  <c r="M329" i="5"/>
  <c r="J330" i="5"/>
  <c r="K330" i="5"/>
  <c r="L330" i="5"/>
  <c r="M330" i="5"/>
  <c r="J331" i="5"/>
  <c r="K331" i="5"/>
  <c r="L331" i="5"/>
  <c r="M331" i="5"/>
  <c r="J332" i="5"/>
  <c r="K332" i="5"/>
  <c r="L332" i="5"/>
  <c r="M332" i="5"/>
  <c r="J333" i="5"/>
  <c r="K333" i="5"/>
  <c r="L333" i="5"/>
  <c r="M333" i="5"/>
  <c r="J334" i="5"/>
  <c r="K334" i="5"/>
  <c r="L334" i="5"/>
  <c r="M334" i="5"/>
  <c r="J335" i="5"/>
  <c r="K335" i="5"/>
  <c r="L335" i="5"/>
  <c r="M335" i="5"/>
  <c r="J336" i="5"/>
  <c r="K336" i="5"/>
  <c r="L336" i="5"/>
  <c r="M336" i="5"/>
  <c r="J337" i="5"/>
  <c r="K337" i="5"/>
  <c r="L337" i="5"/>
  <c r="M337" i="5"/>
  <c r="J338" i="5"/>
  <c r="K338" i="5"/>
  <c r="L338" i="5"/>
  <c r="M338" i="5"/>
  <c r="J339" i="5"/>
  <c r="K339" i="5"/>
  <c r="L339" i="5"/>
  <c r="M339" i="5"/>
  <c r="J340" i="5"/>
  <c r="K340" i="5"/>
  <c r="L340" i="5"/>
  <c r="M340" i="5"/>
  <c r="J341" i="5"/>
  <c r="K341" i="5"/>
  <c r="L341" i="5"/>
  <c r="M341" i="5"/>
  <c r="J342" i="5"/>
  <c r="K342" i="5"/>
  <c r="L342" i="5"/>
  <c r="M342" i="5"/>
  <c r="J343" i="5"/>
  <c r="K343" i="5"/>
  <c r="L343" i="5"/>
  <c r="M343" i="5"/>
  <c r="J344" i="5"/>
  <c r="K344" i="5"/>
  <c r="L344" i="5"/>
  <c r="M344" i="5"/>
  <c r="J345" i="5"/>
  <c r="K345" i="5"/>
  <c r="L345" i="5"/>
  <c r="M345" i="5"/>
  <c r="J346" i="5"/>
  <c r="K346" i="5"/>
  <c r="L346" i="5"/>
  <c r="M346" i="5"/>
  <c r="J347" i="5"/>
  <c r="K347" i="5"/>
  <c r="L347" i="5"/>
  <c r="M347" i="5"/>
  <c r="J348" i="5"/>
  <c r="K348" i="5"/>
  <c r="L348" i="5"/>
  <c r="M348" i="5"/>
  <c r="J349" i="5"/>
  <c r="K349" i="5"/>
  <c r="L349" i="5"/>
  <c r="M349" i="5"/>
  <c r="J350" i="5"/>
  <c r="K350" i="5"/>
  <c r="L350" i="5"/>
  <c r="M350" i="5"/>
  <c r="J351" i="5"/>
  <c r="K351" i="5"/>
  <c r="L351" i="5"/>
  <c r="M351" i="5"/>
  <c r="J352" i="5"/>
  <c r="K352" i="5"/>
  <c r="L352" i="5"/>
  <c r="M352" i="5"/>
  <c r="J353" i="5"/>
  <c r="K353" i="5"/>
  <c r="L353" i="5"/>
  <c r="M353" i="5"/>
  <c r="J354" i="5"/>
  <c r="K354" i="5"/>
  <c r="L354" i="5"/>
  <c r="M354" i="5"/>
  <c r="J355" i="5"/>
  <c r="K355" i="5"/>
  <c r="L355" i="5"/>
  <c r="M355" i="5"/>
  <c r="J356" i="5"/>
  <c r="K356" i="5"/>
  <c r="L356" i="5"/>
  <c r="M356" i="5"/>
  <c r="J357" i="5"/>
  <c r="K357" i="5"/>
  <c r="L357" i="5"/>
  <c r="M357" i="5"/>
  <c r="J358" i="5"/>
  <c r="K358" i="5"/>
  <c r="L358" i="5"/>
  <c r="M358" i="5"/>
  <c r="J359" i="5"/>
  <c r="K359" i="5"/>
  <c r="L359" i="5"/>
  <c r="M359" i="5"/>
  <c r="J360" i="5"/>
  <c r="K360" i="5"/>
  <c r="L360" i="5"/>
  <c r="M360" i="5"/>
  <c r="J361" i="5"/>
  <c r="K361" i="5"/>
  <c r="L361" i="5"/>
  <c r="M361" i="5"/>
  <c r="J362" i="5"/>
  <c r="K362" i="5"/>
  <c r="L362" i="5"/>
  <c r="M362" i="5"/>
  <c r="J363" i="5"/>
  <c r="K363" i="5"/>
  <c r="L363" i="5"/>
  <c r="M363" i="5"/>
  <c r="J364" i="5"/>
  <c r="K364" i="5"/>
  <c r="L364" i="5"/>
  <c r="M364" i="5"/>
  <c r="J365" i="5"/>
  <c r="K365" i="5"/>
  <c r="L365" i="5"/>
  <c r="M365" i="5"/>
  <c r="J366" i="5"/>
  <c r="K366" i="5"/>
  <c r="L366" i="5"/>
  <c r="M366" i="5"/>
  <c r="J367" i="5"/>
  <c r="K367" i="5"/>
  <c r="L367" i="5"/>
  <c r="M367" i="5"/>
  <c r="J368" i="5"/>
  <c r="K368" i="5"/>
  <c r="L368" i="5"/>
  <c r="M368" i="5"/>
  <c r="J369" i="5"/>
  <c r="K369" i="5"/>
  <c r="L369" i="5"/>
  <c r="M369" i="5"/>
  <c r="J370" i="5"/>
  <c r="K370" i="5"/>
  <c r="L370" i="5"/>
  <c r="M370" i="5"/>
  <c r="J371" i="5"/>
  <c r="K371" i="5"/>
  <c r="L371" i="5"/>
  <c r="M371" i="5"/>
  <c r="J372" i="5"/>
  <c r="K372" i="5"/>
  <c r="L372" i="5"/>
  <c r="M372" i="5"/>
  <c r="J373" i="5"/>
  <c r="K373" i="5"/>
  <c r="L373" i="5"/>
  <c r="M373" i="5"/>
  <c r="J374" i="5"/>
  <c r="K374" i="5"/>
  <c r="L374" i="5"/>
  <c r="M374" i="5"/>
  <c r="J375" i="5"/>
  <c r="K375" i="5"/>
  <c r="L375" i="5"/>
  <c r="M375" i="5"/>
  <c r="J376" i="5"/>
  <c r="K376" i="5"/>
  <c r="L376" i="5"/>
  <c r="M376" i="5"/>
  <c r="J377" i="5"/>
  <c r="K377" i="5"/>
  <c r="L377" i="5"/>
  <c r="M377" i="5"/>
  <c r="J378" i="5"/>
  <c r="K378" i="5"/>
  <c r="L378" i="5"/>
  <c r="M378" i="5"/>
  <c r="J379" i="5"/>
  <c r="K379" i="5"/>
  <c r="L379" i="5"/>
  <c r="M379" i="5"/>
  <c r="J380" i="5"/>
  <c r="K380" i="5"/>
  <c r="L380" i="5"/>
  <c r="M380" i="5"/>
  <c r="J381" i="5"/>
  <c r="K381" i="5"/>
  <c r="L381" i="5"/>
  <c r="M381" i="5"/>
  <c r="J382" i="5"/>
  <c r="K382" i="5"/>
  <c r="L382" i="5"/>
  <c r="M382" i="5"/>
  <c r="J383" i="5"/>
  <c r="K383" i="5"/>
  <c r="L383" i="5"/>
  <c r="M383" i="5"/>
  <c r="J384" i="5"/>
  <c r="K384" i="5"/>
  <c r="L384" i="5"/>
  <c r="M384" i="5"/>
  <c r="J385" i="5"/>
  <c r="K385" i="5"/>
  <c r="L385" i="5"/>
  <c r="M385" i="5"/>
  <c r="J386" i="5"/>
  <c r="K386" i="5"/>
  <c r="L386" i="5"/>
  <c r="M386" i="5"/>
  <c r="J387" i="5"/>
  <c r="K387" i="5"/>
  <c r="L387" i="5"/>
  <c r="M387" i="5"/>
  <c r="J388" i="5"/>
  <c r="K388" i="5"/>
  <c r="L388" i="5"/>
  <c r="M388" i="5"/>
  <c r="J389" i="5"/>
  <c r="K389" i="5"/>
  <c r="L389" i="5"/>
  <c r="M389" i="5"/>
  <c r="J390" i="5"/>
  <c r="K390" i="5"/>
  <c r="L390" i="5"/>
  <c r="M390" i="5"/>
  <c r="J391" i="5"/>
  <c r="K391" i="5"/>
  <c r="L391" i="5"/>
  <c r="M391" i="5"/>
  <c r="J392" i="5"/>
  <c r="K392" i="5"/>
  <c r="L392" i="5"/>
  <c r="M392" i="5"/>
  <c r="J393" i="5"/>
  <c r="K393" i="5"/>
  <c r="L393" i="5"/>
  <c r="M393" i="5"/>
  <c r="J394" i="5"/>
  <c r="K394" i="5"/>
  <c r="L394" i="5"/>
  <c r="M394" i="5"/>
  <c r="J395" i="5"/>
  <c r="K395" i="5"/>
  <c r="L395" i="5"/>
  <c r="M395" i="5"/>
  <c r="J396" i="5"/>
  <c r="K396" i="5"/>
  <c r="L396" i="5"/>
  <c r="M396" i="5"/>
  <c r="J397" i="5"/>
  <c r="K397" i="5"/>
  <c r="L397" i="5"/>
  <c r="M397" i="5"/>
  <c r="J398" i="5"/>
  <c r="K398" i="5"/>
  <c r="L398" i="5"/>
  <c r="M398" i="5"/>
  <c r="J399" i="5"/>
  <c r="K399" i="5"/>
  <c r="L399" i="5"/>
  <c r="M399" i="5"/>
  <c r="J400" i="5"/>
  <c r="K400" i="5"/>
  <c r="L400" i="5"/>
  <c r="M400" i="5"/>
  <c r="J401" i="5"/>
  <c r="K401" i="5"/>
  <c r="L401" i="5"/>
  <c r="M401" i="5"/>
  <c r="J402" i="5"/>
  <c r="K402" i="5"/>
  <c r="L402" i="5"/>
  <c r="M402" i="5"/>
  <c r="J403" i="5"/>
  <c r="K403" i="5"/>
  <c r="L403" i="5"/>
  <c r="M403" i="5"/>
  <c r="J404" i="5"/>
  <c r="K404" i="5"/>
  <c r="L404" i="5"/>
  <c r="M404" i="5"/>
  <c r="J405" i="5"/>
  <c r="K405" i="5"/>
  <c r="L405" i="5"/>
  <c r="M405" i="5"/>
  <c r="J406" i="5"/>
  <c r="K406" i="5"/>
  <c r="L406" i="5"/>
  <c r="M406" i="5"/>
  <c r="J407" i="5"/>
  <c r="K407" i="5"/>
  <c r="L407" i="5"/>
  <c r="M407" i="5"/>
  <c r="J408" i="5"/>
  <c r="K408" i="5"/>
  <c r="L408" i="5"/>
  <c r="M408" i="5"/>
  <c r="J409" i="5"/>
  <c r="K409" i="5"/>
  <c r="L409" i="5"/>
  <c r="M409" i="5"/>
  <c r="J410" i="5"/>
  <c r="K410" i="5"/>
  <c r="L410" i="5"/>
  <c r="M410" i="5"/>
  <c r="J411" i="5"/>
  <c r="K411" i="5"/>
  <c r="L411" i="5"/>
  <c r="M411" i="5"/>
  <c r="J412" i="5"/>
  <c r="K412" i="5"/>
  <c r="L412" i="5"/>
  <c r="M412" i="5"/>
  <c r="J413" i="5"/>
  <c r="K413" i="5"/>
  <c r="L413" i="5"/>
  <c r="M413" i="5"/>
  <c r="J414" i="5"/>
  <c r="K414" i="5"/>
  <c r="L414" i="5"/>
  <c r="M414" i="5"/>
  <c r="J415" i="5"/>
  <c r="K415" i="5"/>
  <c r="L415" i="5"/>
  <c r="M415" i="5"/>
  <c r="J416" i="5"/>
  <c r="K416" i="5"/>
  <c r="L416" i="5"/>
  <c r="M416" i="5"/>
  <c r="J417" i="5"/>
  <c r="K417" i="5"/>
  <c r="L417" i="5"/>
  <c r="M417" i="5"/>
  <c r="J418" i="5"/>
  <c r="K418" i="5"/>
  <c r="L418" i="5"/>
  <c r="M418" i="5"/>
  <c r="J419" i="5"/>
  <c r="K419" i="5"/>
  <c r="L419" i="5"/>
  <c r="M419" i="5"/>
  <c r="J420" i="5"/>
  <c r="K420" i="5"/>
  <c r="L420" i="5"/>
  <c r="M420" i="5"/>
  <c r="J421" i="5"/>
  <c r="K421" i="5"/>
  <c r="L421" i="5"/>
  <c r="M421" i="5"/>
  <c r="J422" i="5"/>
  <c r="K422" i="5"/>
  <c r="L422" i="5"/>
  <c r="M422" i="5"/>
  <c r="J423" i="5"/>
  <c r="K423" i="5"/>
  <c r="L423" i="5"/>
  <c r="M423" i="5"/>
  <c r="J424" i="5"/>
  <c r="K424" i="5"/>
  <c r="L424" i="5"/>
  <c r="M424" i="5"/>
  <c r="J425" i="5"/>
  <c r="K425" i="5"/>
  <c r="L425" i="5"/>
  <c r="M425" i="5"/>
  <c r="J426" i="5"/>
  <c r="K426" i="5"/>
  <c r="L426" i="5"/>
  <c r="M426" i="5"/>
  <c r="J427" i="5"/>
  <c r="K427" i="5"/>
  <c r="L427" i="5"/>
  <c r="M427" i="5"/>
  <c r="J428" i="5"/>
  <c r="K428" i="5"/>
  <c r="L428" i="5"/>
  <c r="M428" i="5"/>
  <c r="J429" i="5"/>
  <c r="K429" i="5"/>
  <c r="L429" i="5"/>
  <c r="M429" i="5"/>
  <c r="J430" i="5"/>
  <c r="K430" i="5"/>
  <c r="L430" i="5"/>
  <c r="M430" i="5"/>
  <c r="J431" i="5"/>
  <c r="K431" i="5"/>
  <c r="L431" i="5"/>
  <c r="M431" i="5"/>
  <c r="J432" i="5"/>
  <c r="K432" i="5"/>
  <c r="L432" i="5"/>
  <c r="M432" i="5"/>
  <c r="J433" i="5"/>
  <c r="K433" i="5"/>
  <c r="L433" i="5"/>
  <c r="M433" i="5"/>
  <c r="J434" i="5"/>
  <c r="K434" i="5"/>
  <c r="L434" i="5"/>
  <c r="M434" i="5"/>
  <c r="J435" i="5"/>
  <c r="K435" i="5"/>
  <c r="L435" i="5"/>
  <c r="M435" i="5"/>
  <c r="J436" i="5"/>
  <c r="K436" i="5"/>
  <c r="L436" i="5"/>
  <c r="M436" i="5"/>
  <c r="J437" i="5"/>
  <c r="K437" i="5"/>
  <c r="L437" i="5"/>
  <c r="M437" i="5"/>
  <c r="J438" i="5"/>
  <c r="K438" i="5"/>
  <c r="L438" i="5"/>
  <c r="M438" i="5"/>
  <c r="J439" i="5"/>
  <c r="K439" i="5"/>
  <c r="L439" i="5"/>
  <c r="M439" i="5"/>
  <c r="J440" i="5"/>
  <c r="K440" i="5"/>
  <c r="L440" i="5"/>
  <c r="M440" i="5"/>
  <c r="J441" i="5"/>
  <c r="K441" i="5"/>
  <c r="L441" i="5"/>
  <c r="M441" i="5"/>
  <c r="J442" i="5"/>
  <c r="K442" i="5"/>
  <c r="L442" i="5"/>
  <c r="M442" i="5"/>
  <c r="J443" i="5"/>
  <c r="K443" i="5"/>
  <c r="L443" i="5"/>
  <c r="M443" i="5"/>
  <c r="J444" i="5"/>
  <c r="K444" i="5"/>
  <c r="L444" i="5"/>
  <c r="M444" i="5"/>
  <c r="J445" i="5"/>
  <c r="K445" i="5"/>
  <c r="L445" i="5"/>
  <c r="M445" i="5"/>
  <c r="J446" i="5"/>
  <c r="K446" i="5"/>
  <c r="L446" i="5"/>
  <c r="M446" i="5"/>
  <c r="J447" i="5"/>
  <c r="K447" i="5"/>
  <c r="L447" i="5"/>
  <c r="M447" i="5"/>
  <c r="J448" i="5"/>
  <c r="K448" i="5"/>
  <c r="L448" i="5"/>
  <c r="M448" i="5"/>
  <c r="J449" i="5"/>
  <c r="K449" i="5"/>
  <c r="L449" i="5"/>
  <c r="M449" i="5"/>
  <c r="J450" i="5"/>
  <c r="K450" i="5"/>
  <c r="L450" i="5"/>
  <c r="M450" i="5"/>
  <c r="J451" i="5"/>
  <c r="K451" i="5"/>
  <c r="L451" i="5"/>
  <c r="M451" i="5"/>
  <c r="J452" i="5"/>
  <c r="K452" i="5"/>
  <c r="L452" i="5"/>
  <c r="M452" i="5"/>
  <c r="J453" i="5"/>
  <c r="K453" i="5"/>
  <c r="L453" i="5"/>
  <c r="M453" i="5"/>
  <c r="J454" i="5"/>
  <c r="K454" i="5"/>
  <c r="L454" i="5"/>
  <c r="M454" i="5"/>
  <c r="J455" i="5"/>
  <c r="K455" i="5"/>
  <c r="L455" i="5"/>
  <c r="M455" i="5"/>
  <c r="J456" i="5"/>
  <c r="K456" i="5"/>
  <c r="L456" i="5"/>
  <c r="M456" i="5"/>
  <c r="J457" i="5"/>
  <c r="K457" i="5"/>
  <c r="L457" i="5"/>
  <c r="M457" i="5"/>
  <c r="J458" i="5"/>
  <c r="K458" i="5"/>
  <c r="L458" i="5"/>
  <c r="M458" i="5"/>
  <c r="J459" i="5"/>
  <c r="K459" i="5"/>
  <c r="L459" i="5"/>
  <c r="M459" i="5"/>
  <c r="J460" i="5"/>
  <c r="K460" i="5"/>
  <c r="L460" i="5"/>
  <c r="M460" i="5"/>
  <c r="J461" i="5"/>
  <c r="K461" i="5"/>
  <c r="L461" i="5"/>
  <c r="M461" i="5"/>
  <c r="J462" i="5"/>
  <c r="K462" i="5"/>
  <c r="L462" i="5"/>
  <c r="M462" i="5"/>
  <c r="J463" i="5"/>
  <c r="K463" i="5"/>
  <c r="L463" i="5"/>
  <c r="M463" i="5"/>
  <c r="J464" i="5"/>
  <c r="K464" i="5"/>
  <c r="L464" i="5"/>
  <c r="M464" i="5"/>
  <c r="J465" i="5"/>
  <c r="K465" i="5"/>
  <c r="L465" i="5"/>
  <c r="M465" i="5"/>
  <c r="J466" i="5"/>
  <c r="K466" i="5"/>
  <c r="L466" i="5"/>
  <c r="M466" i="5"/>
  <c r="J467" i="5"/>
  <c r="K467" i="5"/>
  <c r="L467" i="5"/>
  <c r="M467" i="5"/>
  <c r="J468" i="5"/>
  <c r="K468" i="5"/>
  <c r="L468" i="5"/>
  <c r="M468" i="5"/>
  <c r="J469" i="5"/>
  <c r="K469" i="5"/>
  <c r="L469" i="5"/>
  <c r="M469" i="5"/>
  <c r="J470" i="5"/>
  <c r="K470" i="5"/>
  <c r="L470" i="5"/>
  <c r="M470" i="5"/>
  <c r="J471" i="5"/>
  <c r="K471" i="5"/>
  <c r="L471" i="5"/>
  <c r="M471" i="5"/>
  <c r="J472" i="5"/>
  <c r="K472" i="5"/>
  <c r="L472" i="5"/>
  <c r="M472" i="5"/>
  <c r="J473" i="5"/>
  <c r="K473" i="5"/>
  <c r="L473" i="5"/>
  <c r="M473" i="5"/>
  <c r="J474" i="5"/>
  <c r="K474" i="5"/>
  <c r="L474" i="5"/>
  <c r="M474" i="5"/>
  <c r="J475" i="5"/>
  <c r="K475" i="5"/>
  <c r="L475" i="5"/>
  <c r="M475" i="5"/>
  <c r="J476" i="5"/>
  <c r="K476" i="5"/>
  <c r="L476" i="5"/>
  <c r="M476" i="5"/>
  <c r="J477" i="5"/>
  <c r="K477" i="5"/>
  <c r="L477" i="5"/>
  <c r="M477" i="5"/>
  <c r="J478" i="5"/>
  <c r="K478" i="5"/>
  <c r="L478" i="5"/>
  <c r="M478" i="5"/>
  <c r="J479" i="5"/>
  <c r="K479" i="5"/>
  <c r="L479" i="5"/>
  <c r="M479" i="5"/>
  <c r="J480" i="5"/>
  <c r="K480" i="5"/>
  <c r="L480" i="5"/>
  <c r="M480" i="5"/>
  <c r="J481" i="5"/>
  <c r="K481" i="5"/>
  <c r="L481" i="5"/>
  <c r="M481" i="5"/>
  <c r="J482" i="5"/>
  <c r="K482" i="5"/>
  <c r="L482" i="5"/>
  <c r="M482" i="5"/>
  <c r="J483" i="5"/>
  <c r="K483" i="5"/>
  <c r="L483" i="5"/>
  <c r="M483" i="5"/>
  <c r="J484" i="5"/>
  <c r="K484" i="5"/>
  <c r="L484" i="5"/>
  <c r="M484" i="5"/>
  <c r="J485" i="5"/>
  <c r="K485" i="5"/>
  <c r="L485" i="5"/>
  <c r="M485" i="5"/>
  <c r="J486" i="5"/>
  <c r="K486" i="5"/>
  <c r="L486" i="5"/>
  <c r="M486" i="5"/>
  <c r="J487" i="5"/>
  <c r="K487" i="5"/>
  <c r="L487" i="5"/>
  <c r="M487" i="5"/>
  <c r="J488" i="5"/>
  <c r="K488" i="5"/>
  <c r="L488" i="5"/>
  <c r="M488" i="5"/>
  <c r="J489" i="5"/>
  <c r="K489" i="5"/>
  <c r="L489" i="5"/>
  <c r="M489" i="5"/>
  <c r="J490" i="5"/>
  <c r="K490" i="5"/>
  <c r="L490" i="5"/>
  <c r="M490" i="5"/>
  <c r="J491" i="5"/>
  <c r="K491" i="5"/>
  <c r="L491" i="5"/>
  <c r="M491" i="5"/>
  <c r="J492" i="5"/>
  <c r="K492" i="5"/>
  <c r="L492" i="5"/>
  <c r="M492" i="5"/>
  <c r="J493" i="5"/>
  <c r="K493" i="5"/>
  <c r="L493" i="5"/>
  <c r="M493" i="5"/>
  <c r="J494" i="5"/>
  <c r="K494" i="5"/>
  <c r="L494" i="5"/>
  <c r="M494" i="5"/>
  <c r="J495" i="5"/>
  <c r="K495" i="5"/>
  <c r="L495" i="5"/>
  <c r="M495" i="5"/>
  <c r="J496" i="5"/>
  <c r="K496" i="5"/>
  <c r="L496" i="5"/>
  <c r="M496" i="5"/>
  <c r="J497" i="5"/>
  <c r="K497" i="5"/>
  <c r="L497" i="5"/>
  <c r="M497" i="5"/>
  <c r="J498" i="5"/>
  <c r="K498" i="5"/>
  <c r="L498" i="5"/>
  <c r="M498" i="5"/>
  <c r="J499" i="5"/>
  <c r="K499" i="5"/>
  <c r="L499" i="5"/>
  <c r="M499" i="5"/>
  <c r="J500" i="5"/>
  <c r="K500" i="5"/>
  <c r="L500" i="5"/>
  <c r="M500" i="5"/>
  <c r="J501" i="5"/>
  <c r="K501" i="5"/>
  <c r="L501" i="5"/>
  <c r="M501" i="5"/>
  <c r="J502" i="5"/>
  <c r="K502" i="5"/>
  <c r="L502" i="5"/>
  <c r="M502" i="5"/>
  <c r="J503" i="5"/>
  <c r="K503" i="5"/>
  <c r="L503" i="5"/>
  <c r="M503" i="5"/>
  <c r="J504" i="5"/>
  <c r="K504" i="5"/>
  <c r="L504" i="5"/>
  <c r="M504" i="5"/>
  <c r="J505" i="5"/>
  <c r="K505" i="5"/>
  <c r="L505" i="5"/>
  <c r="M505" i="5"/>
  <c r="J506" i="5"/>
  <c r="K506" i="5"/>
  <c r="L506" i="5"/>
  <c r="M506" i="5"/>
  <c r="J507" i="5"/>
  <c r="K507" i="5"/>
  <c r="L507" i="5"/>
  <c r="M507" i="5"/>
  <c r="J508" i="5"/>
  <c r="K508" i="5"/>
  <c r="L508" i="5"/>
  <c r="M508" i="5"/>
  <c r="J509" i="5"/>
  <c r="K509" i="5"/>
  <c r="L509" i="5"/>
  <c r="M509" i="5"/>
  <c r="J510" i="5"/>
  <c r="K510" i="5"/>
  <c r="L510" i="5"/>
  <c r="M510" i="5"/>
  <c r="J511" i="5"/>
  <c r="K511" i="5"/>
  <c r="L511" i="5"/>
  <c r="M511" i="5"/>
  <c r="J512" i="5"/>
  <c r="K512" i="5"/>
  <c r="L512" i="5"/>
  <c r="M512" i="5"/>
  <c r="J513" i="5"/>
  <c r="K513" i="5"/>
  <c r="L513" i="5"/>
  <c r="M513" i="5"/>
  <c r="J514" i="5"/>
  <c r="K514" i="5"/>
  <c r="L514" i="5"/>
  <c r="M514" i="5"/>
  <c r="J515" i="5"/>
  <c r="K515" i="5"/>
  <c r="L515" i="5"/>
  <c r="M515" i="5"/>
  <c r="J516" i="5"/>
  <c r="K516" i="5"/>
  <c r="L516" i="5"/>
  <c r="M516" i="5"/>
  <c r="J517" i="5"/>
  <c r="K517" i="5"/>
  <c r="L517" i="5"/>
  <c r="M517" i="5"/>
  <c r="J518" i="5"/>
  <c r="K518" i="5"/>
  <c r="L518" i="5"/>
  <c r="M518" i="5"/>
  <c r="J519" i="5"/>
  <c r="K519" i="5"/>
  <c r="L519" i="5"/>
  <c r="M519" i="5"/>
  <c r="J520" i="5"/>
  <c r="K520" i="5"/>
  <c r="L520" i="5"/>
  <c r="M520" i="5"/>
  <c r="J521" i="5"/>
  <c r="K521" i="5"/>
  <c r="L521" i="5"/>
  <c r="M521" i="5"/>
  <c r="J522" i="5"/>
  <c r="K522" i="5"/>
  <c r="L522" i="5"/>
  <c r="M522" i="5"/>
  <c r="J523" i="5"/>
  <c r="K523" i="5"/>
  <c r="L523" i="5"/>
  <c r="M523" i="5"/>
  <c r="J524" i="5"/>
  <c r="K524" i="5"/>
  <c r="L524" i="5"/>
  <c r="M524" i="5"/>
  <c r="J525" i="5"/>
  <c r="K525" i="5"/>
  <c r="L525" i="5"/>
  <c r="M525" i="5"/>
  <c r="J526" i="5"/>
  <c r="K526" i="5"/>
  <c r="L526" i="5"/>
  <c r="M526" i="5"/>
  <c r="J527" i="5"/>
  <c r="K527" i="5"/>
  <c r="L527" i="5"/>
  <c r="M527" i="5"/>
  <c r="J528" i="5"/>
  <c r="K528" i="5"/>
  <c r="L528" i="5"/>
  <c r="M528" i="5"/>
  <c r="J529" i="5"/>
  <c r="K529" i="5"/>
  <c r="L529" i="5"/>
  <c r="M529" i="5"/>
  <c r="J530" i="5"/>
  <c r="K530" i="5"/>
  <c r="L530" i="5"/>
  <c r="M530" i="5"/>
  <c r="J531" i="5"/>
  <c r="K531" i="5"/>
  <c r="L531" i="5"/>
  <c r="M531" i="5"/>
  <c r="J532" i="5"/>
  <c r="K532" i="5"/>
  <c r="L532" i="5"/>
  <c r="M532" i="5"/>
  <c r="J533" i="5"/>
  <c r="K533" i="5"/>
  <c r="L533" i="5"/>
  <c r="M533" i="5"/>
  <c r="J534" i="5"/>
  <c r="K534" i="5"/>
  <c r="L534" i="5"/>
  <c r="M534" i="5"/>
  <c r="J535" i="5"/>
  <c r="K535" i="5"/>
  <c r="L535" i="5"/>
  <c r="M535" i="5"/>
  <c r="J536" i="5"/>
  <c r="K536" i="5"/>
  <c r="L536" i="5"/>
  <c r="M536" i="5"/>
  <c r="J537" i="5"/>
  <c r="K537" i="5"/>
  <c r="L537" i="5"/>
  <c r="M537" i="5"/>
  <c r="J538" i="5"/>
  <c r="K538" i="5"/>
  <c r="L538" i="5"/>
  <c r="M538" i="5"/>
  <c r="J539" i="5"/>
  <c r="K539" i="5"/>
  <c r="L539" i="5"/>
  <c r="M539" i="5"/>
  <c r="J540" i="5"/>
  <c r="K540" i="5"/>
  <c r="L540" i="5"/>
  <c r="M540" i="5"/>
  <c r="J541" i="5"/>
  <c r="K541" i="5"/>
  <c r="L541" i="5"/>
  <c r="M541" i="5"/>
  <c r="J542" i="5"/>
  <c r="K542" i="5"/>
  <c r="L542" i="5"/>
  <c r="M542" i="5"/>
  <c r="J543" i="5"/>
  <c r="K543" i="5"/>
  <c r="L543" i="5"/>
  <c r="M543" i="5"/>
  <c r="J544" i="5"/>
  <c r="K544" i="5"/>
  <c r="L544" i="5"/>
  <c r="M544" i="5"/>
  <c r="J545" i="5"/>
  <c r="K545" i="5"/>
  <c r="L545" i="5"/>
  <c r="M545" i="5"/>
  <c r="J546" i="5"/>
  <c r="K546" i="5"/>
  <c r="L546" i="5"/>
  <c r="M546" i="5"/>
  <c r="J547" i="5"/>
  <c r="K547" i="5"/>
  <c r="L547" i="5"/>
  <c r="M547" i="5"/>
  <c r="J548" i="5"/>
  <c r="K548" i="5"/>
  <c r="L548" i="5"/>
  <c r="M548" i="5"/>
  <c r="J549" i="5"/>
  <c r="K549" i="5"/>
  <c r="L549" i="5"/>
  <c r="M549" i="5"/>
  <c r="J550" i="5"/>
  <c r="K550" i="5"/>
  <c r="L550" i="5"/>
  <c r="M550" i="5"/>
  <c r="J551" i="5"/>
  <c r="K551" i="5"/>
  <c r="L551" i="5"/>
  <c r="M551" i="5"/>
  <c r="J552" i="5"/>
  <c r="K552" i="5"/>
  <c r="L552" i="5"/>
  <c r="M552" i="5"/>
  <c r="J553" i="5"/>
  <c r="K553" i="5"/>
  <c r="L553" i="5"/>
  <c r="M553" i="5"/>
  <c r="J554" i="5"/>
  <c r="K554" i="5"/>
  <c r="L554" i="5"/>
  <c r="M554" i="5"/>
  <c r="J555" i="5"/>
  <c r="K555" i="5"/>
  <c r="L555" i="5"/>
  <c r="M555" i="5"/>
  <c r="J556" i="5"/>
  <c r="K556" i="5"/>
  <c r="L556" i="5"/>
  <c r="M556" i="5"/>
  <c r="J557" i="5"/>
  <c r="K557" i="5"/>
  <c r="L557" i="5"/>
  <c r="M557" i="5"/>
  <c r="J558" i="5"/>
  <c r="K558" i="5"/>
  <c r="L558" i="5"/>
  <c r="M558" i="5"/>
  <c r="J559" i="5"/>
  <c r="K559" i="5"/>
  <c r="L559" i="5"/>
  <c r="M559" i="5"/>
  <c r="J560" i="5"/>
  <c r="K560" i="5"/>
  <c r="L560" i="5"/>
  <c r="M560" i="5"/>
  <c r="J561" i="5"/>
  <c r="K561" i="5"/>
  <c r="L561" i="5"/>
  <c r="M561" i="5"/>
  <c r="J562" i="5"/>
  <c r="K562" i="5"/>
  <c r="L562" i="5"/>
  <c r="M562" i="5"/>
  <c r="J563" i="5"/>
  <c r="K563" i="5"/>
  <c r="L563" i="5"/>
  <c r="M563" i="5"/>
  <c r="J564" i="5"/>
  <c r="K564" i="5"/>
  <c r="L564" i="5"/>
  <c r="M564" i="5"/>
  <c r="J565" i="5"/>
  <c r="K565" i="5"/>
  <c r="L565" i="5"/>
  <c r="M565" i="5"/>
  <c r="J566" i="5"/>
  <c r="K566" i="5"/>
  <c r="L566" i="5"/>
  <c r="M566" i="5"/>
  <c r="J567" i="5"/>
  <c r="K567" i="5"/>
  <c r="L567" i="5"/>
  <c r="M567" i="5"/>
  <c r="J568" i="5"/>
  <c r="K568" i="5"/>
  <c r="L568" i="5"/>
  <c r="M568" i="5"/>
  <c r="J569" i="5"/>
  <c r="K569" i="5"/>
  <c r="L569" i="5"/>
  <c r="M569" i="5"/>
  <c r="J570" i="5"/>
  <c r="K570" i="5"/>
  <c r="L570" i="5"/>
  <c r="M570" i="5"/>
  <c r="J571" i="5"/>
  <c r="K571" i="5"/>
  <c r="L571" i="5"/>
  <c r="M571" i="5"/>
  <c r="J572" i="5"/>
  <c r="K572" i="5"/>
  <c r="L572" i="5"/>
  <c r="M572" i="5"/>
  <c r="J573" i="5"/>
  <c r="K573" i="5"/>
  <c r="L573" i="5"/>
  <c r="M573" i="5"/>
  <c r="J574" i="5"/>
  <c r="K574" i="5"/>
  <c r="L574" i="5"/>
  <c r="M574" i="5"/>
  <c r="J575" i="5"/>
  <c r="K575" i="5"/>
  <c r="L575" i="5"/>
  <c r="M575" i="5"/>
  <c r="J576" i="5"/>
  <c r="K576" i="5"/>
  <c r="L576" i="5"/>
  <c r="M576" i="5"/>
  <c r="J577" i="5"/>
  <c r="K577" i="5"/>
  <c r="L577" i="5"/>
  <c r="M577" i="5"/>
  <c r="J578" i="5"/>
  <c r="K578" i="5"/>
  <c r="L578" i="5"/>
  <c r="M578" i="5"/>
  <c r="J579" i="5"/>
  <c r="K579" i="5"/>
  <c r="L579" i="5"/>
  <c r="M579" i="5"/>
  <c r="J580" i="5"/>
  <c r="K580" i="5"/>
  <c r="L580" i="5"/>
  <c r="M580" i="5"/>
  <c r="J581" i="5"/>
  <c r="K581" i="5"/>
  <c r="L581" i="5"/>
  <c r="M581" i="5"/>
  <c r="J582" i="5"/>
  <c r="K582" i="5"/>
  <c r="L582" i="5"/>
  <c r="M582" i="5"/>
  <c r="J583" i="5"/>
  <c r="K583" i="5"/>
  <c r="L583" i="5"/>
  <c r="M583" i="5"/>
  <c r="J584" i="5"/>
  <c r="K584" i="5"/>
  <c r="L584" i="5"/>
  <c r="M584" i="5"/>
  <c r="J585" i="5"/>
  <c r="K585" i="5"/>
  <c r="L585" i="5"/>
  <c r="M585" i="5"/>
  <c r="J586" i="5"/>
  <c r="K586" i="5"/>
  <c r="L586" i="5"/>
  <c r="M586" i="5"/>
  <c r="J587" i="5"/>
  <c r="K587" i="5"/>
  <c r="L587" i="5"/>
  <c r="M587" i="5"/>
  <c r="J588" i="5"/>
  <c r="K588" i="5"/>
  <c r="L588" i="5"/>
  <c r="M588" i="5"/>
  <c r="J589" i="5"/>
  <c r="K589" i="5"/>
  <c r="L589" i="5"/>
  <c r="M589" i="5"/>
  <c r="J590" i="5"/>
  <c r="K590" i="5"/>
  <c r="L590" i="5"/>
  <c r="M590" i="5"/>
  <c r="J591" i="5"/>
  <c r="K591" i="5"/>
  <c r="L591" i="5"/>
  <c r="M591" i="5"/>
  <c r="J592" i="5"/>
  <c r="K592" i="5"/>
  <c r="L592" i="5"/>
  <c r="M592" i="5"/>
  <c r="J593" i="5"/>
  <c r="K593" i="5"/>
  <c r="L593" i="5"/>
  <c r="M593" i="5"/>
  <c r="J594" i="5"/>
  <c r="K594" i="5"/>
  <c r="L594" i="5"/>
  <c r="M594" i="5"/>
  <c r="J595" i="5"/>
  <c r="K595" i="5"/>
  <c r="L595" i="5"/>
  <c r="M595" i="5"/>
  <c r="J596" i="5"/>
  <c r="K596" i="5"/>
  <c r="L596" i="5"/>
  <c r="M596" i="5"/>
  <c r="J597" i="5"/>
  <c r="K597" i="5"/>
  <c r="L597" i="5"/>
  <c r="M597" i="5"/>
  <c r="J598" i="5"/>
  <c r="K598" i="5"/>
  <c r="L598" i="5"/>
  <c r="M598" i="5"/>
  <c r="J599" i="5"/>
  <c r="K599" i="5"/>
  <c r="L599" i="5"/>
  <c r="M599" i="5"/>
  <c r="J600" i="5"/>
  <c r="K600" i="5"/>
  <c r="L600" i="5"/>
  <c r="M600" i="5"/>
  <c r="J601" i="5"/>
  <c r="K601" i="5"/>
  <c r="L601" i="5"/>
  <c r="M601" i="5"/>
  <c r="J602" i="5"/>
  <c r="K602" i="5"/>
  <c r="L602" i="5"/>
  <c r="M602" i="5"/>
  <c r="J603" i="5"/>
  <c r="K603" i="5"/>
  <c r="L603" i="5"/>
  <c r="M603" i="5"/>
  <c r="J604" i="5"/>
  <c r="K604" i="5"/>
  <c r="L604" i="5"/>
  <c r="M604" i="5"/>
  <c r="J605" i="5"/>
  <c r="K605" i="5"/>
  <c r="L605" i="5"/>
  <c r="M605" i="5"/>
  <c r="J606" i="5"/>
  <c r="K606" i="5"/>
  <c r="L606" i="5"/>
  <c r="M606" i="5"/>
  <c r="J607" i="5"/>
  <c r="K607" i="5"/>
  <c r="L607" i="5"/>
  <c r="M607" i="5"/>
  <c r="J608" i="5"/>
  <c r="K608" i="5"/>
  <c r="L608" i="5"/>
  <c r="M608" i="5"/>
  <c r="J609" i="5"/>
  <c r="K609" i="5"/>
  <c r="L609" i="5"/>
  <c r="M609" i="5"/>
  <c r="J610" i="5"/>
  <c r="K610" i="5"/>
  <c r="L610" i="5"/>
  <c r="M610" i="5"/>
  <c r="J611" i="5"/>
  <c r="K611" i="5"/>
  <c r="L611" i="5"/>
  <c r="M611" i="5"/>
  <c r="J612" i="5"/>
  <c r="K612" i="5"/>
  <c r="L612" i="5"/>
  <c r="M612" i="5"/>
  <c r="J613" i="5"/>
  <c r="K613" i="5"/>
  <c r="L613" i="5"/>
  <c r="M613" i="5"/>
  <c r="J614" i="5"/>
  <c r="K614" i="5"/>
  <c r="L614" i="5"/>
  <c r="M614" i="5"/>
  <c r="J615" i="5"/>
  <c r="K615" i="5"/>
  <c r="L615" i="5"/>
  <c r="M615" i="5"/>
  <c r="J616" i="5"/>
  <c r="K616" i="5"/>
  <c r="L616" i="5"/>
  <c r="M616" i="5"/>
  <c r="J617" i="5"/>
  <c r="K617" i="5"/>
  <c r="L617" i="5"/>
  <c r="M617" i="5"/>
  <c r="J618" i="5"/>
  <c r="K618" i="5"/>
  <c r="L618" i="5"/>
  <c r="M618" i="5"/>
  <c r="J619" i="5"/>
  <c r="K619" i="5"/>
  <c r="L619" i="5"/>
  <c r="M619" i="5"/>
  <c r="J620" i="5"/>
  <c r="K620" i="5"/>
  <c r="L620" i="5"/>
  <c r="M620" i="5"/>
  <c r="J621" i="5"/>
  <c r="K621" i="5"/>
  <c r="L621" i="5"/>
  <c r="M621" i="5"/>
  <c r="J622" i="5"/>
  <c r="K622" i="5"/>
  <c r="L622" i="5"/>
  <c r="M622" i="5"/>
  <c r="J623" i="5"/>
  <c r="K623" i="5"/>
  <c r="L623" i="5"/>
  <c r="M623" i="5"/>
  <c r="J624" i="5"/>
  <c r="K624" i="5"/>
  <c r="L624" i="5"/>
  <c r="M624" i="5"/>
  <c r="J625" i="5"/>
  <c r="K625" i="5"/>
  <c r="L625" i="5"/>
  <c r="M625" i="5"/>
  <c r="J626" i="5"/>
  <c r="K626" i="5"/>
  <c r="L626" i="5"/>
  <c r="M626" i="5"/>
  <c r="J627" i="5"/>
  <c r="K627" i="5"/>
  <c r="L627" i="5"/>
  <c r="M627" i="5"/>
  <c r="J628" i="5"/>
  <c r="K628" i="5"/>
  <c r="L628" i="5"/>
  <c r="M628" i="5"/>
  <c r="J629" i="5"/>
  <c r="K629" i="5"/>
  <c r="L629" i="5"/>
  <c r="M629" i="5"/>
  <c r="J630" i="5"/>
  <c r="K630" i="5"/>
  <c r="L630" i="5"/>
  <c r="M630" i="5"/>
  <c r="J631" i="5"/>
  <c r="K631" i="5"/>
  <c r="L631" i="5"/>
  <c r="M631" i="5"/>
  <c r="J632" i="5"/>
  <c r="K632" i="5"/>
  <c r="L632" i="5"/>
  <c r="M632" i="5"/>
  <c r="J633" i="5"/>
  <c r="K633" i="5"/>
  <c r="L633" i="5"/>
  <c r="M633" i="5"/>
  <c r="J634" i="5"/>
  <c r="K634" i="5"/>
  <c r="L634" i="5"/>
  <c r="M634" i="5"/>
  <c r="J635" i="5"/>
  <c r="K635" i="5"/>
  <c r="L635" i="5"/>
  <c r="M635" i="5"/>
  <c r="J636" i="5"/>
  <c r="K636" i="5"/>
  <c r="L636" i="5"/>
  <c r="M636" i="5"/>
  <c r="J637" i="5"/>
  <c r="K637" i="5"/>
  <c r="L637" i="5"/>
  <c r="M637" i="5"/>
  <c r="J638" i="5"/>
  <c r="K638" i="5"/>
  <c r="L638" i="5"/>
  <c r="M638" i="5"/>
  <c r="J639" i="5"/>
  <c r="K639" i="5"/>
  <c r="L639" i="5"/>
  <c r="M639" i="5"/>
  <c r="J640" i="5"/>
  <c r="K640" i="5"/>
  <c r="L640" i="5"/>
  <c r="M640" i="5"/>
  <c r="J641" i="5"/>
  <c r="K641" i="5"/>
  <c r="L641" i="5"/>
  <c r="M641" i="5"/>
  <c r="J642" i="5"/>
  <c r="K642" i="5"/>
  <c r="L642" i="5"/>
  <c r="M642" i="5"/>
  <c r="J643" i="5"/>
  <c r="K643" i="5"/>
  <c r="L643" i="5"/>
  <c r="M643" i="5"/>
  <c r="J644" i="5"/>
  <c r="K644" i="5"/>
  <c r="L644" i="5"/>
  <c r="M644" i="5"/>
  <c r="J645" i="5"/>
  <c r="K645" i="5"/>
  <c r="L645" i="5"/>
  <c r="M645" i="5"/>
  <c r="J646" i="5"/>
  <c r="K646" i="5"/>
  <c r="L646" i="5"/>
  <c r="M646" i="5"/>
  <c r="J647" i="5"/>
  <c r="K647" i="5"/>
  <c r="L647" i="5"/>
  <c r="M647" i="5"/>
  <c r="J648" i="5"/>
  <c r="K648" i="5"/>
  <c r="L648" i="5"/>
  <c r="M648" i="5"/>
  <c r="J649" i="5"/>
  <c r="K649" i="5"/>
  <c r="L649" i="5"/>
  <c r="M649" i="5"/>
  <c r="J650" i="5"/>
  <c r="K650" i="5"/>
  <c r="L650" i="5"/>
  <c r="M650" i="5"/>
  <c r="J651" i="5"/>
  <c r="K651" i="5"/>
  <c r="L651" i="5"/>
  <c r="M651" i="5"/>
  <c r="J652" i="5"/>
  <c r="K652" i="5"/>
  <c r="L652" i="5"/>
  <c r="M652" i="5"/>
  <c r="J653" i="5"/>
  <c r="K653" i="5"/>
  <c r="L653" i="5"/>
  <c r="M653" i="5"/>
  <c r="J654" i="5"/>
  <c r="K654" i="5"/>
  <c r="L654" i="5"/>
  <c r="M654" i="5"/>
  <c r="J655" i="5"/>
  <c r="K655" i="5"/>
  <c r="L655" i="5"/>
  <c r="M655" i="5"/>
  <c r="J656" i="5"/>
  <c r="K656" i="5"/>
  <c r="L656" i="5"/>
  <c r="M656" i="5"/>
  <c r="J657" i="5"/>
  <c r="K657" i="5"/>
  <c r="L657" i="5"/>
  <c r="M657" i="5"/>
  <c r="J658" i="5"/>
  <c r="K658" i="5"/>
  <c r="L658" i="5"/>
  <c r="M658" i="5"/>
  <c r="J659" i="5"/>
  <c r="K659" i="5"/>
  <c r="L659" i="5"/>
  <c r="M659" i="5"/>
  <c r="J660" i="5"/>
  <c r="K660" i="5"/>
  <c r="L660" i="5"/>
  <c r="M660" i="5"/>
  <c r="J661" i="5"/>
  <c r="K661" i="5"/>
  <c r="L661" i="5"/>
  <c r="M661" i="5"/>
  <c r="J662" i="5"/>
  <c r="K662" i="5"/>
  <c r="L662" i="5"/>
  <c r="M662" i="5"/>
  <c r="J663" i="5"/>
  <c r="K663" i="5"/>
  <c r="L663" i="5"/>
  <c r="M663" i="5"/>
  <c r="J664" i="5"/>
  <c r="K664" i="5"/>
  <c r="L664" i="5"/>
  <c r="M664" i="5"/>
  <c r="J665" i="5"/>
  <c r="K665" i="5"/>
  <c r="L665" i="5"/>
  <c r="M665" i="5"/>
  <c r="J666" i="5"/>
  <c r="K666" i="5"/>
  <c r="L666" i="5"/>
  <c r="M666" i="5"/>
  <c r="J667" i="5"/>
  <c r="K667" i="5"/>
  <c r="L667" i="5"/>
  <c r="M667" i="5"/>
  <c r="J668" i="5"/>
  <c r="K668" i="5"/>
  <c r="L668" i="5"/>
  <c r="M668" i="5"/>
  <c r="J669" i="5"/>
  <c r="K669" i="5"/>
  <c r="L669" i="5"/>
  <c r="M669" i="5"/>
  <c r="J670" i="5"/>
  <c r="K670" i="5"/>
  <c r="L670" i="5"/>
  <c r="M670" i="5"/>
  <c r="J671" i="5"/>
  <c r="K671" i="5"/>
  <c r="L671" i="5"/>
  <c r="M671" i="5"/>
  <c r="J672" i="5"/>
  <c r="K672" i="5"/>
  <c r="L672" i="5"/>
  <c r="M672" i="5"/>
  <c r="J673" i="5"/>
  <c r="K673" i="5"/>
  <c r="L673" i="5"/>
  <c r="M673" i="5"/>
  <c r="J674" i="5"/>
  <c r="K674" i="5"/>
  <c r="L674" i="5"/>
  <c r="M674" i="5"/>
  <c r="J675" i="5"/>
  <c r="K675" i="5"/>
  <c r="L675" i="5"/>
  <c r="M675" i="5"/>
  <c r="J676" i="5"/>
  <c r="K676" i="5"/>
  <c r="L676" i="5"/>
  <c r="M676" i="5"/>
  <c r="J677" i="5"/>
  <c r="K677" i="5"/>
  <c r="L677" i="5"/>
  <c r="M677" i="5"/>
  <c r="J678" i="5"/>
  <c r="K678" i="5"/>
  <c r="L678" i="5"/>
  <c r="M678" i="5"/>
  <c r="J679" i="5"/>
  <c r="K679" i="5"/>
  <c r="L679" i="5"/>
  <c r="M679" i="5"/>
  <c r="J680" i="5"/>
  <c r="K680" i="5"/>
  <c r="L680" i="5"/>
  <c r="M680" i="5"/>
  <c r="J681" i="5"/>
  <c r="K681" i="5"/>
  <c r="L681" i="5"/>
  <c r="M681" i="5"/>
  <c r="J682" i="5"/>
  <c r="K682" i="5"/>
  <c r="L682" i="5"/>
  <c r="M682" i="5"/>
  <c r="J683" i="5"/>
  <c r="K683" i="5"/>
  <c r="L683" i="5"/>
  <c r="M683" i="5"/>
  <c r="J684" i="5"/>
  <c r="K684" i="5"/>
  <c r="L684" i="5"/>
  <c r="M684" i="5"/>
  <c r="J685" i="5"/>
  <c r="K685" i="5"/>
  <c r="L685" i="5"/>
  <c r="M685" i="5"/>
  <c r="J686" i="5"/>
  <c r="K686" i="5"/>
  <c r="L686" i="5"/>
  <c r="M686" i="5"/>
  <c r="J687" i="5"/>
  <c r="K687" i="5"/>
  <c r="L687" i="5"/>
  <c r="M687" i="5"/>
  <c r="J688" i="5"/>
  <c r="K688" i="5"/>
  <c r="L688" i="5"/>
  <c r="M688" i="5"/>
  <c r="J689" i="5"/>
  <c r="K689" i="5"/>
  <c r="L689" i="5"/>
  <c r="M689" i="5"/>
  <c r="J690" i="5"/>
  <c r="K690" i="5"/>
  <c r="L690" i="5"/>
  <c r="M690" i="5"/>
  <c r="J691" i="5"/>
  <c r="K691" i="5"/>
  <c r="L691" i="5"/>
  <c r="M691" i="5"/>
  <c r="J692" i="5"/>
  <c r="K692" i="5"/>
  <c r="L692" i="5"/>
  <c r="M692" i="5"/>
  <c r="J693" i="5"/>
  <c r="K693" i="5"/>
  <c r="L693" i="5"/>
  <c r="M693" i="5"/>
  <c r="J694" i="5"/>
  <c r="K694" i="5"/>
  <c r="L694" i="5"/>
  <c r="M694" i="5"/>
  <c r="J695" i="5"/>
  <c r="K695" i="5"/>
  <c r="L695" i="5"/>
  <c r="M695" i="5"/>
  <c r="J696" i="5"/>
  <c r="K696" i="5"/>
  <c r="L696" i="5"/>
  <c r="M696" i="5"/>
  <c r="J697" i="5"/>
  <c r="K697" i="5"/>
  <c r="L697" i="5"/>
  <c r="M697" i="5"/>
  <c r="J698" i="5"/>
  <c r="K698" i="5"/>
  <c r="L698" i="5"/>
  <c r="M698" i="5"/>
  <c r="J699" i="5"/>
  <c r="K699" i="5"/>
  <c r="L699" i="5"/>
  <c r="M699" i="5"/>
  <c r="J700" i="5"/>
  <c r="K700" i="5"/>
  <c r="L700" i="5"/>
  <c r="M700" i="5"/>
  <c r="J701" i="5"/>
  <c r="K701" i="5"/>
  <c r="L701" i="5"/>
  <c r="M701" i="5"/>
  <c r="J702" i="5"/>
  <c r="K702" i="5"/>
  <c r="L702" i="5"/>
  <c r="M702" i="5"/>
  <c r="J703" i="5"/>
  <c r="K703" i="5"/>
  <c r="L703" i="5"/>
  <c r="M703" i="5"/>
  <c r="J704" i="5"/>
  <c r="K704" i="5"/>
  <c r="L704" i="5"/>
  <c r="M704" i="5"/>
  <c r="J705" i="5"/>
  <c r="K705" i="5"/>
  <c r="L705" i="5"/>
  <c r="M705" i="5"/>
  <c r="J706" i="5"/>
  <c r="K706" i="5"/>
  <c r="L706" i="5"/>
  <c r="M706" i="5"/>
  <c r="J707" i="5"/>
  <c r="K707" i="5"/>
  <c r="L707" i="5"/>
  <c r="M707" i="5"/>
  <c r="J708" i="5"/>
  <c r="K708" i="5"/>
  <c r="L708" i="5"/>
  <c r="M708" i="5"/>
  <c r="J709" i="5"/>
  <c r="K709" i="5"/>
  <c r="L709" i="5"/>
  <c r="M709" i="5"/>
  <c r="J710" i="5"/>
  <c r="K710" i="5"/>
  <c r="L710" i="5"/>
  <c r="M710" i="5"/>
  <c r="J711" i="5"/>
  <c r="K711" i="5"/>
  <c r="L711" i="5"/>
  <c r="M711" i="5"/>
  <c r="J712" i="5"/>
  <c r="K712" i="5"/>
  <c r="L712" i="5"/>
  <c r="M712" i="5"/>
  <c r="J713" i="5"/>
  <c r="K713" i="5"/>
  <c r="L713" i="5"/>
  <c r="M713" i="5"/>
  <c r="J714" i="5"/>
  <c r="K714" i="5"/>
  <c r="L714" i="5"/>
  <c r="M714" i="5"/>
  <c r="J715" i="5"/>
  <c r="K715" i="5"/>
  <c r="L715" i="5"/>
  <c r="M715" i="5"/>
  <c r="J716" i="5"/>
  <c r="K716" i="5"/>
  <c r="L716" i="5"/>
  <c r="M716" i="5"/>
  <c r="J717" i="5"/>
  <c r="K717" i="5"/>
  <c r="L717" i="5"/>
  <c r="M717" i="5"/>
  <c r="J718" i="5"/>
  <c r="K718" i="5"/>
  <c r="L718" i="5"/>
  <c r="M718" i="5"/>
  <c r="J719" i="5"/>
  <c r="K719" i="5"/>
  <c r="L719" i="5"/>
  <c r="M719" i="5"/>
  <c r="J720" i="5"/>
  <c r="K720" i="5"/>
  <c r="L720" i="5"/>
  <c r="M720" i="5"/>
  <c r="J721" i="5"/>
  <c r="K721" i="5"/>
  <c r="L721" i="5"/>
  <c r="M721" i="5"/>
  <c r="J722" i="5"/>
  <c r="K722" i="5"/>
  <c r="L722" i="5"/>
  <c r="M722" i="5"/>
  <c r="J723" i="5"/>
  <c r="K723" i="5"/>
  <c r="L723" i="5"/>
  <c r="M723" i="5"/>
  <c r="J724" i="5"/>
  <c r="K724" i="5"/>
  <c r="L724" i="5"/>
  <c r="M724" i="5"/>
  <c r="J725" i="5"/>
  <c r="K725" i="5"/>
  <c r="L725" i="5"/>
  <c r="M725" i="5"/>
  <c r="J726" i="5"/>
  <c r="K726" i="5"/>
  <c r="L726" i="5"/>
  <c r="M726" i="5"/>
  <c r="J727" i="5"/>
  <c r="K727" i="5"/>
  <c r="L727" i="5"/>
  <c r="M727" i="5"/>
  <c r="J728" i="5"/>
  <c r="K728" i="5"/>
  <c r="L728" i="5"/>
  <c r="M728" i="5"/>
  <c r="J729" i="5"/>
  <c r="K729" i="5"/>
  <c r="L729" i="5"/>
  <c r="M729" i="5"/>
  <c r="J730" i="5"/>
  <c r="K730" i="5"/>
  <c r="L730" i="5"/>
  <c r="M730" i="5"/>
  <c r="J731" i="5"/>
  <c r="K731" i="5"/>
  <c r="L731" i="5"/>
  <c r="M731" i="5"/>
  <c r="J732" i="5"/>
  <c r="K732" i="5"/>
  <c r="L732" i="5"/>
  <c r="M732" i="5"/>
  <c r="J733" i="5"/>
  <c r="K733" i="5"/>
  <c r="L733" i="5"/>
  <c r="M733" i="5"/>
  <c r="J734" i="5"/>
  <c r="K734" i="5"/>
  <c r="L734" i="5"/>
  <c r="M734" i="5"/>
  <c r="J735" i="5"/>
  <c r="K735" i="5"/>
  <c r="L735" i="5"/>
  <c r="M735" i="5"/>
  <c r="J736" i="5"/>
  <c r="K736" i="5"/>
  <c r="L736" i="5"/>
  <c r="M736" i="5"/>
  <c r="J737" i="5"/>
  <c r="K737" i="5"/>
  <c r="L737" i="5"/>
  <c r="M737" i="5"/>
  <c r="J738" i="5"/>
  <c r="K738" i="5"/>
  <c r="L738" i="5"/>
  <c r="M738" i="5"/>
  <c r="J739" i="5"/>
  <c r="K739" i="5"/>
  <c r="L739" i="5"/>
  <c r="M739" i="5"/>
  <c r="J740" i="5"/>
  <c r="K740" i="5"/>
  <c r="L740" i="5"/>
  <c r="M740" i="5"/>
  <c r="J741" i="5"/>
  <c r="K741" i="5"/>
  <c r="L741" i="5"/>
  <c r="M741" i="5"/>
  <c r="J742" i="5"/>
  <c r="K742" i="5"/>
  <c r="L742" i="5"/>
  <c r="M742" i="5"/>
  <c r="J743" i="5"/>
  <c r="K743" i="5"/>
  <c r="L743" i="5"/>
  <c r="M743" i="5"/>
  <c r="J744" i="5"/>
  <c r="K744" i="5"/>
  <c r="L744" i="5"/>
  <c r="M744" i="5"/>
  <c r="J745" i="5"/>
  <c r="K745" i="5"/>
  <c r="L745" i="5"/>
  <c r="M745" i="5"/>
  <c r="J746" i="5"/>
  <c r="K746" i="5"/>
  <c r="L746" i="5"/>
  <c r="M746" i="5"/>
  <c r="J747" i="5"/>
  <c r="K747" i="5"/>
  <c r="L747" i="5"/>
  <c r="M747" i="5"/>
  <c r="J748" i="5"/>
  <c r="K748" i="5"/>
  <c r="L748" i="5"/>
  <c r="M748" i="5"/>
  <c r="J749" i="5"/>
  <c r="K749" i="5"/>
  <c r="L749" i="5"/>
  <c r="M749" i="5"/>
  <c r="J750" i="5"/>
  <c r="K750" i="5"/>
  <c r="L750" i="5"/>
  <c r="M750" i="5"/>
  <c r="J751" i="5"/>
  <c r="K751" i="5"/>
  <c r="L751" i="5"/>
  <c r="M751" i="5"/>
  <c r="J752" i="5"/>
  <c r="K752" i="5"/>
  <c r="L752" i="5"/>
  <c r="M752" i="5"/>
  <c r="J753" i="5"/>
  <c r="K753" i="5"/>
  <c r="L753" i="5"/>
  <c r="M753" i="5"/>
  <c r="J754" i="5"/>
  <c r="K754" i="5"/>
  <c r="L754" i="5"/>
  <c r="M754" i="5"/>
  <c r="J755" i="5"/>
  <c r="K755" i="5"/>
  <c r="L755" i="5"/>
  <c r="M755" i="5"/>
  <c r="J756" i="5"/>
  <c r="K756" i="5"/>
  <c r="L756" i="5"/>
  <c r="M756" i="5"/>
  <c r="J757" i="5"/>
  <c r="K757" i="5"/>
  <c r="L757" i="5"/>
  <c r="M757" i="5"/>
  <c r="J758" i="5"/>
  <c r="K758" i="5"/>
  <c r="L758" i="5"/>
  <c r="M758" i="5"/>
  <c r="J759" i="5"/>
  <c r="K759" i="5"/>
  <c r="L759" i="5"/>
  <c r="M759" i="5"/>
  <c r="J760" i="5"/>
  <c r="K760" i="5"/>
  <c r="L760" i="5"/>
  <c r="M760" i="5"/>
  <c r="J761" i="5"/>
  <c r="K761" i="5"/>
  <c r="L761" i="5"/>
  <c r="M761" i="5"/>
  <c r="J762" i="5"/>
  <c r="K762" i="5"/>
  <c r="L762" i="5"/>
  <c r="M762" i="5"/>
  <c r="J763" i="5"/>
  <c r="K763" i="5"/>
  <c r="L763" i="5"/>
  <c r="M763" i="5"/>
  <c r="J764" i="5"/>
  <c r="K764" i="5"/>
  <c r="L764" i="5"/>
  <c r="M764" i="5"/>
  <c r="J765" i="5"/>
  <c r="K765" i="5"/>
  <c r="L765" i="5"/>
  <c r="M765" i="5"/>
  <c r="J766" i="5"/>
  <c r="K766" i="5"/>
  <c r="L766" i="5"/>
  <c r="M766" i="5"/>
  <c r="J767" i="5"/>
  <c r="K767" i="5"/>
  <c r="L767" i="5"/>
  <c r="M767" i="5"/>
  <c r="J768" i="5"/>
  <c r="K768" i="5"/>
  <c r="L768" i="5"/>
  <c r="M768" i="5"/>
  <c r="J769" i="5"/>
  <c r="K769" i="5"/>
  <c r="L769" i="5"/>
  <c r="M769" i="5"/>
  <c r="J770" i="5"/>
  <c r="K770" i="5"/>
  <c r="L770" i="5"/>
  <c r="M770" i="5"/>
  <c r="J771" i="5"/>
  <c r="K771" i="5"/>
  <c r="L771" i="5"/>
  <c r="M771" i="5"/>
  <c r="J772" i="5"/>
  <c r="K772" i="5"/>
  <c r="L772" i="5"/>
  <c r="M772" i="5"/>
  <c r="J773" i="5"/>
  <c r="K773" i="5"/>
  <c r="L773" i="5"/>
  <c r="M773" i="5"/>
  <c r="J774" i="5"/>
  <c r="K774" i="5"/>
  <c r="L774" i="5"/>
  <c r="M774" i="5"/>
  <c r="J775" i="5"/>
  <c r="K775" i="5"/>
  <c r="L775" i="5"/>
  <c r="M775" i="5"/>
  <c r="J776" i="5"/>
  <c r="K776" i="5"/>
  <c r="L776" i="5"/>
  <c r="M776" i="5"/>
  <c r="J777" i="5"/>
  <c r="K777" i="5"/>
  <c r="L777" i="5"/>
  <c r="M777" i="5"/>
  <c r="J778" i="5"/>
  <c r="K778" i="5"/>
  <c r="L778" i="5"/>
  <c r="M778" i="5"/>
  <c r="J779" i="5"/>
  <c r="K779" i="5"/>
  <c r="L779" i="5"/>
  <c r="M779" i="5"/>
  <c r="J780" i="5"/>
  <c r="K780" i="5"/>
  <c r="L780" i="5"/>
  <c r="M780" i="5"/>
  <c r="J781" i="5"/>
  <c r="K781" i="5"/>
  <c r="L781" i="5"/>
  <c r="M781" i="5"/>
  <c r="J782" i="5"/>
  <c r="K782" i="5"/>
  <c r="L782" i="5"/>
  <c r="M782" i="5"/>
  <c r="J783" i="5"/>
  <c r="K783" i="5"/>
  <c r="L783" i="5"/>
  <c r="M783" i="5"/>
  <c r="J784" i="5"/>
  <c r="K784" i="5"/>
  <c r="L784" i="5"/>
  <c r="M784" i="5"/>
  <c r="J785" i="5"/>
  <c r="K785" i="5"/>
  <c r="L785" i="5"/>
  <c r="M785" i="5"/>
  <c r="J786" i="5"/>
  <c r="K786" i="5"/>
  <c r="L786" i="5"/>
  <c r="M786" i="5"/>
  <c r="J787" i="5"/>
  <c r="K787" i="5"/>
  <c r="L787" i="5"/>
  <c r="M787" i="5"/>
  <c r="J788" i="5"/>
  <c r="K788" i="5"/>
  <c r="L788" i="5"/>
  <c r="M788" i="5"/>
  <c r="J789" i="5"/>
  <c r="K789" i="5"/>
  <c r="L789" i="5"/>
  <c r="M789" i="5"/>
  <c r="J790" i="5"/>
  <c r="K790" i="5"/>
  <c r="L790" i="5"/>
  <c r="M790" i="5"/>
  <c r="J791" i="5"/>
  <c r="K791" i="5"/>
  <c r="L791" i="5"/>
  <c r="M791" i="5"/>
  <c r="J792" i="5"/>
  <c r="K792" i="5"/>
  <c r="L792" i="5"/>
  <c r="M792" i="5"/>
  <c r="J793" i="5"/>
  <c r="K793" i="5"/>
  <c r="L793" i="5"/>
  <c r="M793" i="5"/>
  <c r="J794" i="5"/>
  <c r="K794" i="5"/>
  <c r="L794" i="5"/>
  <c r="M794" i="5"/>
  <c r="J795" i="5"/>
  <c r="K795" i="5"/>
  <c r="L795" i="5"/>
  <c r="M795" i="5"/>
  <c r="J796" i="5"/>
  <c r="K796" i="5"/>
  <c r="L796" i="5"/>
  <c r="M796" i="5"/>
  <c r="J797" i="5"/>
  <c r="K797" i="5"/>
  <c r="L797" i="5"/>
  <c r="M797" i="5"/>
  <c r="J798" i="5"/>
  <c r="K798" i="5"/>
  <c r="L798" i="5"/>
  <c r="M798" i="5"/>
  <c r="J799" i="5"/>
  <c r="K799" i="5"/>
  <c r="L799" i="5"/>
  <c r="M799" i="5"/>
  <c r="J800" i="5"/>
  <c r="K800" i="5"/>
  <c r="L800" i="5"/>
  <c r="M800" i="5"/>
  <c r="J801" i="5"/>
  <c r="K801" i="5"/>
  <c r="L801" i="5"/>
  <c r="M801" i="5"/>
  <c r="J802" i="5"/>
  <c r="K802" i="5"/>
  <c r="L802" i="5"/>
  <c r="M802" i="5"/>
  <c r="J803" i="5"/>
  <c r="K803" i="5"/>
  <c r="L803" i="5"/>
  <c r="M803" i="5"/>
  <c r="J804" i="5"/>
  <c r="K804" i="5"/>
  <c r="L804" i="5"/>
  <c r="M804" i="5"/>
  <c r="J805" i="5"/>
  <c r="K805" i="5"/>
  <c r="L805" i="5"/>
  <c r="M805" i="5"/>
  <c r="J806" i="5"/>
  <c r="K806" i="5"/>
  <c r="L806" i="5"/>
  <c r="M806" i="5"/>
  <c r="J807" i="5"/>
  <c r="K807" i="5"/>
  <c r="L807" i="5"/>
  <c r="M807" i="5"/>
  <c r="J808" i="5"/>
  <c r="K808" i="5"/>
  <c r="L808" i="5"/>
  <c r="M808" i="5"/>
  <c r="J809" i="5"/>
  <c r="K809" i="5"/>
  <c r="L809" i="5"/>
  <c r="M809" i="5"/>
  <c r="J810" i="5"/>
  <c r="K810" i="5"/>
  <c r="L810" i="5"/>
  <c r="M810" i="5"/>
  <c r="J811" i="5"/>
  <c r="K811" i="5"/>
  <c r="L811" i="5"/>
  <c r="M811" i="5"/>
  <c r="J812" i="5"/>
  <c r="K812" i="5"/>
  <c r="L812" i="5"/>
  <c r="M812" i="5"/>
  <c r="J813" i="5"/>
  <c r="K813" i="5"/>
  <c r="L813" i="5"/>
  <c r="M813" i="5"/>
  <c r="J814" i="5"/>
  <c r="K814" i="5"/>
  <c r="L814" i="5"/>
  <c r="M814" i="5"/>
  <c r="J815" i="5"/>
  <c r="K815" i="5"/>
  <c r="L815" i="5"/>
  <c r="M815" i="5"/>
  <c r="J816" i="5"/>
  <c r="K816" i="5"/>
  <c r="L816" i="5"/>
  <c r="M816" i="5"/>
  <c r="J817" i="5"/>
  <c r="K817" i="5"/>
  <c r="L817" i="5"/>
  <c r="M817" i="5"/>
  <c r="J818" i="5"/>
  <c r="K818" i="5"/>
  <c r="L818" i="5"/>
  <c r="M818" i="5"/>
  <c r="J819" i="5"/>
  <c r="K819" i="5"/>
  <c r="L819" i="5"/>
  <c r="M819" i="5"/>
  <c r="J820" i="5"/>
  <c r="K820" i="5"/>
  <c r="L820" i="5"/>
  <c r="M820" i="5"/>
  <c r="J821" i="5"/>
  <c r="K821" i="5"/>
  <c r="L821" i="5"/>
  <c r="M821" i="5"/>
  <c r="J822" i="5"/>
  <c r="K822" i="5"/>
  <c r="L822" i="5"/>
  <c r="M822" i="5"/>
  <c r="J823" i="5"/>
  <c r="K823" i="5"/>
  <c r="L823" i="5"/>
  <c r="M823" i="5"/>
  <c r="J824" i="5"/>
  <c r="K824" i="5"/>
  <c r="L824" i="5"/>
  <c r="M824" i="5"/>
  <c r="J825" i="5"/>
  <c r="K825" i="5"/>
  <c r="L825" i="5"/>
  <c r="M825" i="5"/>
  <c r="J826" i="5"/>
  <c r="K826" i="5"/>
  <c r="L826" i="5"/>
  <c r="M826" i="5"/>
  <c r="J827" i="5"/>
  <c r="K827" i="5"/>
  <c r="L827" i="5"/>
  <c r="M827" i="5"/>
  <c r="J828" i="5"/>
  <c r="K828" i="5"/>
  <c r="L828" i="5"/>
  <c r="M828" i="5"/>
  <c r="J829" i="5"/>
  <c r="K829" i="5"/>
  <c r="L829" i="5"/>
  <c r="M829" i="5"/>
  <c r="J830" i="5"/>
  <c r="K830" i="5"/>
  <c r="L830" i="5"/>
  <c r="M830" i="5"/>
  <c r="J831" i="5"/>
  <c r="K831" i="5"/>
  <c r="L831" i="5"/>
  <c r="M831" i="5"/>
  <c r="J832" i="5"/>
  <c r="K832" i="5"/>
  <c r="L832" i="5"/>
  <c r="M832" i="5"/>
  <c r="J833" i="5"/>
  <c r="K833" i="5"/>
  <c r="L833" i="5"/>
  <c r="M833" i="5"/>
  <c r="J834" i="5"/>
  <c r="K834" i="5"/>
  <c r="L834" i="5"/>
  <c r="M834" i="5"/>
  <c r="J835" i="5"/>
  <c r="K835" i="5"/>
  <c r="L835" i="5"/>
  <c r="M835" i="5"/>
  <c r="J836" i="5"/>
  <c r="K836" i="5"/>
  <c r="L836" i="5"/>
  <c r="M836" i="5"/>
  <c r="J837" i="5"/>
  <c r="K837" i="5"/>
  <c r="L837" i="5"/>
  <c r="M837" i="5"/>
  <c r="J838" i="5"/>
  <c r="K838" i="5"/>
  <c r="L838" i="5"/>
  <c r="M838" i="5"/>
  <c r="J839" i="5"/>
  <c r="K839" i="5"/>
  <c r="L839" i="5"/>
  <c r="M839" i="5"/>
  <c r="J840" i="5"/>
  <c r="K840" i="5"/>
  <c r="L840" i="5"/>
  <c r="M840" i="5"/>
  <c r="J841" i="5"/>
  <c r="K841" i="5"/>
  <c r="L841" i="5"/>
  <c r="M841" i="5"/>
  <c r="J842" i="5"/>
  <c r="K842" i="5"/>
  <c r="L842" i="5"/>
  <c r="M842" i="5"/>
  <c r="J843" i="5"/>
  <c r="K843" i="5"/>
  <c r="L843" i="5"/>
  <c r="M843" i="5"/>
  <c r="J844" i="5"/>
  <c r="K844" i="5"/>
  <c r="L844" i="5"/>
  <c r="M844" i="5"/>
  <c r="J845" i="5"/>
  <c r="K845" i="5"/>
  <c r="L845" i="5"/>
  <c r="M845" i="5"/>
  <c r="J846" i="5"/>
  <c r="K846" i="5"/>
  <c r="L846" i="5"/>
  <c r="M846" i="5"/>
  <c r="J847" i="5"/>
  <c r="K847" i="5"/>
  <c r="L847" i="5"/>
  <c r="M847" i="5"/>
  <c r="J848" i="5"/>
  <c r="K848" i="5"/>
  <c r="L848" i="5"/>
  <c r="M848" i="5"/>
  <c r="J849" i="5"/>
  <c r="K849" i="5"/>
  <c r="L849" i="5"/>
  <c r="M849" i="5"/>
  <c r="J850" i="5"/>
  <c r="K850" i="5"/>
  <c r="L850" i="5"/>
  <c r="M850" i="5"/>
  <c r="J851" i="5"/>
  <c r="K851" i="5"/>
  <c r="L851" i="5"/>
  <c r="M851" i="5"/>
  <c r="J852" i="5"/>
  <c r="K852" i="5"/>
  <c r="L852" i="5"/>
  <c r="M852" i="5"/>
  <c r="J853" i="5"/>
  <c r="K853" i="5"/>
  <c r="L853" i="5"/>
  <c r="M853" i="5"/>
  <c r="J854" i="5"/>
  <c r="K854" i="5"/>
  <c r="L854" i="5"/>
  <c r="M854" i="5"/>
  <c r="J855" i="5"/>
  <c r="K855" i="5"/>
  <c r="L855" i="5"/>
  <c r="M855" i="5"/>
  <c r="J856" i="5"/>
  <c r="K856" i="5"/>
  <c r="L856" i="5"/>
  <c r="M856" i="5"/>
  <c r="J857" i="5"/>
  <c r="K857" i="5"/>
  <c r="L857" i="5"/>
  <c r="M857" i="5"/>
  <c r="J858" i="5"/>
  <c r="K858" i="5"/>
  <c r="L858" i="5"/>
  <c r="M858" i="5"/>
  <c r="J859" i="5"/>
  <c r="K859" i="5"/>
  <c r="L859" i="5"/>
  <c r="M859" i="5"/>
  <c r="J860" i="5"/>
  <c r="K860" i="5"/>
  <c r="L860" i="5"/>
  <c r="M860" i="5"/>
  <c r="J861" i="5"/>
  <c r="K861" i="5"/>
  <c r="L861" i="5"/>
  <c r="M861" i="5"/>
  <c r="J862" i="5"/>
  <c r="K862" i="5"/>
  <c r="L862" i="5"/>
  <c r="M862" i="5"/>
  <c r="J863" i="5"/>
  <c r="K863" i="5"/>
  <c r="L863" i="5"/>
  <c r="M863" i="5"/>
  <c r="J864" i="5"/>
  <c r="K864" i="5"/>
  <c r="L864" i="5"/>
  <c r="M864" i="5"/>
  <c r="J865" i="5"/>
  <c r="K865" i="5"/>
  <c r="L865" i="5"/>
  <c r="M865" i="5"/>
  <c r="J866" i="5"/>
  <c r="K866" i="5"/>
  <c r="L866" i="5"/>
  <c r="M866" i="5"/>
  <c r="J867" i="5"/>
  <c r="K867" i="5"/>
  <c r="L867" i="5"/>
  <c r="M867" i="5"/>
  <c r="J868" i="5"/>
  <c r="K868" i="5"/>
  <c r="L868" i="5"/>
  <c r="M868" i="5"/>
  <c r="J869" i="5"/>
  <c r="K869" i="5"/>
  <c r="L869" i="5"/>
  <c r="M869" i="5"/>
  <c r="J870" i="5"/>
  <c r="K870" i="5"/>
  <c r="L870" i="5"/>
  <c r="M870" i="5"/>
  <c r="J871" i="5"/>
  <c r="K871" i="5"/>
  <c r="L871" i="5"/>
  <c r="M871" i="5"/>
  <c r="J872" i="5"/>
  <c r="K872" i="5"/>
  <c r="L872" i="5"/>
  <c r="M872" i="5"/>
  <c r="J873" i="5"/>
  <c r="K873" i="5"/>
  <c r="L873" i="5"/>
  <c r="M873" i="5"/>
  <c r="J874" i="5"/>
  <c r="K874" i="5"/>
  <c r="L874" i="5"/>
  <c r="M874" i="5"/>
  <c r="J875" i="5"/>
  <c r="K875" i="5"/>
  <c r="L875" i="5"/>
  <c r="M875" i="5"/>
  <c r="J876" i="5"/>
  <c r="K876" i="5"/>
  <c r="L876" i="5"/>
  <c r="M876" i="5"/>
  <c r="J877" i="5"/>
  <c r="K877" i="5"/>
  <c r="L877" i="5"/>
  <c r="M877" i="5"/>
  <c r="J878" i="5"/>
  <c r="K878" i="5"/>
  <c r="L878" i="5"/>
  <c r="M878" i="5"/>
  <c r="J879" i="5"/>
  <c r="K879" i="5"/>
  <c r="L879" i="5"/>
  <c r="M879" i="5"/>
  <c r="J880" i="5"/>
  <c r="K880" i="5"/>
  <c r="L880" i="5"/>
  <c r="M880" i="5"/>
  <c r="J881" i="5"/>
  <c r="K881" i="5"/>
  <c r="L881" i="5"/>
  <c r="M881" i="5"/>
  <c r="J882" i="5"/>
  <c r="K882" i="5"/>
  <c r="L882" i="5"/>
  <c r="M882" i="5"/>
  <c r="J883" i="5"/>
  <c r="K883" i="5"/>
  <c r="L883" i="5"/>
  <c r="M883" i="5"/>
  <c r="J884" i="5"/>
  <c r="K884" i="5"/>
  <c r="L884" i="5"/>
  <c r="M884" i="5"/>
  <c r="J885" i="5"/>
  <c r="K885" i="5"/>
  <c r="L885" i="5"/>
  <c r="M885" i="5"/>
  <c r="J886" i="5"/>
  <c r="K886" i="5"/>
  <c r="L886" i="5"/>
  <c r="M886" i="5"/>
  <c r="J887" i="5"/>
  <c r="K887" i="5"/>
  <c r="L887" i="5"/>
  <c r="M887" i="5"/>
  <c r="J888" i="5"/>
  <c r="K888" i="5"/>
  <c r="L888" i="5"/>
  <c r="M888" i="5"/>
  <c r="J889" i="5"/>
  <c r="K889" i="5"/>
  <c r="L889" i="5"/>
  <c r="M889" i="5"/>
  <c r="J890" i="5"/>
  <c r="K890" i="5"/>
  <c r="L890" i="5"/>
  <c r="M890" i="5"/>
  <c r="J891" i="5"/>
  <c r="K891" i="5"/>
  <c r="L891" i="5"/>
  <c r="M891" i="5"/>
  <c r="J892" i="5"/>
  <c r="K892" i="5"/>
  <c r="L892" i="5"/>
  <c r="M892" i="5"/>
  <c r="J893" i="5"/>
  <c r="K893" i="5"/>
  <c r="L893" i="5"/>
  <c r="M893" i="5"/>
  <c r="J894" i="5"/>
  <c r="K894" i="5"/>
  <c r="L894" i="5"/>
  <c r="M894" i="5"/>
  <c r="J895" i="5"/>
  <c r="K895" i="5"/>
  <c r="L895" i="5"/>
  <c r="M895" i="5"/>
  <c r="J896" i="5"/>
  <c r="K896" i="5"/>
  <c r="L896" i="5"/>
  <c r="M896" i="5"/>
  <c r="J897" i="5"/>
  <c r="K897" i="5"/>
  <c r="L897" i="5"/>
  <c r="M897" i="5"/>
  <c r="J898" i="5"/>
  <c r="K898" i="5"/>
  <c r="L898" i="5"/>
  <c r="M898" i="5"/>
  <c r="J899" i="5"/>
  <c r="K899" i="5"/>
  <c r="L899" i="5"/>
  <c r="M899" i="5"/>
  <c r="J900" i="5"/>
  <c r="K900" i="5"/>
  <c r="L900" i="5"/>
  <c r="M900" i="5"/>
  <c r="J901" i="5"/>
  <c r="K901" i="5"/>
  <c r="L901" i="5"/>
  <c r="M901" i="5"/>
  <c r="J902" i="5"/>
  <c r="K902" i="5"/>
  <c r="L902" i="5"/>
  <c r="M902" i="5"/>
  <c r="J903" i="5"/>
  <c r="K903" i="5"/>
  <c r="L903" i="5"/>
  <c r="M903" i="5"/>
  <c r="J904" i="5"/>
  <c r="K904" i="5"/>
  <c r="L904" i="5"/>
  <c r="M904" i="5"/>
  <c r="J905" i="5"/>
  <c r="K905" i="5"/>
  <c r="L905" i="5"/>
  <c r="M905" i="5"/>
  <c r="J906" i="5"/>
  <c r="K906" i="5"/>
  <c r="L906" i="5"/>
  <c r="M906" i="5"/>
  <c r="J907" i="5"/>
  <c r="K907" i="5"/>
  <c r="L907" i="5"/>
  <c r="M907" i="5"/>
  <c r="J908" i="5"/>
  <c r="K908" i="5"/>
  <c r="L908" i="5"/>
  <c r="M908" i="5"/>
  <c r="J909" i="5"/>
  <c r="K909" i="5"/>
  <c r="L909" i="5"/>
  <c r="M909" i="5"/>
  <c r="J910" i="5"/>
  <c r="K910" i="5"/>
  <c r="L910" i="5"/>
  <c r="M910" i="5"/>
  <c r="K911" i="5"/>
  <c r="L911" i="5"/>
  <c r="M911" i="5"/>
  <c r="J912" i="5"/>
  <c r="K912" i="5"/>
  <c r="L912" i="5"/>
  <c r="M912" i="5"/>
  <c r="M2" i="5"/>
  <c r="K2" i="5"/>
  <c r="L2" i="5"/>
  <c r="J2" i="5"/>
  <c r="V11" i="3"/>
  <c r="V12" i="3"/>
  <c r="V10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4" i="3"/>
  <c r="H24" i="1"/>
  <c r="H23" i="1"/>
  <c r="H26" i="1" s="1"/>
  <c r="U11" i="3" l="1"/>
  <c r="U12" i="3"/>
  <c r="U10" i="3"/>
  <c r="S24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10" i="3"/>
</calcChain>
</file>

<file path=xl/sharedStrings.xml><?xml version="1.0" encoding="utf-8"?>
<sst xmlns="http://schemas.openxmlformats.org/spreadsheetml/2006/main" count="10013" uniqueCount="2415">
  <si>
    <t>SM2 Alg</t>
  </si>
  <si>
    <t>Article ID</t>
  </si>
  <si>
    <t>Content</t>
  </si>
  <si>
    <t>Interest 1</t>
  </si>
  <si>
    <t>Interest 2</t>
  </si>
  <si>
    <t>Interest 3</t>
  </si>
  <si>
    <t>SM2 Tag</t>
  </si>
  <si>
    <t>Fruits</t>
  </si>
  <si>
    <t>Cooking Video</t>
  </si>
  <si>
    <t>Food</t>
  </si>
  <si>
    <t>Italian</t>
  </si>
  <si>
    <t>Location</t>
  </si>
  <si>
    <t>Travel Vlog</t>
  </si>
  <si>
    <t>Season</t>
  </si>
  <si>
    <t>Story time with dog</t>
  </si>
  <si>
    <t>mood</t>
  </si>
  <si>
    <t>animal</t>
  </si>
  <si>
    <t>Mood</t>
  </si>
  <si>
    <t>History educational content</t>
  </si>
  <si>
    <t>History</t>
  </si>
  <si>
    <t>Past/Present/Future</t>
  </si>
  <si>
    <t>Plants</t>
  </si>
  <si>
    <t>Animals</t>
  </si>
  <si>
    <t>Kitchen</t>
  </si>
  <si>
    <t>Phase 1</t>
  </si>
  <si>
    <t>Current</t>
  </si>
  <si>
    <t>Articles and Translated</t>
  </si>
  <si>
    <t>Elo System</t>
  </si>
  <si>
    <t>Frequency Dictionary</t>
  </si>
  <si>
    <t>Database of Frequency Dictionary</t>
  </si>
  <si>
    <t>Catorgoried with Tags</t>
  </si>
  <si>
    <t>Issac, Milan, Alex</t>
  </si>
  <si>
    <t>First 10</t>
  </si>
  <si>
    <t>Rank</t>
  </si>
  <si>
    <t>Quizes interact with DB</t>
  </si>
  <si>
    <t>criteria of a good quiz</t>
  </si>
  <si>
    <t>Make a prompt for quiz generation</t>
  </si>
  <si>
    <t>Novice</t>
  </si>
  <si>
    <t>Impliment Quiz into product</t>
  </si>
  <si>
    <t>Beg</t>
  </si>
  <si>
    <t>Inter</t>
  </si>
  <si>
    <t>Quizes with articles with key words with SM2 Algorithmn</t>
  </si>
  <si>
    <t>Pro</t>
  </si>
  <si>
    <t>Key Dev</t>
  </si>
  <si>
    <t>Cost effective AI models</t>
  </si>
  <si>
    <t>Linking Frequency table to articles</t>
  </si>
  <si>
    <t>Quiz to AI Model, cost effective, w prompt with article ID</t>
  </si>
  <si>
    <t>Click on article -&gt; Starts prompt on Quiz</t>
  </si>
  <si>
    <t>Elo based system quizes profile</t>
  </si>
  <si>
    <t>Milan and Issac Architecture</t>
  </si>
  <si>
    <t xml:space="preserve">Starting elo </t>
  </si>
  <si>
    <t>plus quiz</t>
  </si>
  <si>
    <t>Adv</t>
  </si>
  <si>
    <t>Phase 2</t>
  </si>
  <si>
    <t>Quiz talks to SM2 based on Score</t>
  </si>
  <si>
    <t>Spanish, French, Japanese, Korean, and German</t>
  </si>
  <si>
    <t>Dialects</t>
  </si>
  <si>
    <t>Wordopedia</t>
  </si>
  <si>
    <t>rank</t>
  </si>
  <si>
    <t>word</t>
  </si>
  <si>
    <t>absolute frequency</t>
  </si>
  <si>
    <t>lemma forms</t>
  </si>
  <si>
    <t>Word Dictionary</t>
  </si>
  <si>
    <t>https://wortschatz.uni-leipzig.de/en/download/spa</t>
  </si>
  <si>
    <t>de</t>
  </si>
  <si>
    <r>
      <t>The </t>
    </r>
    <r>
      <rPr>
        <b/>
        <sz val="12"/>
        <color rgb="FF000000"/>
        <rFont val="Aptos Narrow"/>
        <family val="2"/>
        <scheme val="minor"/>
      </rPr>
      <t>Leipzig Corpora Collection (University of Leipzig)</t>
    </r>
    <r>
      <rPr>
        <sz val="14"/>
        <color rgb="FF000000"/>
        <rFont val="-webkit-standard"/>
      </rPr>
      <t> is highly credible and considered one of the premier resources in the field of computational linguistics. Within academic and data science circles, it is a standard source for word frequency data.</t>
    </r>
  </si>
  <si>
    <t>la</t>
  </si>
  <si>
    <t>en</t>
  </si>
  <si>
    <t>University of Leipzig</t>
  </si>
  <si>
    <t>el</t>
  </si>
  <si>
    <t>y</t>
  </si>
  <si>
    <t>que</t>
  </si>
  <si>
    <t>a</t>
  </si>
  <si>
    <t>CATEGORYS</t>
  </si>
  <si>
    <t>se</t>
  </si>
  <si>
    <t>los</t>
  </si>
  <si>
    <t>Category ID</t>
  </si>
  <si>
    <t>Category Name</t>
  </si>
  <si>
    <t>del</t>
  </si>
  <si>
    <t>Politics &amp; Government</t>
  </si>
  <si>
    <t>un</t>
  </si>
  <si>
    <t>Economics &amp; Business</t>
  </si>
  <si>
    <t>su</t>
  </si>
  <si>
    <t>Arts, Culture &amp; Entertainment</t>
  </si>
  <si>
    <t>una</t>
  </si>
  <si>
    <t>Sports</t>
  </si>
  <si>
    <t>con</t>
  </si>
  <si>
    <t>Science, Technology &amp; Health</t>
  </si>
  <si>
    <t>las</t>
  </si>
  <si>
    <t>Geography &amp; Nature</t>
  </si>
  <si>
    <t>por</t>
  </si>
  <si>
    <t>Education &amp; Research</t>
  </si>
  <si>
    <t>para</t>
  </si>
  <si>
    <t>Law &amp; Security</t>
  </si>
  <si>
    <t>es</t>
  </si>
  <si>
    <t>Religion &amp; History</t>
  </si>
  <si>
    <t>El</t>
  </si>
  <si>
    <t>como</t>
  </si>
  <si>
    <t>al</t>
  </si>
  <si>
    <t>En</t>
  </si>
  <si>
    <t>fue</t>
  </si>
  <si>
    <t>no</t>
  </si>
  <si>
    <t>La</t>
  </si>
  <si>
    <t>más</t>
  </si>
  <si>
    <t>sus</t>
  </si>
  <si>
    <t>lo</t>
  </si>
  <si>
    <t>o</t>
  </si>
  <si>
    <t>también</t>
  </si>
  <si>
    <t>dos</t>
  </si>
  <si>
    <t>Los</t>
  </si>
  <si>
    <t>entre</t>
  </si>
  <si>
    <t>años</t>
  </si>
  <si>
    <t>pero</t>
  </si>
  <si>
    <t>ha</t>
  </si>
  <si>
    <t>este</t>
  </si>
  <si>
    <t>sobre</t>
  </si>
  <si>
    <t>le</t>
  </si>
  <si>
    <t>son</t>
  </si>
  <si>
    <t>hasta</t>
  </si>
  <si>
    <t>ser</t>
  </si>
  <si>
    <t>era</t>
  </si>
  <si>
    <t>año</t>
  </si>
  <si>
    <t>A</t>
  </si>
  <si>
    <t>parte</t>
  </si>
  <si>
    <t>esta</t>
  </si>
  <si>
    <t>donde</t>
  </si>
  <si>
    <t>desde</t>
  </si>
  <si>
    <t>después</t>
  </si>
  <si>
    <t>Se</t>
  </si>
  <si>
    <t>puede</t>
  </si>
  <si>
    <t>sin</t>
  </si>
  <si>
    <t>durante</t>
  </si>
  <si>
    <t>tiene</t>
  </si>
  <si>
    <t>Su</t>
  </si>
  <si>
    <t>ya</t>
  </si>
  <si>
    <t>Las</t>
  </si>
  <si>
    <t>cuando</t>
  </si>
  <si>
    <t>muy</t>
  </si>
  <si>
    <t>había</t>
  </si>
  <si>
    <t>está</t>
  </si>
  <si>
    <t>vez</t>
  </si>
  <si>
    <t>primera</t>
  </si>
  <si>
    <t>mismo</t>
  </si>
  <si>
    <t>fueron</t>
  </si>
  <si>
    <t>tiempo</t>
  </si>
  <si>
    <t>sido</t>
  </si>
  <si>
    <t>otros</t>
  </si>
  <si>
    <t>ciudad</t>
  </si>
  <si>
    <t>embargo</t>
  </si>
  <si>
    <t>uno</t>
  </si>
  <si>
    <t>todo</t>
  </si>
  <si>
    <t>primer</t>
  </si>
  <si>
    <t>solo</t>
  </si>
  <si>
    <t>cada</t>
  </si>
  <si>
    <t>lugar</t>
  </si>
  <si>
    <t>gran</t>
  </si>
  <si>
    <t>tres</t>
  </si>
  <si>
    <t>forma</t>
  </si>
  <si>
    <t>nombre</t>
  </si>
  <si>
    <t>Por</t>
  </si>
  <si>
    <t>e</t>
  </si>
  <si>
    <t>Es</t>
  </si>
  <si>
    <t>Sin</t>
  </si>
  <si>
    <t>mayor</t>
  </si>
  <si>
    <t>tanto</t>
  </si>
  <si>
    <t>todos</t>
  </si>
  <si>
    <t>pueden</t>
  </si>
  <si>
    <t>vida</t>
  </si>
  <si>
    <t>Al</t>
  </si>
  <si>
    <t>han</t>
  </si>
  <si>
    <t>mientras</t>
  </si>
  <si>
    <t>él</t>
  </si>
  <si>
    <t>así</t>
  </si>
  <si>
    <t>Fue</t>
  </si>
  <si>
    <t>nuevo</t>
  </si>
  <si>
    <t>si</t>
  </si>
  <si>
    <t>grupo</t>
  </si>
  <si>
    <t>También</t>
  </si>
  <si>
    <t>día</t>
  </si>
  <si>
    <t>contra</t>
  </si>
  <si>
    <t>otras</t>
  </si>
  <si>
    <t>ese</t>
  </si>
  <si>
    <t>De</t>
  </si>
  <si>
    <t>antes</t>
  </si>
  <si>
    <t>ella</t>
  </si>
  <si>
    <t>Esta</t>
  </si>
  <si>
    <t>Este</t>
  </si>
  <si>
    <t>cual</t>
  </si>
  <si>
    <t>personas</t>
  </si>
  <si>
    <t>trabajo</t>
  </si>
  <si>
    <t>Una</t>
  </si>
  <si>
    <t>estaba</t>
  </si>
  <si>
    <t>Después</t>
  </si>
  <si>
    <t>serie</t>
  </si>
  <si>
    <t>aunque</t>
  </si>
  <si>
    <t>mundo</t>
  </si>
  <si>
    <t>bajo</t>
  </si>
  <si>
    <t>estos</t>
  </si>
  <si>
    <t>otro</t>
  </si>
  <si>
    <t>quien</t>
  </si>
  <si>
    <t>entonces</t>
  </si>
  <si>
    <t>país</t>
  </si>
  <si>
    <t>varios</t>
  </si>
  <si>
    <t>hay</t>
  </si>
  <si>
    <t>cuenta</t>
  </si>
  <si>
    <t>hacia</t>
  </si>
  <si>
    <t>historia</t>
  </si>
  <si>
    <t>Para</t>
  </si>
  <si>
    <t>equipo</t>
  </si>
  <si>
    <t>estado</t>
  </si>
  <si>
    <t>mujeres</t>
  </si>
  <si>
    <t>través</t>
  </si>
  <si>
    <t>están</t>
  </si>
  <si>
    <t>final</t>
  </si>
  <si>
    <t>misma</t>
  </si>
  <si>
    <t>cuatro</t>
  </si>
  <si>
    <t>No</t>
  </si>
  <si>
    <t>gobierno</t>
  </si>
  <si>
    <t>ellos</t>
  </si>
  <si>
    <t>encuentra</t>
  </si>
  <si>
    <t>junto</t>
  </si>
  <si>
    <t>siglo</t>
  </si>
  <si>
    <t>Además</t>
  </si>
  <si>
    <t>algunos</t>
  </si>
  <si>
    <t>casa</t>
  </si>
  <si>
    <t>general</t>
  </si>
  <si>
    <t>diferentes</t>
  </si>
  <si>
    <t>largo</t>
  </si>
  <si>
    <t>sistema</t>
  </si>
  <si>
    <t>debido</t>
  </si>
  <si>
    <t>tuvo</t>
  </si>
  <si>
    <t>tienen</t>
  </si>
  <si>
    <t>juego</t>
  </si>
  <si>
    <t>nueva</t>
  </si>
  <si>
    <t>número</t>
  </si>
  <si>
    <t>hace</t>
  </si>
  <si>
    <t>unos</t>
  </si>
  <si>
    <t>luego</t>
  </si>
  <si>
    <t>obra</t>
  </si>
  <si>
    <t>Durante</t>
  </si>
  <si>
    <t>días</t>
  </si>
  <si>
    <t>siendo</t>
  </si>
  <si>
    <t>temporada</t>
  </si>
  <si>
    <t>hombres</t>
  </si>
  <si>
    <t>tarde</t>
  </si>
  <si>
    <t>manera</t>
  </si>
  <si>
    <t>momento</t>
  </si>
  <si>
    <t>estas</t>
  </si>
  <si>
    <t>construcción</t>
  </si>
  <si>
    <t>familia</t>
  </si>
  <si>
    <t>millones</t>
  </si>
  <si>
    <t>padre</t>
  </si>
  <si>
    <t>tenía</t>
  </si>
  <si>
    <t>Desde</t>
  </si>
  <si>
    <t>mayo</t>
  </si>
  <si>
    <t>muerte</t>
  </si>
  <si>
    <t>zona</t>
  </si>
  <si>
    <t>Cuando</t>
  </si>
  <si>
    <t>San</t>
  </si>
  <si>
    <t>además</t>
  </si>
  <si>
    <t>dentro</t>
  </si>
  <si>
    <t>mayoría</t>
  </si>
  <si>
    <t>muchos</t>
  </si>
  <si>
    <t>poco</t>
  </si>
  <si>
    <t>poder</t>
  </si>
  <si>
    <t>último</t>
  </si>
  <si>
    <t>Con</t>
  </si>
  <si>
    <t>bien</t>
  </si>
  <si>
    <t>habían</t>
  </si>
  <si>
    <t>hecho</t>
  </si>
  <si>
    <t>tipo</t>
  </si>
  <si>
    <t>caso</t>
  </si>
  <si>
    <t>nivel</t>
  </si>
  <si>
    <t>población</t>
  </si>
  <si>
    <t>segundo</t>
  </si>
  <si>
    <t>hijo</t>
  </si>
  <si>
    <t>otra</t>
  </si>
  <si>
    <t>varias</t>
  </si>
  <si>
    <t>centro</t>
  </si>
  <si>
    <t>enero</t>
  </si>
  <si>
    <t>eran</t>
  </si>
  <si>
    <t>hizo</t>
  </si>
  <si>
    <t>Un</t>
  </si>
  <si>
    <t>menos</t>
  </si>
  <si>
    <t>siguiente</t>
  </si>
  <si>
    <t>película</t>
  </si>
  <si>
    <t>medio</t>
  </si>
  <si>
    <t>grandes</t>
  </si>
  <si>
    <t>guerra</t>
  </si>
  <si>
    <t>importante</t>
  </si>
  <si>
    <t>principal</t>
  </si>
  <si>
    <t>veces</t>
  </si>
  <si>
    <t>comenzó</t>
  </si>
  <si>
    <t>esto</t>
  </si>
  <si>
    <t>haber</t>
  </si>
  <si>
    <t>sino</t>
  </si>
  <si>
    <t>cuerpo</t>
  </si>
  <si>
    <t>llamado</t>
  </si>
  <si>
    <t>porque</t>
  </si>
  <si>
    <t>punto</t>
  </si>
  <si>
    <t>pesar</t>
  </si>
  <si>
    <t>total</t>
  </si>
  <si>
    <t>época</t>
  </si>
  <si>
    <t>edad</t>
  </si>
  <si>
    <t>partir</t>
  </si>
  <si>
    <t>álbum</t>
  </si>
  <si>
    <t>Aunque</t>
  </si>
  <si>
    <t>casi</t>
  </si>
  <si>
    <t>debe</t>
  </si>
  <si>
    <t>febrero</t>
  </si>
  <si>
    <t>junio</t>
  </si>
  <si>
    <t>algunas</t>
  </si>
  <si>
    <t>lado</t>
  </si>
  <si>
    <t>uso</t>
  </si>
  <si>
    <t>Estados</t>
  </si>
  <si>
    <t>carrera</t>
  </si>
  <si>
    <t>conocido</t>
  </si>
  <si>
    <t>desarrollo</t>
  </si>
  <si>
    <t>hacer</t>
  </si>
  <si>
    <t>julio</t>
  </si>
  <si>
    <t>septiembre</t>
  </si>
  <si>
    <t>convirtió</t>
  </si>
  <si>
    <t>diciembre</t>
  </si>
  <si>
    <t>fuera</t>
  </si>
  <si>
    <t>segunda</t>
  </si>
  <si>
    <t>todas</t>
  </si>
  <si>
    <t>agosto</t>
  </si>
  <si>
    <t>Estados Unidos</t>
  </si>
  <si>
    <t>Unidos</t>
  </si>
  <si>
    <t>abril</t>
  </si>
  <si>
    <t>encuentran</t>
  </si>
  <si>
    <t>frente</t>
  </si>
  <si>
    <t>obras</t>
  </si>
  <si>
    <t>según</t>
  </si>
  <si>
    <t>Sus</t>
  </si>
  <si>
    <t>The</t>
  </si>
  <si>
    <t>Tras</t>
  </si>
  <si>
    <t>tras</t>
  </si>
  <si>
    <t>les</t>
  </si>
  <si>
    <t>noviembre</t>
  </si>
  <si>
    <t>producción</t>
  </si>
  <si>
    <t>siempre</t>
  </si>
  <si>
    <t>título</t>
  </si>
  <si>
    <t>ver</t>
  </si>
  <si>
    <t>canción</t>
  </si>
  <si>
    <t>versión</t>
  </si>
  <si>
    <t>aún</t>
  </si>
  <si>
    <t>da</t>
  </si>
  <si>
    <t>estudios</t>
  </si>
  <si>
    <t>mucho</t>
  </si>
  <si>
    <t>pueblo</t>
  </si>
  <si>
    <t>seis</t>
  </si>
  <si>
    <t>alrededor</t>
  </si>
  <si>
    <t>estaban</t>
  </si>
  <si>
    <t>madre</t>
  </si>
  <si>
    <t>mejor</t>
  </si>
  <si>
    <t>primeros</t>
  </si>
  <si>
    <t>España</t>
  </si>
  <si>
    <t>agua</t>
  </si>
  <si>
    <t>dice</t>
  </si>
  <si>
    <t>esa</t>
  </si>
  <si>
    <t>hija</t>
  </si>
  <si>
    <t>proceso</t>
  </si>
  <si>
    <t>programa</t>
  </si>
  <si>
    <t>relación</t>
  </si>
  <si>
    <t>sí</t>
  </si>
  <si>
    <t>tan</t>
  </si>
  <si>
    <t>tener</t>
  </si>
  <si>
    <t>Como</t>
  </si>
  <si>
    <t>cinco</t>
  </si>
  <si>
    <t>hombre</t>
  </si>
  <si>
    <t>marzo</t>
  </si>
  <si>
    <t>partido</t>
  </si>
  <si>
    <t>proyecto</t>
  </si>
  <si>
    <t>río</t>
  </si>
  <si>
    <t>toda</t>
  </si>
  <si>
    <t>acuerdo</t>
  </si>
  <si>
    <t>cerca</t>
  </si>
  <si>
    <t>color</t>
  </si>
  <si>
    <t>nunca</t>
  </si>
  <si>
    <t>público</t>
  </si>
  <si>
    <t>Pero</t>
  </si>
  <si>
    <t>cantidad</t>
  </si>
  <si>
    <t>nacional</t>
  </si>
  <si>
    <t>meses</t>
  </si>
  <si>
    <t>muchas</t>
  </si>
  <si>
    <t>puntos</t>
  </si>
  <si>
    <t>ambos</t>
  </si>
  <si>
    <t>cambio</t>
  </si>
  <si>
    <t>campo</t>
  </si>
  <si>
    <t>cargo</t>
  </si>
  <si>
    <t>edificio</t>
  </si>
  <si>
    <t>finales</t>
  </si>
  <si>
    <t>línea</t>
  </si>
  <si>
    <t>miembros</t>
  </si>
  <si>
    <t>música</t>
  </si>
  <si>
    <t>propio</t>
  </si>
  <si>
    <t>sea</t>
  </si>
  <si>
    <t>sólo</t>
  </si>
  <si>
    <t>Estado</t>
  </si>
  <si>
    <t>aproximadamente</t>
  </si>
  <si>
    <t>cuales</t>
  </si>
  <si>
    <t>ejemplo</t>
  </si>
  <si>
    <t>metros</t>
  </si>
  <si>
    <t>norte</t>
  </si>
  <si>
    <t>problemas</t>
  </si>
  <si>
    <t>ello</t>
  </si>
  <si>
    <t>escuela</t>
  </si>
  <si>
    <t>libro</t>
  </si>
  <si>
    <t>resultado</t>
  </si>
  <si>
    <t>tierra</t>
  </si>
  <si>
    <t>Entre</t>
  </si>
  <si>
    <t>México</t>
  </si>
  <si>
    <t>Si</t>
  </si>
  <si>
    <t>espacio</t>
  </si>
  <si>
    <t>incluso</t>
  </si>
  <si>
    <t>información</t>
  </si>
  <si>
    <t>mediante</t>
  </si>
  <si>
    <t>presidente</t>
  </si>
  <si>
    <t>realizar</t>
  </si>
  <si>
    <t>servicio</t>
  </si>
  <si>
    <t>Según</t>
  </si>
  <si>
    <t>base</t>
  </si>
  <si>
    <t>datos</t>
  </si>
  <si>
    <t>ejército</t>
  </si>
  <si>
    <t>igual</t>
  </si>
  <si>
    <t>modo</t>
  </si>
  <si>
    <t>región</t>
  </si>
  <si>
    <t>Esto</t>
  </si>
  <si>
    <t>Universidad</t>
  </si>
  <si>
    <t>banda</t>
  </si>
  <si>
    <t>canciones</t>
  </si>
  <si>
    <t>cualquier</t>
  </si>
  <si>
    <t>estar</t>
  </si>
  <si>
    <t>llamada</t>
  </si>
  <si>
    <t>niños</t>
  </si>
  <si>
    <t>octubre</t>
  </si>
  <si>
    <t>posible</t>
  </si>
  <si>
    <t>sur</t>
  </si>
  <si>
    <t>tenían</t>
  </si>
  <si>
    <t>compañía</t>
  </si>
  <si>
    <t>decidió</t>
  </si>
  <si>
    <t>investigación</t>
  </si>
  <si>
    <t>política</t>
  </si>
  <si>
    <t>primeras</t>
  </si>
  <si>
    <t>principales</t>
  </si>
  <si>
    <t>tema</t>
  </si>
  <si>
    <t>área</t>
  </si>
  <si>
    <t>Así</t>
  </si>
  <si>
    <t>actividad</t>
  </si>
  <si>
    <t>alto</t>
  </si>
  <si>
    <t>central</t>
  </si>
  <si>
    <t>condiciones</t>
  </si>
  <si>
    <t>diseño</t>
  </si>
  <si>
    <t>edición</t>
  </si>
  <si>
    <t>fuerzas</t>
  </si>
  <si>
    <t>llegó</t>
  </si>
  <si>
    <t>mujer</t>
  </si>
  <si>
    <t>pequeño</t>
  </si>
  <si>
    <t>puesto</t>
  </si>
  <si>
    <t>éxito</t>
  </si>
  <si>
    <t>alta</t>
  </si>
  <si>
    <t>dio</t>
  </si>
  <si>
    <t>lucha</t>
  </si>
  <si>
    <t>of</t>
  </si>
  <si>
    <t>resto</t>
  </si>
  <si>
    <t>Estos</t>
  </si>
  <si>
    <t>Nacional</t>
  </si>
  <si>
    <t>capacidad</t>
  </si>
  <si>
    <t>fecha</t>
  </si>
  <si>
    <t>horas</t>
  </si>
  <si>
    <t>objetivo</t>
  </si>
  <si>
    <t>papel</t>
  </si>
  <si>
    <t>partidos</t>
  </si>
  <si>
    <t>temas</t>
  </si>
  <si>
    <t>única</t>
  </si>
  <si>
    <t>Juan</t>
  </si>
  <si>
    <t>allí</t>
  </si>
  <si>
    <t>club</t>
  </si>
  <si>
    <t>fin</t>
  </si>
  <si>
    <t>hoy</t>
  </si>
  <si>
    <t>jugadores</t>
  </si>
  <si>
    <t>medios</t>
  </si>
  <si>
    <t>trata</t>
  </si>
  <si>
    <t>Madrid</t>
  </si>
  <si>
    <t>decir</t>
  </si>
  <si>
    <t>educación</t>
  </si>
  <si>
    <t>estudio</t>
  </si>
  <si>
    <t>habitantes</t>
  </si>
  <si>
    <t>hijos</t>
  </si>
  <si>
    <t>local</t>
  </si>
  <si>
    <t>medida</t>
  </si>
  <si>
    <t>orden</t>
  </si>
  <si>
    <t>organización</t>
  </si>
  <si>
    <t>original</t>
  </si>
  <si>
    <t>países</t>
  </si>
  <si>
    <t>pues</t>
  </si>
  <si>
    <t>sería</t>
  </si>
  <si>
    <t>última</t>
  </si>
  <si>
    <t>único</t>
  </si>
  <si>
    <t>Nueva</t>
  </si>
  <si>
    <t>Tiene</t>
  </si>
  <si>
    <t>anterior</t>
  </si>
  <si>
    <t>control</t>
  </si>
  <si>
    <t>disco</t>
  </si>
  <si>
    <t>diversas</t>
  </si>
  <si>
    <t>fuerte</t>
  </si>
  <si>
    <t>iglesia</t>
  </si>
  <si>
    <t>libros</t>
  </si>
  <si>
    <t>militar</t>
  </si>
  <si>
    <t>nuevos</t>
  </si>
  <si>
    <t>oficial</t>
  </si>
  <si>
    <t>realizó</t>
  </si>
  <si>
    <t>servicios</t>
  </si>
  <si>
    <t>sigue</t>
  </si>
  <si>
    <t>Iglesia</t>
  </si>
  <si>
    <t>María</t>
  </si>
  <si>
    <t>Mientras</t>
  </si>
  <si>
    <t>actualidad</t>
  </si>
  <si>
    <t>ahora</t>
  </si>
  <si>
    <t>características</t>
  </si>
  <si>
    <t>dijo</t>
  </si>
  <si>
    <t>dirección</t>
  </si>
  <si>
    <t>empresa</t>
  </si>
  <si>
    <t>estuvo</t>
  </si>
  <si>
    <t>imagen</t>
  </si>
  <si>
    <t>importantes</t>
  </si>
  <si>
    <t>ley</t>
  </si>
  <si>
    <t>ni</t>
  </si>
  <si>
    <t>período</t>
  </si>
  <si>
    <t>sencillo</t>
  </si>
  <si>
    <t>ve</t>
  </si>
  <si>
    <t>Estas</t>
  </si>
  <si>
    <t>ayuda</t>
  </si>
  <si>
    <t>casos</t>
  </si>
  <si>
    <t>conocida</t>
  </si>
  <si>
    <t>elementos</t>
  </si>
  <si>
    <t>formas</t>
  </si>
  <si>
    <t>muestra</t>
  </si>
  <si>
    <t>origen</t>
  </si>
  <si>
    <t>periodo</t>
  </si>
  <si>
    <t>persona</t>
  </si>
  <si>
    <t>primero</t>
  </si>
  <si>
    <t>pudo</t>
  </si>
  <si>
    <t>sabe</t>
  </si>
  <si>
    <t>Actualmente</t>
  </si>
  <si>
    <t>América</t>
  </si>
  <si>
    <t>Centro</t>
  </si>
  <si>
    <t>actividades</t>
  </si>
  <si>
    <t>ataque</t>
  </si>
  <si>
    <t>campaña</t>
  </si>
  <si>
    <t>incluye</t>
  </si>
  <si>
    <t>joven</t>
  </si>
  <si>
    <t>lanzamiento</t>
  </si>
  <si>
    <t>mm</t>
  </si>
  <si>
    <t>murió</t>
  </si>
  <si>
    <t>ninguna</t>
  </si>
  <si>
    <t>respecto</t>
  </si>
  <si>
    <t>rey</t>
  </si>
  <si>
    <t>the</t>
  </si>
  <si>
    <t>unas</t>
  </si>
  <si>
    <t>John</t>
  </si>
  <si>
    <t>Santa</t>
  </si>
  <si>
    <t>acción</t>
  </si>
  <si>
    <t>apoyo</t>
  </si>
  <si>
    <t>camino</t>
  </si>
  <si>
    <t>derecho</t>
  </si>
  <si>
    <t>entrada</t>
  </si>
  <si>
    <t>estilo</t>
  </si>
  <si>
    <t>fuerza</t>
  </si>
  <si>
    <t>función</t>
  </si>
  <si>
    <t>libre</t>
  </si>
  <si>
    <t>mitad</t>
  </si>
  <si>
    <t>movimiento</t>
  </si>
  <si>
    <t>municipio</t>
  </si>
  <si>
    <t>posición</t>
  </si>
  <si>
    <t>recibió</t>
  </si>
  <si>
    <t>social</t>
  </si>
  <si>
    <t>Europa</t>
  </si>
  <si>
    <t>Y</t>
  </si>
  <si>
    <t>arte</t>
  </si>
  <si>
    <t>cabo</t>
  </si>
  <si>
    <t>efecto</t>
  </si>
  <si>
    <t>español</t>
  </si>
  <si>
    <t>gente</t>
  </si>
  <si>
    <t>inglés</t>
  </si>
  <si>
    <t>internacional</t>
  </si>
  <si>
    <t>juegos</t>
  </si>
  <si>
    <t>llegar</t>
  </si>
  <si>
    <t>miembro</t>
  </si>
  <si>
    <t>pequeña</t>
  </si>
  <si>
    <t>siguientes</t>
  </si>
  <si>
    <t>sitio</t>
  </si>
  <si>
    <t>situación</t>
  </si>
  <si>
    <t>tercer</t>
  </si>
  <si>
    <t>volvió</t>
  </si>
  <si>
    <t>José</t>
  </si>
  <si>
    <t>actual</t>
  </si>
  <si>
    <t>ante</t>
  </si>
  <si>
    <t>capital</t>
  </si>
  <si>
    <t>conjunto</t>
  </si>
  <si>
    <t>crear</t>
  </si>
  <si>
    <t>existe</t>
  </si>
  <si>
    <t>gracias</t>
  </si>
  <si>
    <t>noche</t>
  </si>
  <si>
    <t>popular</t>
  </si>
  <si>
    <t>propia</t>
  </si>
  <si>
    <t>respuesta</t>
  </si>
  <si>
    <t>Instituto</t>
  </si>
  <si>
    <t>década</t>
  </si>
  <si>
    <t>estación</t>
  </si>
  <si>
    <t>jugador</t>
  </si>
  <si>
    <t>lista</t>
  </si>
  <si>
    <t>luz</t>
  </si>
  <si>
    <t>mayores</t>
  </si>
  <si>
    <t>me</t>
  </si>
  <si>
    <t>menudo</t>
  </si>
  <si>
    <t>pocos</t>
  </si>
  <si>
    <t>podía</t>
  </si>
  <si>
    <t>presencia</t>
  </si>
  <si>
    <t>principalmente</t>
  </si>
  <si>
    <t>va</t>
  </si>
  <si>
    <t>Chile</t>
  </si>
  <si>
    <t>Ella</t>
  </si>
  <si>
    <t>algo</t>
  </si>
  <si>
    <t>cabeza</t>
  </si>
  <si>
    <t>cómo</t>
  </si>
  <si>
    <t>dejó</t>
  </si>
  <si>
    <t>derechos</t>
  </si>
  <si>
    <t>dinero</t>
  </si>
  <si>
    <t>especial</t>
  </si>
  <si>
    <t>especies</t>
  </si>
  <si>
    <t>etapa</t>
  </si>
  <si>
    <t>finalmente</t>
  </si>
  <si>
    <t>hermano</t>
  </si>
  <si>
    <t>interés</t>
  </si>
  <si>
    <t>logró</t>
  </si>
  <si>
    <t>mejores</t>
  </si>
  <si>
    <t>modelo</t>
  </si>
  <si>
    <t>necesario</t>
  </si>
  <si>
    <t>ocasiones</t>
  </si>
  <si>
    <t>participación</t>
  </si>
  <si>
    <t>paso</t>
  </si>
  <si>
    <t>publicó</t>
  </si>
  <si>
    <t>sociedad</t>
  </si>
  <si>
    <t>todavía</t>
  </si>
  <si>
    <t>trabajos</t>
  </si>
  <si>
    <t>verano</t>
  </si>
  <si>
    <t>vista</t>
  </si>
  <si>
    <t>Alemania</t>
  </si>
  <si>
    <t>Dios</t>
  </si>
  <si>
    <t>Finalmente</t>
  </si>
  <si>
    <t>Hay</t>
  </si>
  <si>
    <t>Luego</t>
  </si>
  <si>
    <t>Más</t>
  </si>
  <si>
    <t>Pedro</t>
  </si>
  <si>
    <t>alguna</t>
  </si>
  <si>
    <t>canal</t>
  </si>
  <si>
    <t>comunidad</t>
  </si>
  <si>
    <t>distancia</t>
  </si>
  <si>
    <t>diversos</t>
  </si>
  <si>
    <t>ellas</t>
  </si>
  <si>
    <t>especie</t>
  </si>
  <si>
    <t>lengua</t>
  </si>
  <si>
    <t>llevó</t>
  </si>
  <si>
    <t>mantener</t>
  </si>
  <si>
    <t>permite</t>
  </si>
  <si>
    <t>presenta</t>
  </si>
  <si>
    <t>provincia</t>
  </si>
  <si>
    <t>radio</t>
  </si>
  <si>
    <t>semana</t>
  </si>
  <si>
    <t>sistemas</t>
  </si>
  <si>
    <t>superficie</t>
  </si>
  <si>
    <t>superior</t>
  </si>
  <si>
    <t>tierras</t>
  </si>
  <si>
    <t>Argentina</t>
  </si>
  <si>
    <t>Francia</t>
  </si>
  <si>
    <t>ambas</t>
  </si>
  <si>
    <t>anunció</t>
  </si>
  <si>
    <t>aparece</t>
  </si>
  <si>
    <t>causa</t>
  </si>
  <si>
    <t>diferencia</t>
  </si>
  <si>
    <t>equipos</t>
  </si>
  <si>
    <t>esos</t>
  </si>
  <si>
    <t>ganó</t>
  </si>
  <si>
    <t>hacen</t>
  </si>
  <si>
    <t>hermanos</t>
  </si>
  <si>
    <t>influencia</t>
  </si>
  <si>
    <t>isla</t>
  </si>
  <si>
    <t>lleva</t>
  </si>
  <si>
    <t>m</t>
  </si>
  <si>
    <t>menor</t>
  </si>
  <si>
    <t>mercado</t>
  </si>
  <si>
    <t>mes</t>
  </si>
  <si>
    <t>natural</t>
  </si>
  <si>
    <t>ningún</t>
  </si>
  <si>
    <t>niveles</t>
  </si>
  <si>
    <t>nombrado</t>
  </si>
  <si>
    <t>obtener</t>
  </si>
  <si>
    <t>p.</t>
  </si>
  <si>
    <t>partes</t>
  </si>
  <si>
    <t>personal</t>
  </si>
  <si>
    <t>premio</t>
  </si>
  <si>
    <t>principios</t>
  </si>
  <si>
    <t>sector</t>
  </si>
  <si>
    <t>soldados</t>
  </si>
  <si>
    <t>tal</t>
  </si>
  <si>
    <t>tamaño</t>
  </si>
  <si>
    <t>terminó</t>
  </si>
  <si>
    <t>término</t>
  </si>
  <si>
    <t>últimos</t>
  </si>
  <si>
    <t>."</t>
  </si>
  <si>
    <t>ciudades</t>
  </si>
  <si>
    <t>comienza</t>
  </si>
  <si>
    <t>dado</t>
  </si>
  <si>
    <t>dar</t>
  </si>
  <si>
    <t>defensa</t>
  </si>
  <si>
    <t>director</t>
  </si>
  <si>
    <t>encontrar</t>
  </si>
  <si>
    <t>fase</t>
  </si>
  <si>
    <t>grande</t>
  </si>
  <si>
    <t>grupos</t>
  </si>
  <si>
    <t>incluyendo</t>
  </si>
  <si>
    <t>interior</t>
  </si>
  <si>
    <t>material</t>
  </si>
  <si>
    <t>musical</t>
  </si>
  <si>
    <t>nuevas</t>
  </si>
  <si>
    <t>palabra</t>
  </si>
  <si>
    <t>parece</t>
  </si>
  <si>
    <t>participó</t>
  </si>
  <si>
    <t>pasó</t>
  </si>
  <si>
    <t>producto</t>
  </si>
  <si>
    <t>queda</t>
  </si>
  <si>
    <t>qué</t>
  </si>
  <si>
    <t>realidad</t>
  </si>
  <si>
    <t>televisión</t>
  </si>
  <si>
    <t>trabajar</t>
  </si>
  <si>
    <t>Algunos</t>
  </si>
  <si>
    <t>Ciudad</t>
  </si>
  <si>
    <t>Francisco</t>
  </si>
  <si>
    <t>General</t>
  </si>
  <si>
    <t>Grupo</t>
  </si>
  <si>
    <t>Internacional</t>
  </si>
  <si>
    <t>Premio</t>
  </si>
  <si>
    <t>República</t>
  </si>
  <si>
    <t>amigos</t>
  </si>
  <si>
    <t>aquí</t>
  </si>
  <si>
    <t>calidad</t>
  </si>
  <si>
    <t>capaz</t>
  </si>
  <si>
    <t>carga</t>
  </si>
  <si>
    <t>casas</t>
  </si>
  <si>
    <t>clase</t>
  </si>
  <si>
    <t>completo</t>
  </si>
  <si>
    <t>crecimiento</t>
  </si>
  <si>
    <t>cuarto</t>
  </si>
  <si>
    <t>eso</t>
  </si>
  <si>
    <t>especialmente</t>
  </si>
  <si>
    <t>estructura</t>
  </si>
  <si>
    <t>fuente</t>
  </si>
  <si>
    <t>generalmente</t>
  </si>
  <si>
    <t>jefe</t>
  </si>
  <si>
    <t>mismos</t>
  </si>
  <si>
    <t>ocho</t>
  </si>
  <si>
    <t>personaje</t>
  </si>
  <si>
    <t>posee</t>
  </si>
  <si>
    <t>quedó</t>
  </si>
  <si>
    <t>realizado</t>
  </si>
  <si>
    <t>red</t>
  </si>
  <si>
    <t>refiere</t>
  </si>
  <si>
    <t>utiliza</t>
  </si>
  <si>
    <t>vuelta</t>
  </si>
  <si>
    <t>Club</t>
  </si>
  <si>
    <t>Gobierno</t>
  </si>
  <si>
    <t>Ha</t>
  </si>
  <si>
    <t>II</t>
  </si>
  <si>
    <t>Sur</t>
  </si>
  <si>
    <t>Uno</t>
  </si>
  <si>
    <t>administración</t>
  </si>
  <si>
    <t>aire</t>
  </si>
  <si>
    <t>atención</t>
  </si>
  <si>
    <t>calle</t>
  </si>
  <si>
    <t>conflicto</t>
  </si>
  <si>
    <t>conoce</t>
  </si>
  <si>
    <t>distribución</t>
  </si>
  <si>
    <t>estudiantes</t>
  </si>
  <si>
    <t>existencia</t>
  </si>
  <si>
    <t>falta</t>
  </si>
  <si>
    <t>funciones</t>
  </si>
  <si>
    <t>gira</t>
  </si>
  <si>
    <t>humanos</t>
  </si>
  <si>
    <t>larga</t>
  </si>
  <si>
    <t>localidad</t>
  </si>
  <si>
    <t>mano</t>
  </si>
  <si>
    <t>mediados</t>
  </si>
  <si>
    <t>mil</t>
  </si>
  <si>
    <t>modelos</t>
  </si>
  <si>
    <t>pasar</t>
  </si>
  <si>
    <t>pequeñas</t>
  </si>
  <si>
    <t>pequeños</t>
  </si>
  <si>
    <t>posteriormente</t>
  </si>
  <si>
    <t>pruebas</t>
  </si>
  <si>
    <t>publicado</t>
  </si>
  <si>
    <t>sala</t>
  </si>
  <si>
    <t>seguridad</t>
  </si>
  <si>
    <t>semanas</t>
  </si>
  <si>
    <t>siete</t>
  </si>
  <si>
    <t>voz</t>
  </si>
  <si>
    <t>París</t>
  </si>
  <si>
    <t>actor</t>
  </si>
  <si>
    <t>altura</t>
  </si>
  <si>
    <t>antiguo</t>
  </si>
  <si>
    <t>carácter</t>
  </si>
  <si>
    <t>comenzaron</t>
  </si>
  <si>
    <t>considerado</t>
  </si>
  <si>
    <t>declaró</t>
  </si>
  <si>
    <t>economía</t>
  </si>
  <si>
    <t>escuelas</t>
  </si>
  <si>
    <t>exposición</t>
  </si>
  <si>
    <t>formación</t>
  </si>
  <si>
    <t>formar</t>
  </si>
  <si>
    <t>fuego</t>
  </si>
  <si>
    <t>género</t>
  </si>
  <si>
    <t>hicieron</t>
  </si>
  <si>
    <t>importancia</t>
  </si>
  <si>
    <t>industria</t>
  </si>
  <si>
    <t>inicialmente</t>
  </si>
  <si>
    <t>instituciones</t>
  </si>
  <si>
    <t>llama</t>
  </si>
  <si>
    <t>manos</t>
  </si>
  <si>
    <t>negro</t>
  </si>
  <si>
    <t>palabras</t>
  </si>
  <si>
    <t>parque</t>
  </si>
  <si>
    <t>piezas</t>
  </si>
  <si>
    <t>planta</t>
  </si>
  <si>
    <t>procesos</t>
  </si>
  <si>
    <t>programas</t>
  </si>
  <si>
    <t>referencia</t>
  </si>
  <si>
    <t>rápidamente</t>
  </si>
  <si>
    <t>trabajando</t>
  </si>
  <si>
    <t>unidad</t>
  </si>
  <si>
    <t>van</t>
  </si>
  <si>
    <t>visión</t>
  </si>
  <si>
    <t>Él</t>
  </si>
  <si>
    <t>Escuela</t>
  </si>
  <si>
    <t>XX</t>
  </si>
  <si>
    <t>algún</t>
  </si>
  <si>
    <t>categoría</t>
  </si>
  <si>
    <t>conocimiento</t>
  </si>
  <si>
    <t>demás</t>
  </si>
  <si>
    <t>descubre</t>
  </si>
  <si>
    <t>difícil</t>
  </si>
  <si>
    <t>directamente</t>
  </si>
  <si>
    <t>elecciones</t>
  </si>
  <si>
    <t>empezó</t>
  </si>
  <si>
    <t>energía</t>
  </si>
  <si>
    <t>escrito</t>
  </si>
  <si>
    <t>esposa</t>
  </si>
  <si>
    <t>evitar</t>
  </si>
  <si>
    <t>francés</t>
  </si>
  <si>
    <t>fútbol</t>
  </si>
  <si>
    <t>haciendo</t>
  </si>
  <si>
    <t>idea</t>
  </si>
  <si>
    <t>incluyen</t>
  </si>
  <si>
    <t>independiente</t>
  </si>
  <si>
    <t>jóvenes</t>
  </si>
  <si>
    <t>lanzado</t>
  </si>
  <si>
    <t>media</t>
  </si>
  <si>
    <t>militares</t>
  </si>
  <si>
    <t>oficiales</t>
  </si>
  <si>
    <t>personajes</t>
  </si>
  <si>
    <t>podría</t>
  </si>
  <si>
    <t>principio</t>
  </si>
  <si>
    <t>promedio</t>
  </si>
  <si>
    <t>prueba</t>
  </si>
  <si>
    <t>revista</t>
  </si>
  <si>
    <t>sociales</t>
  </si>
  <si>
    <t>tenido</t>
  </si>
  <si>
    <t>unidades</t>
  </si>
  <si>
    <t>utilizar</t>
  </si>
  <si>
    <t>Mundial</t>
  </si>
  <si>
    <t>Reino</t>
  </si>
  <si>
    <t>XIX</t>
  </si>
  <si>
    <t>York</t>
  </si>
  <si>
    <t>actualmente</t>
  </si>
  <si>
    <t>aguas</t>
  </si>
  <si>
    <t>antigua</t>
  </si>
  <si>
    <t>artículos</t>
  </si>
  <si>
    <t>barrio</t>
  </si>
  <si>
    <t>contiene</t>
  </si>
  <si>
    <t>convertirse</t>
  </si>
  <si>
    <t>corte</t>
  </si>
  <si>
    <t>creación</t>
  </si>
  <si>
    <t>cree</t>
  </si>
  <si>
    <t>dan</t>
  </si>
  <si>
    <t>dicho</t>
  </si>
  <si>
    <t>efectos</t>
  </si>
  <si>
    <t>figura</t>
  </si>
  <si>
    <t>gestión</t>
  </si>
  <si>
    <t>iba</t>
  </si>
  <si>
    <t>kilómetros</t>
  </si>
  <si>
    <t>lanzó</t>
  </si>
  <si>
    <t>longitud</t>
  </si>
  <si>
    <t>lugares</t>
  </si>
  <si>
    <t>madera</t>
  </si>
  <si>
    <t>mar</t>
  </si>
  <si>
    <t>matrimonio</t>
  </si>
  <si>
    <t>misión</t>
  </si>
  <si>
    <t>nada</t>
  </si>
  <si>
    <t>naturaleza</t>
  </si>
  <si>
    <t>nombres</t>
  </si>
  <si>
    <t>numerosas</t>
  </si>
  <si>
    <t>pareja</t>
  </si>
  <si>
    <t>políticas</t>
  </si>
  <si>
    <t>productos</t>
  </si>
  <si>
    <t>profesor</t>
  </si>
  <si>
    <t>propiedades</t>
  </si>
  <si>
    <t>sentido</t>
  </si>
  <si>
    <t>será</t>
  </si>
  <si>
    <t>significa</t>
  </si>
  <si>
    <t>similar</t>
  </si>
  <si>
    <t>suelo</t>
  </si>
  <si>
    <t>toma</t>
  </si>
  <si>
    <t>técnica</t>
  </si>
  <si>
    <t>valor</t>
  </si>
  <si>
    <t>venta</t>
  </si>
  <si>
    <t>versiones</t>
  </si>
  <si>
    <t>áreas</t>
  </si>
  <si>
    <t>Carlos</t>
  </si>
  <si>
    <t>Casa</t>
  </si>
  <si>
    <t>Debido</t>
  </si>
  <si>
    <t>Italia</t>
  </si>
  <si>
    <t>Lo</t>
  </si>
  <si>
    <t>Plaza</t>
  </si>
  <si>
    <t>Unión</t>
  </si>
  <si>
    <t>acto</t>
  </si>
  <si>
    <t>alemán</t>
  </si>
  <si>
    <t>aquel</t>
  </si>
  <si>
    <t>batalla</t>
  </si>
  <si>
    <t>casó</t>
  </si>
  <si>
    <t>civil</t>
  </si>
  <si>
    <t>comercial</t>
  </si>
  <si>
    <t>contrato</t>
  </si>
  <si>
    <t>convierte</t>
  </si>
  <si>
    <t>costa</t>
  </si>
  <si>
    <t>creó</t>
  </si>
  <si>
    <t>cuyo</t>
  </si>
  <si>
    <t>descrito</t>
  </si>
  <si>
    <t>elegido</t>
  </si>
  <si>
    <t>empresas</t>
  </si>
  <si>
    <t>entorno</t>
  </si>
  <si>
    <t>escapar</t>
  </si>
  <si>
    <t>evento</t>
  </si>
  <si>
    <t>existen</t>
  </si>
  <si>
    <t>hojas</t>
  </si>
  <si>
    <t>izquierda</t>
  </si>
  <si>
    <t>km</t>
  </si>
  <si>
    <t>llevar</t>
  </si>
  <si>
    <t>memoria</t>
  </si>
  <si>
    <t>objetos</t>
  </si>
  <si>
    <t>obstante</t>
  </si>
  <si>
    <t>plan</t>
  </si>
  <si>
    <t>policía</t>
  </si>
  <si>
    <t>políticos</t>
  </si>
  <si>
    <t>problema</t>
  </si>
  <si>
    <t>profesional</t>
  </si>
  <si>
    <t>práctica</t>
  </si>
  <si>
    <t>puente</t>
  </si>
  <si>
    <t>pérdida</t>
  </si>
  <si>
    <t>pública</t>
  </si>
  <si>
    <t>real</t>
  </si>
  <si>
    <t>resultados</t>
  </si>
  <si>
    <t>teatro</t>
  </si>
  <si>
    <t>torneo</t>
  </si>
  <si>
    <t>vecinos</t>
  </si>
  <si>
    <t>victoria</t>
  </si>
  <si>
    <t>Academia</t>
  </si>
  <si>
    <t>China</t>
  </si>
  <si>
    <t>I</t>
  </si>
  <si>
    <t>Ley</t>
  </si>
  <si>
    <t>Luis</t>
  </si>
  <si>
    <t>Partido</t>
  </si>
  <si>
    <t>Perú</t>
  </si>
  <si>
    <t>Tierra</t>
  </si>
  <si>
    <t>Una vez</t>
  </si>
  <si>
    <t>accidente</t>
  </si>
  <si>
    <t>acerca</t>
  </si>
  <si>
    <t>adelante</t>
  </si>
  <si>
    <t>and</t>
  </si>
  <si>
    <t>bastante</t>
  </si>
  <si>
    <t>blanco</t>
  </si>
  <si>
    <t>buena</t>
  </si>
  <si>
    <t>cambios</t>
  </si>
  <si>
    <t>campeonato</t>
  </si>
  <si>
    <t>cierto</t>
  </si>
  <si>
    <t>completamente</t>
  </si>
  <si>
    <t>comportamiento</t>
  </si>
  <si>
    <t>consecuencia</t>
  </si>
  <si>
    <t>cultura</t>
  </si>
  <si>
    <t>dejar</t>
  </si>
  <si>
    <t>división</t>
  </si>
  <si>
    <t>fuentes</t>
  </si>
  <si>
    <t>futuro</t>
  </si>
  <si>
    <t>mal</t>
  </si>
  <si>
    <t>mantuvo</t>
  </si>
  <si>
    <t>minutos</t>
  </si>
  <si>
    <t>motor</t>
  </si>
  <si>
    <t>nos</t>
  </si>
  <si>
    <t>operación</t>
  </si>
  <si>
    <t>oro</t>
  </si>
  <si>
    <t>permitió</t>
  </si>
  <si>
    <t>plaza</t>
  </si>
  <si>
    <t>premios</t>
  </si>
  <si>
    <t>propios</t>
  </si>
  <si>
    <t>proyectos</t>
  </si>
  <si>
    <t>recibido</t>
  </si>
  <si>
    <t>salida</t>
  </si>
  <si>
    <t>seguir</t>
  </si>
  <si>
    <t>tercera</t>
  </si>
  <si>
    <t>tomar</t>
  </si>
  <si>
    <t>tropas</t>
  </si>
  <si>
    <t>variedad</t>
  </si>
  <si>
    <t>velocidad</t>
  </si>
  <si>
    <t>Antonio</t>
  </si>
  <si>
    <t>Está</t>
  </si>
  <si>
    <t>Gran</t>
  </si>
  <si>
    <t>Japón</t>
  </si>
  <si>
    <t>Jesús</t>
  </si>
  <si>
    <t>Posteriormente</t>
  </si>
  <si>
    <t>Unido</t>
  </si>
  <si>
    <t>Ya</t>
  </si>
  <si>
    <t>bases</t>
  </si>
  <si>
    <t>curso</t>
  </si>
  <si>
    <t>detrás</t>
  </si>
  <si>
    <t>dicha</t>
  </si>
  <si>
    <t>económica</t>
  </si>
  <si>
    <t>edificios</t>
  </si>
  <si>
    <t>eje</t>
  </si>
  <si>
    <t>estableció</t>
  </si>
  <si>
    <t>evidencia</t>
  </si>
  <si>
    <t>fondo</t>
  </si>
  <si>
    <t>forman</t>
  </si>
  <si>
    <t>gobernador</t>
  </si>
  <si>
    <t>hora</t>
  </si>
  <si>
    <t>hubo</t>
  </si>
  <si>
    <t>imágenes</t>
  </si>
  <si>
    <t>ingresos</t>
  </si>
  <si>
    <t>libertad</t>
  </si>
  <si>
    <t>locales</t>
  </si>
  <si>
    <t>medidas</t>
  </si>
  <si>
    <t>nació</t>
  </si>
  <si>
    <t>paz</t>
  </si>
  <si>
    <t>perdió</t>
  </si>
  <si>
    <t>propias</t>
  </si>
  <si>
    <t>publicación</t>
  </si>
  <si>
    <t>quienes</t>
  </si>
  <si>
    <t>sede</t>
  </si>
  <si>
    <t>territorio</t>
  </si>
  <si>
    <t>texto</t>
  </si>
  <si>
    <t>votos</t>
  </si>
  <si>
    <t>vuelve</t>
  </si>
  <si>
    <t>zonas</t>
  </si>
  <si>
    <t>Algunas</t>
  </si>
  <si>
    <t>Antes</t>
  </si>
  <si>
    <t>Asimismo</t>
  </si>
  <si>
    <t>Nueva York</t>
  </si>
  <si>
    <t>acceso</t>
  </si>
  <si>
    <t>anteriores</t>
  </si>
  <si>
    <t>aquellos</t>
  </si>
  <si>
    <t>baja</t>
  </si>
  <si>
    <t>campeón</t>
  </si>
  <si>
    <t>castillo</t>
  </si>
  <si>
    <t>clases</t>
  </si>
  <si>
    <t>colores</t>
  </si>
  <si>
    <t>combate</t>
  </si>
  <si>
    <t>compañeros</t>
  </si>
  <si>
    <t>conseguir</t>
  </si>
  <si>
    <t>contenido</t>
  </si>
  <si>
    <t>dando</t>
  </si>
  <si>
    <t>diez</t>
  </si>
  <si>
    <t>dólares</t>
  </si>
  <si>
    <t>escena</t>
  </si>
  <si>
    <t>experiencia</t>
  </si>
  <si>
    <t>extensión</t>
  </si>
  <si>
    <t>familias</t>
  </si>
  <si>
    <t>funcionamiento</t>
  </si>
  <si>
    <t>ganado</t>
  </si>
  <si>
    <t>hermana</t>
  </si>
  <si>
    <t>honor</t>
  </si>
  <si>
    <t>inició</t>
  </si>
  <si>
    <t>llegada</t>
  </si>
  <si>
    <t>llegaron</t>
  </si>
  <si>
    <t>mando</t>
  </si>
  <si>
    <t>mismas</t>
  </si>
  <si>
    <t>objeto</t>
  </si>
  <si>
    <t>operaciones</t>
  </si>
  <si>
    <t>originales</t>
  </si>
  <si>
    <t>padres</t>
  </si>
  <si>
    <t>piedra</t>
  </si>
  <si>
    <t>podían</t>
  </si>
  <si>
    <t>posibilidad</t>
  </si>
  <si>
    <t>puertas</t>
  </si>
  <si>
    <t>puerto</t>
  </si>
  <si>
    <t>razón</t>
  </si>
  <si>
    <t>recursos</t>
  </si>
  <si>
    <t>tecnología</t>
  </si>
  <si>
    <t>teniendo</t>
  </si>
  <si>
    <t>tomó</t>
  </si>
  <si>
    <t>tradicional</t>
  </si>
  <si>
    <t>transporte</t>
  </si>
  <si>
    <t>tratamiento</t>
  </si>
  <si>
    <t>utilizado</t>
  </si>
  <si>
    <t>valores</t>
  </si>
  <si>
    <t>visto</t>
  </si>
  <si>
    <t>vivir</t>
  </si>
  <si>
    <t>volumen</t>
  </si>
  <si>
    <t>volver</t>
  </si>
  <si>
    <t>web</t>
  </si>
  <si>
    <t>Aires</t>
  </si>
  <si>
    <t>Buenos</t>
  </si>
  <si>
    <t>Cada</t>
  </si>
  <si>
    <t>División</t>
  </si>
  <si>
    <t>Liga</t>
  </si>
  <si>
    <t>Museo</t>
  </si>
  <si>
    <t>Reino Unido</t>
  </si>
  <si>
    <t>animales</t>
  </si>
  <si>
    <t>análisis</t>
  </si>
  <si>
    <t>apareció</t>
  </si>
  <si>
    <t>científicamente</t>
  </si>
  <si>
    <t>cine</t>
  </si>
  <si>
    <t>comerciales</t>
  </si>
  <si>
    <t>común</t>
  </si>
  <si>
    <t>contaba</t>
  </si>
  <si>
    <t>continuó</t>
  </si>
  <si>
    <t>cosas</t>
  </si>
  <si>
    <t>crítica</t>
  </si>
  <si>
    <t>deben</t>
  </si>
  <si>
    <t>deja</t>
  </si>
  <si>
    <t>diario</t>
  </si>
  <si>
    <t>distintas</t>
  </si>
  <si>
    <t>encuentro</t>
  </si>
  <si>
    <t>escribió</t>
  </si>
  <si>
    <t>esfuerzo</t>
  </si>
  <si>
    <t>española</t>
  </si>
  <si>
    <t>estructuras</t>
  </si>
  <si>
    <t>eventos</t>
  </si>
  <si>
    <t>fiestas</t>
  </si>
  <si>
    <t>goles</t>
  </si>
  <si>
    <t>identidad</t>
  </si>
  <si>
    <t>inicial</t>
  </si>
  <si>
    <t>intenta</t>
  </si>
  <si>
    <t>internacionales</t>
  </si>
  <si>
    <t>intervención</t>
  </si>
  <si>
    <t>jugar</t>
  </si>
  <si>
    <t>líder</t>
  </si>
  <si>
    <t>líneas</t>
  </si>
  <si>
    <t>marcha</t>
  </si>
  <si>
    <t>nacionales</t>
  </si>
  <si>
    <t>niño</t>
  </si>
  <si>
    <t>nueve</t>
  </si>
  <si>
    <t>numerosos</t>
  </si>
  <si>
    <t>oficina</t>
  </si>
  <si>
    <t>particular</t>
  </si>
  <si>
    <t>peso</t>
  </si>
  <si>
    <t>plantas</t>
  </si>
  <si>
    <t>prensa</t>
  </si>
  <si>
    <t>presente</t>
  </si>
  <si>
    <t>prisión</t>
  </si>
  <si>
    <t>produce</t>
  </si>
  <si>
    <t>producir</t>
  </si>
  <si>
    <t>realiza</t>
  </si>
  <si>
    <t>reconocimiento</t>
  </si>
  <si>
    <t>representa</t>
  </si>
  <si>
    <t>riesgo</t>
  </si>
  <si>
    <t>siguió</t>
  </si>
  <si>
    <t>sonido</t>
  </si>
  <si>
    <t>tales</t>
  </si>
  <si>
    <t>tiempos</t>
  </si>
  <si>
    <t>tipos</t>
  </si>
  <si>
    <t>trabajó</t>
  </si>
  <si>
    <t>técnicas</t>
  </si>
  <si>
    <t>términos</t>
  </si>
  <si>
    <t>usar</t>
  </si>
  <si>
    <t>utilizando</t>
  </si>
  <si>
    <t>Asociación</t>
  </si>
  <si>
    <t>Buenos Aires</t>
  </si>
  <si>
    <t>EE.</t>
  </si>
  <si>
    <t>Ejército</t>
  </si>
  <si>
    <t>Inglaterra</t>
  </si>
  <si>
    <t>Israel</t>
  </si>
  <si>
    <t>Otra</t>
  </si>
  <si>
    <t>Otro</t>
  </si>
  <si>
    <t>Poco</t>
  </si>
  <si>
    <t>Sociedad</t>
  </si>
  <si>
    <t>Todos</t>
  </si>
  <si>
    <t>Virgen</t>
  </si>
  <si>
    <t>alcanzar</t>
  </si>
  <si>
    <t>alimentos</t>
  </si>
  <si>
    <t>ambiente</t>
  </si>
  <si>
    <t>ancho</t>
  </si>
  <si>
    <t>aquella</t>
  </si>
  <si>
    <t>artículo</t>
  </si>
  <si>
    <t>aun</t>
  </si>
  <si>
    <t>buen</t>
  </si>
  <si>
    <t>busca</t>
  </si>
  <si>
    <t>candidatos</t>
  </si>
  <si>
    <t>característica</t>
  </si>
  <si>
    <t>cm</t>
  </si>
  <si>
    <t>complejo</t>
  </si>
  <si>
    <t>construir</t>
  </si>
  <si>
    <t>construyó</t>
  </si>
  <si>
    <t>cultural</t>
  </si>
  <si>
    <t>código</t>
  </si>
  <si>
    <t>debajo</t>
  </si>
  <si>
    <t>diferencias</t>
  </si>
  <si>
    <t>disponible</t>
  </si>
  <si>
    <t>décadas</t>
  </si>
  <si>
    <t>elección</t>
  </si>
  <si>
    <t>encontraba</t>
  </si>
  <si>
    <t>enfoque</t>
  </si>
  <si>
    <t>episodios</t>
  </si>
  <si>
    <t>especiales</t>
  </si>
  <si>
    <t>estudiante</t>
  </si>
  <si>
    <t>extremo</t>
  </si>
  <si>
    <t>habitación</t>
  </si>
  <si>
    <t>hospital</t>
  </si>
  <si>
    <t>instalaciones</t>
  </si>
  <si>
    <t>lenguaje</t>
  </si>
  <si>
    <t>mantiene</t>
  </si>
  <si>
    <t>mi</t>
  </si>
  <si>
    <t>mucha</t>
  </si>
  <si>
    <t>muestran</t>
  </si>
  <si>
    <t>mundial</t>
  </si>
  <si>
    <t>municipal</t>
  </si>
  <si>
    <t>oeste</t>
  </si>
  <si>
    <t>ordenó</t>
  </si>
  <si>
    <t>pacientes</t>
  </si>
  <si>
    <t>peligro</t>
  </si>
  <si>
    <t>películas</t>
  </si>
  <si>
    <t>permanente</t>
  </si>
  <si>
    <t>pista</t>
  </si>
  <si>
    <t>produjo</t>
  </si>
  <si>
    <t>promoción</t>
  </si>
  <si>
    <t>pueblos</t>
  </si>
  <si>
    <t>pueda</t>
  </si>
  <si>
    <t>rango</t>
  </si>
  <si>
    <t>regresar</t>
  </si>
  <si>
    <t>reino</t>
  </si>
  <si>
    <t>resulta</t>
  </si>
  <si>
    <t>salud</t>
  </si>
  <si>
    <t>segundos</t>
  </si>
  <si>
    <t>temperatura</t>
  </si>
  <si>
    <t>templo</t>
  </si>
  <si>
    <t>termina</t>
  </si>
  <si>
    <t>tradicionales</t>
  </si>
  <si>
    <t>u</t>
  </si>
  <si>
    <t>vio</t>
  </si>
  <si>
    <t>Australia</t>
  </si>
  <si>
    <t>Central</t>
  </si>
  <si>
    <t>Colegio</t>
  </si>
  <si>
    <t>Congreso</t>
  </si>
  <si>
    <t>David</t>
  </si>
  <si>
    <t>Dos</t>
  </si>
  <si>
    <t>Era</t>
  </si>
  <si>
    <t>Ese</t>
  </si>
  <si>
    <t>III</t>
  </si>
  <si>
    <t>La primera</t>
  </si>
  <si>
    <t>Nuevo</t>
  </si>
  <si>
    <t>Rosario</t>
  </si>
  <si>
    <t>Son</t>
  </si>
  <si>
    <t>UU.</t>
  </si>
  <si>
    <t>William</t>
  </si>
  <si>
    <t>actuación</t>
  </si>
  <si>
    <t>alguien</t>
  </si>
  <si>
    <t>amor</t>
  </si>
  <si>
    <t>antiguos</t>
  </si>
  <si>
    <t>aplicaciones</t>
  </si>
  <si>
    <t>armas</t>
  </si>
  <si>
    <t>autoridades</t>
  </si>
  <si>
    <t>avión</t>
  </si>
  <si>
    <t>cambiar</t>
  </si>
  <si>
    <t>cantante</t>
  </si>
  <si>
    <t>censo</t>
  </si>
  <si>
    <t>cierta</t>
  </si>
  <si>
    <t>ciudadanos</t>
  </si>
  <si>
    <t>comunicación</t>
  </si>
  <si>
    <t>condición</t>
  </si>
  <si>
    <t>conocer</t>
  </si>
  <si>
    <t>conocidos</t>
  </si>
  <si>
    <t>contacto</t>
  </si>
  <si>
    <t>copias</t>
  </si>
  <si>
    <t>corta</t>
  </si>
  <si>
    <t>cuerpos</t>
  </si>
  <si>
    <t>decide</t>
  </si>
  <si>
    <t>destino</t>
  </si>
  <si>
    <t>distintos</t>
  </si>
  <si>
    <t>distrito</t>
  </si>
  <si>
    <t>duda</t>
  </si>
  <si>
    <t>enfermedad</t>
  </si>
  <si>
    <t>entrenador</t>
  </si>
  <si>
    <t>estadounidense</t>
  </si>
  <si>
    <t>euros</t>
  </si>
  <si>
    <t>evolución</t>
  </si>
  <si>
    <t>extranjeros</t>
  </si>
  <si>
    <t>favor</t>
  </si>
  <si>
    <t>fines</t>
  </si>
  <si>
    <t>flores</t>
  </si>
  <si>
    <t>formato</t>
  </si>
  <si>
    <t>formó</t>
  </si>
  <si>
    <t>física</t>
  </si>
  <si>
    <t>hacía</t>
  </si>
  <si>
    <t>haya</t>
  </si>
  <si>
    <t>hogar</t>
  </si>
  <si>
    <t>humano</t>
  </si>
  <si>
    <t>incluido</t>
  </si>
  <si>
    <t>interpretación</t>
  </si>
  <si>
    <t>ir</t>
  </si>
  <si>
    <t>llamó</t>
  </si>
  <si>
    <t>mañana</t>
  </si>
  <si>
    <t>morir</t>
  </si>
  <si>
    <t>muertos</t>
  </si>
  <si>
    <t>máquina</t>
  </si>
  <si>
    <t>médico</t>
  </si>
  <si>
    <t>métodos</t>
  </si>
  <si>
    <t>necesidad</t>
  </si>
  <si>
    <t>niña</t>
  </si>
  <si>
    <t>normal</t>
  </si>
  <si>
    <t>ojos</t>
  </si>
  <si>
    <t>originalmente</t>
  </si>
  <si>
    <t>participar</t>
  </si>
  <si>
    <t>pasa</t>
  </si>
  <si>
    <t>planeta</t>
  </si>
  <si>
    <t>poblaciones</t>
  </si>
  <si>
    <t>producido</t>
  </si>
  <si>
    <t>pronto</t>
  </si>
  <si>
    <t>propuesta</t>
  </si>
  <si>
    <t>puestos</t>
  </si>
  <si>
    <t>puso</t>
  </si>
  <si>
    <t>responsable</t>
  </si>
  <si>
    <t>restos</t>
  </si>
  <si>
    <t>resultó</t>
  </si>
  <si>
    <t>rojo</t>
  </si>
  <si>
    <t>secreto</t>
  </si>
  <si>
    <t>situado</t>
  </si>
  <si>
    <t>suele</t>
  </si>
  <si>
    <t>sufrió</t>
  </si>
  <si>
    <t>terreno</t>
  </si>
  <si>
    <t>ventaja</t>
  </si>
  <si>
    <t>viaje</t>
  </si>
  <si>
    <t>video</t>
  </si>
  <si>
    <t>vía</t>
  </si>
  <si>
    <t>Allí</t>
  </si>
  <si>
    <t>Ciencias</t>
  </si>
  <si>
    <t>Consejo</t>
  </si>
  <si>
    <t>Existe</t>
  </si>
  <si>
    <t>Guerra</t>
  </si>
  <si>
    <t>Hasta</t>
  </si>
  <si>
    <t>Historia</t>
  </si>
  <si>
    <t>Le</t>
  </si>
  <si>
    <t>Manuel</t>
  </si>
  <si>
    <t>Norte</t>
  </si>
  <si>
    <t>Otros</t>
  </si>
  <si>
    <t>Presidente</t>
  </si>
  <si>
    <t>Primera</t>
  </si>
  <si>
    <t>Real</t>
  </si>
  <si>
    <t>Rey</t>
  </si>
  <si>
    <t>Santiago</t>
  </si>
  <si>
    <t>acciones</t>
  </si>
  <si>
    <t>afirmó</t>
  </si>
  <si>
    <t>altas</t>
  </si>
  <si>
    <t>apertura</t>
  </si>
  <si>
    <t>artistas</t>
  </si>
  <si>
    <t>ayudar</t>
  </si>
  <si>
    <t>breve</t>
  </si>
  <si>
    <t>cadena</t>
  </si>
  <si>
    <t>cargos</t>
  </si>
  <si>
    <t>categorías</t>
  </si>
  <si>
    <t>colección</t>
  </si>
  <si>
    <t>conferencia</t>
  </si>
  <si>
    <t>consejo</t>
  </si>
  <si>
    <t>considera</t>
  </si>
  <si>
    <t>continuar</t>
  </si>
  <si>
    <t>corriente</t>
  </si>
  <si>
    <t>costo</t>
  </si>
  <si>
    <t>creciente</t>
  </si>
  <si>
    <t>cuanto</t>
  </si>
  <si>
    <t>culturales</t>
  </si>
  <si>
    <t>dirigida</t>
  </si>
  <si>
    <t>diseños</t>
  </si>
  <si>
    <t>documento</t>
  </si>
  <si>
    <t>enfermedades</t>
  </si>
  <si>
    <t>escenario</t>
  </si>
  <si>
    <t>escribir</t>
  </si>
  <si>
    <t>estados</t>
  </si>
  <si>
    <t>estrellas</t>
  </si>
  <si>
    <t>estándar</t>
  </si>
  <si>
    <t>excepción</t>
  </si>
  <si>
    <t>exterior</t>
  </si>
  <si>
    <t>figuras</t>
  </si>
  <si>
    <t>global</t>
  </si>
  <si>
    <t>habla</t>
  </si>
  <si>
    <t>homenaje</t>
  </si>
  <si>
    <t>industrial</t>
  </si>
  <si>
    <t>inicio</t>
  </si>
  <si>
    <t>instrumentos</t>
  </si>
  <si>
    <t>intento</t>
  </si>
  <si>
    <t>WORD ID</t>
  </si>
  <si>
    <t>CAT ID</t>
  </si>
  <si>
    <t>LEVEL ID</t>
  </si>
  <si>
    <r>
      <t>The </t>
    </r>
    <r>
      <rPr>
        <b/>
        <sz val="12"/>
        <color rgb="FF000000"/>
        <rFont val="Aptos Narrow"/>
        <family val="2"/>
        <charset val="1"/>
      </rPr>
      <t>Leipzig Corpora Collection (University of Leipzig)</t>
    </r>
    <r>
      <rPr>
        <sz val="14"/>
        <color rgb="FF000000"/>
        <rFont val="Aptos Narrow"/>
        <family val="2"/>
        <scheme val="minor"/>
      </rPr>
      <t> is highly credible and considered one of the premier resources in the field of computational linguistics. Within academic and data science circles, it is a standard source for word frequency data.</t>
    </r>
  </si>
  <si>
    <t>Quiz "Vibe" for the AI</t>
  </si>
  <si>
    <t>COUNT of Filter</t>
  </si>
  <si>
    <t>Level Break down</t>
  </si>
  <si>
    <t>Fact-based (Who, what law, which year?)</t>
  </si>
  <si>
    <t>L1</t>
  </si>
  <si>
    <t>Economy &amp; Finance</t>
  </si>
  <si>
    <t>Logical/Numerical (Prices, growth, trends)</t>
  </si>
  <si>
    <t>L2</t>
  </si>
  <si>
    <t>Arts &amp; Entertainment</t>
  </si>
  <si>
    <t>Creative/Recall (Names, works, dates)</t>
  </si>
  <si>
    <t>L3</t>
  </si>
  <si>
    <t>Statistic/Outcome (Scores, teams, events)</t>
  </si>
  <si>
    <t>Business &amp; Labor</t>
  </si>
  <si>
    <t>Operational (Company names, hiring, trade)</t>
  </si>
  <si>
    <t>Science &amp; Tech</t>
  </si>
  <si>
    <t>Conceptual (How it works, discovery)</t>
  </si>
  <si>
    <t>Education</t>
  </si>
  <si>
    <t>Institutional (Degrees, academic research)</t>
  </si>
  <si>
    <t>Crime, Law &amp; Justice</t>
  </si>
  <si>
    <t>Narrative (What happened, what was the ruling?)</t>
  </si>
  <si>
    <t>History &amp; Religion</t>
  </si>
  <si>
    <t>Chronological (Timeline, cultural impact)</t>
  </si>
  <si>
    <t>Environment &amp; Nature</t>
  </si>
  <si>
    <t>Descriptive (Locations, ecological impact)</t>
  </si>
  <si>
    <t>Health &amp; Wellness</t>
  </si>
  <si>
    <t>Practical (Body parts, medical advice)</t>
  </si>
  <si>
    <t>Social Issues/Society</t>
  </si>
  <si>
    <t>Sociological (Social groups, demographic trends)</t>
  </si>
  <si>
    <t>Lifestyle &amp; Travel</t>
  </si>
  <si>
    <t>Experiential (Destination names, habits)</t>
  </si>
  <si>
    <t>Weather &amp; Disaster</t>
  </si>
  <si>
    <t>Event-driven (Severity, location, response)</t>
  </si>
  <si>
    <t>Level ID</t>
  </si>
  <si>
    <t>Logic for AI</t>
  </si>
  <si>
    <t>Examples from your List</t>
  </si>
  <si>
    <t>Basic L1</t>
  </si>
  <si>
    <t>Common daily vocabulary and basic verbs.</t>
  </si>
  <si>
    <t>de, la, casa, ciudad, vida, agua, madre, padre, niños, calle, sol, día +4</t>
  </si>
  <si>
    <t>Intermediate L2</t>
  </si>
  <si>
    <t>Subject-specific nouns and active descriptive terms.</t>
  </si>
  <si>
    <t>equipo, película, música, teatro, fútbol, empresa, historia, naturaleza, viaje, hotel +4</t>
  </si>
  <si>
    <t>Advanced L3</t>
  </si>
  <si>
    <t>Abstract concepts, technical terminology, and formal administration.</t>
  </si>
  <si>
    <t>administración, gestión, república, inversión, economía, técnica, infraestructura, legislación +3</t>
  </si>
  <si>
    <t>The Enhanced "CAT &amp; LEVEL ID" Classifier Prompt</t>
  </si>
  <si>
    <t>System Role: You are a linguistic data analyst specializing in Spanish morphology, contextual categorization, and CEFR-aligned vocabulary leveling. Your task is to map Spanish words to specific "CAT ID" subjects and "Level IDs" based on their vibe, professional usage, and linguistic complexity.</t>
  </si>
  <si>
    <t>CAT ID Reference Table:</t>
  </si>
  <si>
    <t>| ID | Category | Vibe |</t>
  </si>
  <si>
    <t>|:---|:---|:---|</t>
  </si>
  <si>
    <t>| 1 | Politics &amp; Government | Fact-based (Laws, years) |</t>
  </si>
  <si>
    <t>| 2 | Economy &amp; Finance | Logical/Numerical (Trends, growth) |</t>
  </si>
  <si>
    <t>| 3 | Arts &amp; Entertainment | Creative/Recall (Names, works) |</t>
  </si>
  <si>
    <t>| 4 | Sports | Statistic/Outcome (Scores, teams) |</t>
  </si>
  <si>
    <t>| 5 | Business &amp; Labor | Operational (Hiring, trade) |</t>
  </si>
  <si>
    <t>| 6 | Science &amp; Tech | Conceptual (Discovery, how-to) |</t>
  </si>
  <si>
    <t>| 7 | Education | Institutional (Degrees, research) |</t>
  </si>
  <si>
    <t>| 8 | Crime, Law &amp; Justice | Narrative (Rulings, events) |</t>
  </si>
  <si>
    <t>| 9 | History &amp; Religion | Chronological (Timelines, eras) |</t>
  </si>
  <si>
    <t>| 10 | Environment &amp; Nature | Descriptive (Locations, ecology) |</t>
  </si>
  <si>
    <t>| 11 | Health &amp; Wellness | Practical (Medical, body) |</t>
  </si>
  <si>
    <t>| 12 | Social Issues/Society | Sociological (Demographics, groups) |</t>
  </si>
  <si>
    <t>| 13 | Lifestyle &amp; Travel | Experiential (Destinations, habits) |</t>
  </si>
  <si>
    <t>| 14 | Weather &amp; Disaster | Event-driven (Severity, response) |</t>
  </si>
  <si>
    <t>| 15 | Misc. Does not fit into other categories |</t>
  </si>
  <si>
    <t>Level ID Reference Table:</t>
  </si>
  <si>
    <t>| Level | Logic for AI | Examples |</t>
  </si>
  <si>
    <t>| L1 (Basic) | Common daily vocabulary, high-frequency particles, and basic verbs. | de, casa, vida, niños, sol |</t>
  </si>
  <si>
    <t>| L2 (Intermediate) | Subject-specific nouns and active descriptive terms used in general media. | equipo, película, historia, viaje |</t>
  </si>
  <si>
    <t>| L3 (Advanced) | Abstract concepts, technical terminology, and formal administration/jargon. | gestión, infraestructura, legislación |</t>
  </si>
  <si>
    <t>Instructions:</t>
  </si>
  <si>
    <t>Analyze the list of words provided by the user.</t>
  </si>
  <si>
    <t>For each word, determine the single most relevant CAT ID based on the "Vibe."</t>
  </si>
  <si>
    <t>Assign a Level ID (L1, L2, or L3) based on the linguistic complexity logic.</t>
  </si>
  <si>
    <t>Output the results in a Markdown Table with these columns: Word, Category Name, Level, and Reasoning.</t>
  </si>
  <si>
    <t>Do not include introductory or concluding conversational text.</t>
  </si>
  <si>
    <t>Word</t>
  </si>
  <si>
    <t>Level</t>
  </si>
  <si>
    <t>Reasoning</t>
  </si>
  <si>
    <t>High-frequency additive conjunction used in all contexts.</t>
  </si>
  <si>
    <t>Fundamental temporal noun for daily life.</t>
  </si>
  <si>
    <t>High-frequency preposition; often used for opposition or legal cases.</t>
  </si>
  <si>
    <t>Basic determiner for distinguishing groups or things.</t>
  </si>
  <si>
    <t>Common demonstrative pronoun used in everyday speech.</t>
  </si>
  <si>
    <t>Universal preposition; essential for possession and origin.</t>
  </si>
  <si>
    <t>Basic temporal marker used to establish timelines.</t>
  </si>
  <si>
    <t>High-frequency personal pronoun.</t>
  </si>
  <si>
    <t>Common feminine demonstrative pronoun.</t>
  </si>
  <si>
    <t>Common masculine demonstrative pronoun.</t>
  </si>
  <si>
    <t>Relative pronoun used in more structured, formal explanations.</t>
  </si>
  <si>
    <t>Fundamental noun for human beings.</t>
  </si>
  <si>
    <t>Common noun for labor/employment.</t>
  </si>
  <si>
    <t>Indefinite article; high-frequency particle.</t>
  </si>
  <si>
    <t>High-frequency past tense of "to be" (state/location).</t>
  </si>
  <si>
    <t>Basic chronological marker for sequences.</t>
  </si>
  <si>
    <t>Categorical term for televised or sequential creative works.</t>
  </si>
  <si>
    <r>
      <t>Conjunction used for contrasting ideas; slightly more complex than </t>
    </r>
    <r>
      <rPr>
        <i/>
        <sz val="12"/>
        <color rgb="FF000000"/>
        <rFont val="Google Sans Text"/>
        <family val="2"/>
        <charset val="1"/>
      </rPr>
      <t>pero</t>
    </r>
    <r>
      <rPr>
        <sz val="12"/>
        <color rgb="FF000000"/>
        <rFont val="Google Sans Text"/>
        <family val="2"/>
        <charset val="1"/>
      </rPr>
      <t>.</t>
    </r>
  </si>
  <si>
    <t>Common noun referring to the planet or global scope.</t>
  </si>
  <si>
    <t>Basic preposition (under); often used in "under the law."</t>
  </si>
  <si>
    <t>Basic plural demonstrative pronoun.</t>
  </si>
  <si>
    <t>Common determiner for "another."</t>
  </si>
  <si>
    <t>Essential relative pronoun for identifying people.</t>
  </si>
  <si>
    <t>Common temporal connector for narrative sequences.</t>
  </si>
  <si>
    <t>Fundamental noun for a nation or state.</t>
  </si>
  <si>
    <t>Quantifier used for indefinite plural amounts.</t>
  </si>
  <si>
    <t>Fundamental existential verb (there is/are).</t>
  </si>
  <si>
    <t>Subject-specific noun (account/bill) used in daily transactions.</t>
  </si>
  <si>
    <t>Common preposition indicating direction or movement.</t>
  </si>
  <si>
    <t>Subject-specific noun for past events or narratives.</t>
  </si>
  <si>
    <t>Essential preposition used for purpose or destination.</t>
  </si>
  <si>
    <t>Standard term for a group or sports collective.</t>
  </si>
  <si>
    <t>Refers to the political entity of a nation or a formal status.</t>
  </si>
  <si>
    <t>Basic noun for an adult female.</t>
  </si>
  <si>
    <t>Used to explain processes or mediums (through/via).</t>
  </si>
  <si>
    <t>High-frequency plural present tense of "to be."</t>
  </si>
  <si>
    <t>Used for outcomes, concluding matches, or results.</t>
  </si>
  <si>
    <t>Common adjective for identity/sameness.</t>
  </si>
  <si>
    <t>Basic cardinal number.</t>
  </si>
  <si>
    <t>Essential negative particle.</t>
  </si>
  <si>
    <t>Specific noun for the ruling body of a state.</t>
  </si>
  <si>
    <t>High-frequency third-person plural pronoun.</t>
  </si>
  <si>
    <t>More formal verb for "to find" or "to be located."</t>
  </si>
  <si>
    <t>Descriptive term for proximity or togetherness.</t>
  </si>
  <si>
    <t>Specific chronological term for a 100-year era.</t>
  </si>
  <si>
    <t>Transition word used in more formal/detailed discourse.</t>
  </si>
  <si>
    <t>Common quantifier for "some."</t>
  </si>
  <si>
    <t>Fundamental noun for a home/dwelling.</t>
  </si>
  <si>
    <t>Broad administrative or categorical term.</t>
  </si>
  <si>
    <t>Adjective used to categorize varied groups or items.</t>
  </si>
  <si>
    <t>Basic descriptive adjective for length.</t>
  </si>
  <si>
    <t>Common proper noun for a destination; basic geographical knowledge.</t>
  </si>
  <si>
    <t>Central figure in religious chronology and high-frequency proper name.</t>
  </si>
  <si>
    <t>Formal transition word used to establish chronological order in narratives.</t>
  </si>
  <si>
    <t>Often used in political contexts (Reino Unido, Estados Unidos) or formal alliances.</t>
  </si>
  <si>
    <t>Misc.</t>
  </si>
  <si>
    <t>High-frequency temporal particle; functional daily vocabulary.</t>
  </si>
  <si>
    <t>Conceptual term referring to foundations or fundamental principles of a system.</t>
  </si>
  <si>
    <t>Subject-specific noun referring to a period of study or institutional timeline.</t>
  </si>
  <si>
    <t>Basic spatial preposition used to describe locations.</t>
  </si>
  <si>
    <t>Formal/archaic referential term common in legal narrative and rulings.</t>
  </si>
  <si>
    <t>Adjective describing logical/numerical trends and financial systems.</t>
  </si>
  <si>
    <t>Descriptive noun for physical locations and urban ecology.</t>
  </si>
  <si>
    <t>Abstract/technical term for a central line or conceptual pivot point.</t>
  </si>
  <si>
    <t>Action verb often used for the creation of laws, treaties, or official years.</t>
  </si>
  <si>
    <t>Technical/academic term for proof and findings in conceptual research.</t>
  </si>
  <si>
    <t>Often refers to financial capital, investment pools, or numerical reserves.</t>
  </si>
  <si>
    <t>Active verb describing how groups or demographics are composed.</t>
  </si>
  <si>
    <t>Specific job title for a political leader; fact-based administrative role.</t>
  </si>
  <si>
    <t>Basic daily vocabulary for telling time.</t>
  </si>
  <si>
    <t>Basic past tense of "haber"; used to describe historical occurrences.</t>
  </si>
  <si>
    <t>Visual creative works or recall-based descriptive nouns.</t>
  </si>
  <si>
    <t>Technical term for logical/numerical growth and financial earnings.</t>
  </si>
  <si>
    <t>Abstract sociological and philosophical concept regarding rights.</t>
  </si>
  <si>
    <t>Descriptive term for regional habits or specific destinations.</t>
  </si>
  <si>
    <t>Refers to official laws, regulations, or fact-based government responses.</t>
  </si>
  <si>
    <t>Fundamental chronological marker for biographical timelines.</t>
  </si>
  <si>
    <t>Abstract outcome of political treaties and historical eras.</t>
  </si>
  <si>
    <t>Outcome-based verb used for scores, matches, and team results.</t>
  </si>
  <si>
    <t>Adjective used to categorize specific groups or individual traits.</t>
  </si>
  <si>
    <t>Refers to creative works, media, or the act of releasing content.</t>
  </si>
  <si>
    <t>Relative pronoun used to describe groups of people or demographics.</t>
  </si>
  <si>
    <t>Technical/operational term for the headquarters of a trade or entity.</t>
  </si>
  <si>
    <t>Descriptive noun for geographical locations and ecological zones.</t>
  </si>
  <si>
    <t>Institutional noun used in research, study, and academic settings.</t>
  </si>
  <si>
    <t>Fact-based numerical data used in elections and laws.</t>
  </si>
  <si>
    <t>Common verb describing habits or returning to a destination.</t>
  </si>
  <si>
    <t>Descriptive term used to categorize locations or ecological areas.</t>
  </si>
  <si>
    <t>Basic quantifier; common daily vocabulary.</t>
  </si>
  <si>
    <t>Basic chronological marker for timelines.</t>
  </si>
  <si>
    <t>Formal connective tissue used in legal arguments and formal reports.</t>
  </si>
  <si>
    <t>High-frequency proper noun for a major world destination.</t>
  </si>
  <si>
    <t>Operational term regarding trade, entry, or resource availability.</t>
  </si>
  <si>
    <t>Chronological term for events that happened previously in a timeline.</t>
  </si>
  <si>
    <t>Basic demonstrative pronoun; common daily vocabulary.</t>
  </si>
  <si>
    <t>Used in medical contexts (e.g., blood pressure) or practical body stats.</t>
  </si>
  <si>
    <t>Subject-specific noun for a statistical winner or team outcome.</t>
  </si>
  <si>
    <t>Chronological and historical landmark; representative of eras.</t>
  </si>
  <si>
    <t>Basic institutional term for courses and academic levels.</t>
  </si>
  <si>
    <t>Creative/descriptive vocabulary for artistic works.</t>
  </si>
  <si>
    <t>Statistic/Outcome term for matches or specific athletic contests.</t>
  </si>
  <si>
    <t>Operational term for coworkers or partners in a trade/group.</t>
  </si>
  <si>
    <t>Active verb related to hiring, trade acquisition, or operational goals.</t>
  </si>
  <si>
    <t>Common proper name; high recall value for cultural/creative figures.</t>
  </si>
  <si>
    <t>Subject-specific noun defining a match or competition with scores/outcomes.</t>
  </si>
  <si>
    <t>Common geographical proper noun representing a destination.</t>
  </si>
  <si>
    <t>Basic descriptive noun for the planet or ecological ground.</t>
  </si>
  <si>
    <t>Fundamental chronological phrase used to establish timeline narratives.</t>
  </si>
  <si>
    <t>Event-driven term describing an unplanned occurrence or severity response.</t>
  </si>
  <si>
    <t>Functional preposition often used in institutional research and academic topics.</t>
  </si>
  <si>
    <t>Basic spatial/experiential term used in daily habits and navigation.</t>
  </si>
  <si>
    <t>English conjunction; used here as a high-frequency functional loanword or error.</t>
  </si>
  <si>
    <t>High-frequency quantifier for experiential descriptions.</t>
  </si>
  <si>
    <t>Descriptive color term used in creative works and visual arts.</t>
  </si>
  <si>
    <t>Basic adjective used to describe well-being or practical condition.</t>
  </si>
  <si>
    <t>Numerical/Logical focus on shifts in trends, growth, or currency.</t>
  </si>
  <si>
    <t>Statistic-heavy term for a season-long competition and its outcomes.</t>
  </si>
  <si>
    <t>Fact-based adjective used to confirm status or truth in official contexts.</t>
  </si>
  <si>
    <t>Advanced adverb used to define conceptual "how-to" or state of discovery.</t>
  </si>
  <si>
    <t>Sociological term for group or individual demographics and actions.</t>
  </si>
  <si>
    <t>Narrative term describing the formal result of rulings or events.</t>
  </si>
  <si>
    <t>Subject-specific noun describing sociological traits and groups.</t>
  </si>
  <si>
    <t>Common verb; in professional vibes, relates to hiring (leaving a post) or trade.</t>
  </si>
  <si>
    <t>Statistic/Outcome term for organizing teams or league brackets.</t>
  </si>
  <si>
    <t>Technical/Institutional term for research citations and academic origins.</t>
  </si>
  <si>
    <t>Logical term focusing on trends, growth, and forecasting.</t>
  </si>
  <si>
    <t>Basic practical term for pain, illness, or poor biological condition.</t>
  </si>
  <si>
    <t>Action verb used for the continuity of laws, years, or official status.</t>
  </si>
  <si>
    <t>Basic unit of time used for statistics and outcome tracking.</t>
  </si>
  <si>
    <t>Subject-specific noun describing how mechanical things work.</t>
  </si>
  <si>
    <t>High-frequency pronoun representing a collective demographic/group.</t>
  </si>
  <si>
    <t>Technical terminology for a medical procedure or practical intervention.</t>
  </si>
  <si>
    <t>Logical/Numerical focus on commodity value and financial assets.</t>
  </si>
  <si>
    <t>Fact-based verb often used in the context of laws and official decrees.</t>
  </si>
  <si>
    <t>Experiential descriptive term for a location or destination.</t>
  </si>
  <si>
    <t>Creative/Recall noun for accolades, names, and specific works.</t>
  </si>
  <si>
    <t>Adjective used for categorization of specific demographic traits.</t>
  </si>
  <si>
    <t>Operational term for trade initiatives or professional tasks.</t>
  </si>
  <si>
    <t>Operational term used in trade, hiring, and formal communications.</t>
  </si>
  <si>
    <t>Practical/Experiential term for travel, exits, and daily movement.</t>
  </si>
  <si>
    <t>High-frequency verb; functional daily vocabulary.</t>
  </si>
  <si>
    <t>Ordinal number used for ranking, statistics, or sports periods.</t>
  </si>
  <si>
    <t>Practical verb for daily habits (eating/drinking) or taking medicine.</t>
  </si>
  <si>
    <t>Fact-based term regarding state military and government action.</t>
  </si>
  <si>
    <t>Descriptive term used in ecology and biodiversity contexts.</t>
  </si>
  <si>
    <t>Conceptual/Technical term describing a measurable physical property.</t>
  </si>
  <si>
    <t>Chronological marker defining a specific year in a timeline.</t>
  </si>
  <si>
    <t>Basic numerical data used for trends, growth, or accounting.</t>
  </si>
  <si>
    <t>Common proper name with high cultural recall value.</t>
  </si>
  <si>
    <t>Basic verb describing practical states of being or physical health.</t>
  </si>
  <si>
    <t>Adjective used to describe significant creative works or names.</t>
  </si>
  <si>
    <t>High-frequency term in sports context (World Cup/Championships) referring to global outcomes.</t>
  </si>
  <si>
    <t>Fact-based term for a type of state or sovereignty (Kingdom).</t>
  </si>
  <si>
    <t>Roman numerals used almost exclusively for chronological centuries and historical eras.</t>
  </si>
  <si>
    <t>Proper noun used for a major destination (New York).</t>
  </si>
  <si>
    <t>Temporal marker used to describe the current state of laws or government affairs.</t>
  </si>
  <si>
    <t>Basic descriptive noun for ecological and natural resources.</t>
  </si>
  <si>
    <t>Adjective used to describe chronological timelines and historical periods.</t>
  </si>
  <si>
    <t>Technical term for sections of laws, treaties, or constitutional facts.</t>
  </si>
  <si>
    <t>Sociological term for urban demographics and community groups.</t>
  </si>
  <si>
    <t>Conceptual verb describing the composition or components of a discovery/how-to.</t>
  </si>
  <si>
    <t>Active verb denoting transformation; applicable across various subjects.</t>
  </si>
  <si>
    <t>Narrative/Institutional term for the place where rulings are made.</t>
  </si>
  <si>
    <t>Abstract concept referring to the act of making artistic or creative works.</t>
  </si>
  <si>
    <t>Verb relating to belief systems and religious ideological conviction.</t>
  </si>
  <si>
    <t>Basic high-frequency verb (dar); common daily vocabulary.</t>
  </si>
  <si>
    <t>Formal referential term used in legal narratives and case reports.</t>
  </si>
  <si>
    <t>Technical terminology for the results of a discovery or technical process.</t>
  </si>
  <si>
    <t>Recall-based noun for an artistic shape, work, or notable person.</t>
  </si>
  <si>
    <t>Technical jargon for operational administration and trade oversight.</t>
  </si>
  <si>
    <t>Imperfect tense of "ir"; used to establish chronological background in history.</t>
  </si>
  <si>
    <t>Basic unit of measurement for locations and geographical descriptions.</t>
  </si>
  <si>
    <t>Conceptual verb for debuting a technology, discovery, or product.</t>
  </si>
  <si>
    <t>Technical/Mathematical term for physical measurements in a conceptual context.</t>
  </si>
  <si>
    <t>Basic descriptive term for destinations and experiential sites.</t>
  </si>
  <si>
    <t>Descriptive noun for a natural resource and ecological material.</t>
  </si>
  <si>
    <t>Basic descriptive term for a geographical and ecological feature.</t>
  </si>
  <si>
    <t>Sociological unit and demographic status within a group.</t>
  </si>
  <si>
    <t>Fact-based term for diplomatic or official government tasks.</t>
  </si>
  <si>
    <t>Basic daily vocabulary; negation.</t>
  </si>
  <si>
    <t>Subject-specific noun for ecology and the natural world.</t>
  </si>
  <si>
    <t>Creative/Recall basis for identifying people, works, or entities.</t>
  </si>
  <si>
    <t>Numerical adjective used to describe growth, trends, or volume.</t>
  </si>
  <si>
    <t>Sociological term for demographic pairings or social units.</t>
  </si>
  <si>
    <t>Abstract technical terminology for government laws and state frameworks.</t>
  </si>
  <si>
    <t>Operational term for items involved in trade and commercial hiring.</t>
  </si>
  <si>
    <t>Institutional noun for a basic role within schools and research.</t>
  </si>
  <si>
    <t>Technical terminology for the characteristics of a discovery or element.</t>
  </si>
  <si>
    <t>Abstract term for meaning or sensory perception.</t>
  </si>
  <si>
    <t>Future tense of "ser"; often used in laws to dictate what "shall be."</t>
  </si>
  <si>
    <t>Functional verb for defining concepts.</t>
  </si>
  <si>
    <t>Comparative term used across all subject-specific nouns.</t>
  </si>
  <si>
    <t>Descriptive ecological term for the ground or terrain.</t>
  </si>
  <si>
    <t>Often used for "toma de posesión" or official assumption of power.</t>
  </si>
  <si>
    <t>Advanced conceptual term for how a specific discovery is applied.</t>
  </si>
  <si>
    <t>Logical/Numerical focus on the worth or growth of an asset.</t>
  </si>
  <si>
    <t>Operational term for a trade transaction.</t>
  </si>
  <si>
    <t>Creative/Recall noun for different editions of a work or story.</t>
  </si>
  <si>
    <t>Descriptive term for specific locations or ecological zones.</t>
  </si>
  <si>
    <t>Common proper name with high cultural recall.</t>
  </si>
  <si>
    <t>Often refers to "Casa Real" or "Casa Blanca" in political fact-based contexts.</t>
  </si>
  <si>
    <t>Used to establish cause-and-effect in event-driven responses.</t>
  </si>
  <si>
    <t>Common destination name; basic geography.</t>
  </si>
  <si>
    <t>High-frequency functional particle.</t>
  </si>
  <si>
    <t>Experiential noun for a common urban destination or habit.</t>
  </si>
  <si>
    <t>Fact-based term for political alliances (e.g., European Union).</t>
  </si>
  <si>
    <t>Narrative term for an event or a formal legal proceeding.</t>
  </si>
  <si>
    <t>Demographic identifier for a group or nationality.</t>
  </si>
  <si>
    <t>Basic demonstrative pronoun.</t>
  </si>
  <si>
    <t>Chronological event defining historical timelines and eras.</t>
  </si>
  <si>
    <t>Basic verb for a demographic/sociological life event.</t>
  </si>
  <si>
    <t>Narrative/Technical term for non-military legal matters and rulings.</t>
  </si>
  <si>
    <t>Operational adjective for trade and business activity.</t>
  </si>
  <si>
    <t>Technical terminology for operational agreements in trade/hiring.</t>
  </si>
  <si>
    <t>Active verb denoting change of state.</t>
  </si>
  <si>
    <t>Descriptive term for a geographical/ecological location.</t>
  </si>
  <si>
    <t>Action verb for the production of creative works or names.</t>
  </si>
  <si>
    <t>Formal relative pronoun common in legal and administrative text.</t>
  </si>
  <si>
    <t>Conceptual term for detailing a discovery or how-to process.</t>
  </si>
  <si>
    <t>Fact-based term for the outcome of a voting/political process.</t>
  </si>
  <si>
    <t>Operational term for trade entities and hiring organizations.</t>
  </si>
  <si>
    <t>Abstract/Descriptive term for ecological or social surroundings.</t>
  </si>
  <si>
    <t>Narrative term often used in rulings or events involving justice.</t>
  </si>
  <si>
    <t>Experiential term for a planned destination or habit.</t>
  </si>
  <si>
    <t>High-frequency verb defining existence.</t>
  </si>
  <si>
    <t>Basic descriptive noun for ecological elements (leaves).</t>
  </si>
  <si>
    <t>Fact-based term for political alignment or spatial location.</t>
  </si>
  <si>
    <t>Standard abbreviation for units of distance and location.</t>
  </si>
  <si>
    <t>Basic verb for habits or transporting things to a destination.</t>
  </si>
  <si>
    <t>Chronological term for preserving the recall of eras and timelines.</t>
  </si>
  <si>
    <t>Basic plural noun for physical things.</t>
  </si>
  <si>
    <t>Formal/Advanced connective common in legal rulings (No obstante).</t>
  </si>
  <si>
    <t>Operational term for a strategy in trade or hiring.</t>
  </si>
  <si>
    <t>Narrative/Practical term for the enforcement branch of justice.</t>
  </si>
  <si>
    <t>Fact-based term for people involved in laws and the state.</t>
  </si>
  <si>
    <t>Sociological term for demographic or group-based challenges.</t>
  </si>
  <si>
    <t>Operational term regarding trade status and hiring.</t>
  </si>
  <si>
    <t>Conceptual term for applying a discovery or how-to method.</t>
  </si>
  <si>
    <t>Descriptive noun for a physical location or infrastructure.</t>
  </si>
  <si>
    <t>Numerical term focusing on negative trends or growth.</t>
  </si>
  <si>
    <t>Fact-based adjective for state institutions and laws.</t>
  </si>
  <si>
    <t>Basic adjective for truth or existence.</t>
  </si>
  <si>
    <t>Statistic/Outcome term for scores and team performance.</t>
  </si>
  <si>
    <t>Creative/Recall space for works and performances.</t>
  </si>
  <si>
    <t>Statistic-based term for an organized series of team outcomes.</t>
  </si>
  <si>
    <t>Sociological term for a demographic group in a neighborhood.</t>
  </si>
  <si>
    <t>Primary outcome/statistic for teams and athletic contests.</t>
  </si>
  <si>
    <t>Institutional noun for degrees and research environments.</t>
  </si>
  <si>
    <t>High-frequency proper noun for a major destination.</t>
  </si>
  <si>
    <t>Used in royal/political names to denote chronology (e.g., Carlos I).</t>
  </si>
  <si>
    <t>Fact-based foundation of the state and government.</t>
  </si>
  <si>
    <t>Refers to a set of principles or procedures; conceptual.</t>
  </si>
  <si>
    <t>Formal participial adjective/conjunction (due to).</t>
  </si>
  <si>
    <t>Common past tense of tener; narrative/chronological.</t>
  </si>
  <si>
    <t>Basic present tense verb; high-frequency particle.</t>
  </si>
  <si>
    <t>Subject-specific noun related to play and outcomes.</t>
  </si>
  <si>
    <t>Basic descriptive adjective for daily items.</t>
  </si>
  <si>
    <t>Basic numerical term used in logic and data.</t>
  </si>
  <si>
    <t>High-frequency verb for time and actions.</t>
  </si>
  <si>
    <t>Basic plural indefinite article.</t>
  </si>
  <si>
    <t>Chronological marker; high-frequency temporal word.</t>
  </si>
  <si>
    <t>Term for a creative work or project.</t>
  </si>
  <si>
    <t>High-frequency temporal preposition.</t>
  </si>
  <si>
    <t>Common daily vocabulary for time.</t>
  </si>
  <si>
    <t>Gerund of ser; high-frequency state marker.</t>
  </si>
  <si>
    <t>Subject-specific noun (TV/theatre seasons).</t>
  </si>
  <si>
    <t>Fundamental noun for demographic grouping.</t>
  </si>
  <si>
    <t>Basic daily vocabulary for time/afternoon.</t>
  </si>
  <si>
    <t>Abstract noun for "way" or "mode."</t>
  </si>
  <si>
    <t>Basic temporal noun for points in time.</t>
  </si>
  <si>
    <t>Basic demonstrative for identifying things.</t>
  </si>
  <si>
    <t>Operational term for building or infrastructure.</t>
  </si>
  <si>
    <t>Fundamental sociological unit.</t>
  </si>
  <si>
    <t>Numerical term used in trends and growth.</t>
  </si>
  <si>
    <t>Basic familial noun.</t>
  </si>
  <si>
    <t>Imperfect past tense; common in narrative timelines.</t>
  </si>
  <si>
    <t>Basic preposition for temporal/spatial start.</t>
  </si>
  <si>
    <t>Basic daily vocabulary (month).</t>
  </si>
  <si>
    <t>Descriptive noun for a medical/biological event.</t>
  </si>
  <si>
    <t>Descriptive term for a specific location.</t>
  </si>
  <si>
    <t>Basic temporal conjunction.</t>
  </si>
  <si>
    <t>Common title in religious and historical contexts.</t>
  </si>
  <si>
    <t>Additive adverb used in media/structured text.</t>
  </si>
  <si>
    <t>Basic preposition of location.</t>
  </si>
  <si>
    <t>Sociological term for demographics/proportions.</t>
  </si>
  <si>
    <t>Basic high-frequency quantifier.</t>
  </si>
  <si>
    <t>Refers to political or institutional authority.</t>
  </si>
  <si>
    <t>Basic ordinal/temporal adjective.</t>
  </si>
  <si>
    <t>Essential high-frequency preposition.</t>
  </si>
  <si>
    <t>Basic practical adverb for state/wellness.</t>
  </si>
  <si>
    <t>Auxiliary past tense; essential for timelines.</t>
  </si>
  <si>
    <t>Common noun/participle (fact/done).</t>
  </si>
  <si>
    <t>Common noun for categorization.</t>
  </si>
  <si>
    <t>Formal term for a ruling or narrative event.</t>
  </si>
  <si>
    <t>Institutional term for research or grade levels.</t>
  </si>
  <si>
    <t>Sociological term for demographic groups.</t>
  </si>
  <si>
    <t>Basic ordinal number.</t>
  </si>
  <si>
    <t>High-frequency determiner.</t>
  </si>
  <si>
    <t>Quantifier used in media and general discourse.</t>
  </si>
  <si>
    <t>Practical term used in medical care or patient assistance context.</t>
  </si>
  <si>
    <t>Basic daily vocabulary for urban social spaces and demographics.</t>
  </si>
  <si>
    <t>Fact-based term for diplomatic or state-level disagreements.</t>
  </si>
  <si>
    <t>Common high-frequency verb; functional daily vocabulary.</t>
  </si>
  <si>
    <t>Technical terminology for trade logistics and operational chains.</t>
  </si>
  <si>
    <t>Fundamental institutional noun for people in research or degrees.</t>
  </si>
  <si>
    <t>Abstract/Conceptual term regarding the state of a discovery or entity.</t>
  </si>
  <si>
    <t>Statistic/Outcome term referring to an infraction in a game.</t>
  </si>
  <si>
    <t>Conceptual term for how a system or technical tool operates.</t>
  </si>
  <si>
    <t>Creative/Recall term for a professional tour or series of works.</t>
  </si>
  <si>
    <t>Sociological term for demographics and groups.</t>
  </si>
  <si>
    <t>Basic descriptive adjective; daily vocabulary.</t>
  </si>
  <si>
    <t>Descriptive term for a specific geographical location or zone.</t>
  </si>
  <si>
    <t>Practical term for a part of the human body.</t>
  </si>
  <si>
    <t>Chronological marker used to denote the middle of an era or timeline.</t>
  </si>
  <si>
    <t>Conceptual term for a discovery prototype or technical structure.</t>
  </si>
  <si>
    <t>Common verb for experiencing time or moving through destinations.</t>
  </si>
  <si>
    <t>Formal chronological transition used in timelines and eras.</t>
  </si>
  <si>
    <t>Narrative/Technical term for evidence in rulings or events.</t>
  </si>
  <si>
    <t>Recall-based term for a released creative work or book.</t>
  </si>
  <si>
    <t>Physical space for creative recall (cinema, theater, concert hall).</t>
  </si>
  <si>
    <t>Narrative focus on protection and legal event-driven response.</t>
  </si>
  <si>
    <t>Basic unit of time measurement.</t>
  </si>
  <si>
    <t>Basic high-frequency number.</t>
  </si>
  <si>
    <t>Creative/Recall element of performance and musical works.</t>
  </si>
  <si>
    <t>Proper noun for a primary world destination.</t>
  </si>
  <si>
    <t>Creative role for a person in works and performance.</t>
  </si>
  <si>
    <t>Descriptive term for a geographical or ecological measurement.</t>
  </si>
  <si>
    <t>Chronological adjective for historical eras and timelines.</t>
  </si>
  <si>
    <t>Abstract sociological term for traits within demographics or groups.</t>
  </si>
  <si>
    <t>Chronological verb for the start of timelines or events.</t>
  </si>
  <si>
    <t>Evaluative adjective common across various professional vibes.</t>
  </si>
  <si>
    <t>Fact-based verb for official government or legal statements.</t>
  </si>
  <si>
    <t>Primary term for logical/numerical trends and growth systems.</t>
  </si>
  <si>
    <t>Basic institutional term for research and degree sites.</t>
  </si>
  <si>
    <t>Creative work or showcase requiring recall of names/works.</t>
  </si>
  <si>
    <t>Technical terminology for institutional learning and research.</t>
  </si>
  <si>
    <t>Active verb for the composition of demographics or groups.</t>
  </si>
  <si>
    <t>Event-driven term for severity and emergency response.</t>
  </si>
  <si>
    <t>Sociological/Technical term for demographics and groups.</t>
  </si>
  <si>
    <t>High-frequency verb (hacer); basic daily vocabulary.</t>
  </si>
  <si>
    <t>Abstract term for significance.</t>
  </si>
  <si>
    <t>Operational term for trade and hiring sectors.</t>
  </si>
  <si>
    <t>Formal chronological marker for the start of a timeline.</t>
  </si>
  <si>
    <t>Formal/Advanced term for state and government entities.</t>
  </si>
  <si>
    <t>Common verb for naming or calling.</t>
  </si>
  <si>
    <t>Practical term for the human body.</t>
  </si>
  <si>
    <t>Creative/Descriptive color term used in works.</t>
  </si>
  <si>
    <t>Basic unit of study in research and literacy.</t>
  </si>
  <si>
    <t>Descriptive term for an ecological or geographical location.</t>
  </si>
  <si>
    <t>Creative/Recall term for individual works or artistic parts.</t>
  </si>
  <si>
    <t>Basic descriptive noun for ecological organisms.</t>
  </si>
  <si>
    <t>Technical terminology for conceptual discovery or how-to steps.</t>
  </si>
  <si>
    <t>Conceptual term for software or technical instructions.</t>
  </si>
  <si>
    <t>Technical terminology for academic research and degrees.</t>
  </si>
  <si>
    <t>Event-driven adverb describing severity or response time.</t>
  </si>
  <si>
    <t>Operational verb for hiring and professional tasks.</t>
  </si>
  <si>
    <t>Numerical term for a singular measure of growth or data.</t>
  </si>
  <si>
    <t>Basic high-frequency verb (ir).</t>
  </si>
  <si>
    <t>Abstract term for sight or conceptual perspective.</t>
  </si>
  <si>
    <t>Basic institutional noun for learning and research.</t>
  </si>
  <si>
    <t>Roman numeral for the 20th century; chronological eras.</t>
  </si>
  <si>
    <t>Term for classification used across disciplines.</t>
  </si>
  <si>
    <t>Abstract institutional term for research and learning.</t>
  </si>
  <si>
    <t>Sociological pronoun for other groups or demographics.</t>
  </si>
  <si>
    <t>Conceptual verb for discovery and how-to findings.</t>
  </si>
  <si>
    <t>Common daily adjective.</t>
  </si>
  <si>
    <t>Operational adverb for trade or trade communications.</t>
  </si>
  <si>
    <t>Fact-based event involving laws and state voting years.</t>
  </si>
  <si>
    <t>Conceptual term for discovery and technical power systems.</t>
  </si>
  <si>
    <t>Recall-based term for creative or literary works.</t>
  </si>
  <si>
    <t>Basic sociological unit/demographic identifier.</t>
  </si>
  <si>
    <t>Practical verb for prevention and medical well-being.</t>
  </si>
  <si>
    <t>Statistic/Outcome subject involving teams and scores.</t>
  </si>
  <si>
    <t>High-frequency gerund; daily vocabulary.</t>
  </si>
  <si>
    <t>Conceptual start for discovery and technical advancement.</t>
  </si>
  <si>
    <t>Functional verb for categorizing components.</t>
  </si>
  <si>
    <t>Fact-based term for political status or state history.</t>
  </si>
  <si>
    <t>Sociological demographic group defined by age.</t>
  </si>
  <si>
    <t>Conceptual verb for debut of a technical discovery or product.</t>
  </si>
  <si>
    <t>Numerical/Logical term for calculating trends or averages.</t>
  </si>
  <si>
    <t>Fact-based term regarding state power and government action.</t>
  </si>
  <si>
    <t>Fact-based term for government personnel or legal status.</t>
  </si>
  <si>
    <t>Creative/Recall noun for figures in artistic works.</t>
  </si>
  <si>
    <t>Modal verb for possibility; daily vocabulary.</t>
  </si>
  <si>
    <t>Chronological marker for the start of eras or timelines.</t>
  </si>
  <si>
    <t>Technical terminology for logical/numerical trends.</t>
  </si>
  <si>
    <t>Conceptual term for testing discoveries or how-to methods.</t>
  </si>
  <si>
    <t>Recall-based noun for a creative/media work.</t>
  </si>
  <si>
    <t>Adjective for sociological groups and demographic studies.</t>
  </si>
  <si>
    <t>Past participle of high-frequency verb (tener).</t>
  </si>
  <si>
    <t>Numerical measure for tracking trends and growth.</t>
  </si>
  <si>
    <t>Basic verb for practical use of discovery or tools.</t>
  </si>
  <si>
    <t>Basic spatial noun for location or middle.</t>
  </si>
  <si>
    <t>High-frequency vocabulary (month).</t>
  </si>
  <si>
    <t>High-frequency imperfect past tense; narrative.</t>
  </si>
  <si>
    <t>Common past tense for actions; chronological.</t>
  </si>
  <si>
    <t>Essential indefinite article.</t>
  </si>
  <si>
    <t>Basic quantifier for comparisons or amounts.</t>
  </si>
  <si>
    <t>Temporal marker for sequence or order.</t>
  </si>
  <si>
    <t>Subject-specific noun for cinema.</t>
  </si>
  <si>
    <t>Refers to media or a generic middle/half.</t>
  </si>
  <si>
    <t>Basic descriptive adjective for size.</t>
  </si>
  <si>
    <t>Subject-specific noun for conflict/history.</t>
  </si>
  <si>
    <t>High-frequency adjective for significance.</t>
  </si>
  <si>
    <t>Institutional/formal term for primary importance.</t>
  </si>
  <si>
    <t>Common temporal noun (times).</t>
  </si>
  <si>
    <t>Narrative verb for starting an event.</t>
  </si>
  <si>
    <t>Basic neuter demonstrative pronoun.</t>
  </si>
  <si>
    <t>Essential auxiliary verb.</t>
  </si>
  <si>
    <t>Adversative conjunction used in complex logic.</t>
  </si>
  <si>
    <t>Basic anatomical noun.</t>
  </si>
  <si>
    <t>Common participle/adjective (called).</t>
  </si>
  <si>
    <t>Essential conjunction for causality.</t>
  </si>
  <si>
    <t>Technical/logical term for a specific data point.</t>
  </si>
  <si>
    <t>Used in formal contrast (a pesar de).</t>
  </si>
  <si>
    <t>Numerical/logical term for summation.</t>
  </si>
  <si>
    <t>Specific chronological term for a period.</t>
  </si>
  <si>
    <t>Basic noun for biological or historical age.</t>
  </si>
  <si>
    <t>Temporal marker (a partir de); logical sequence.</t>
  </si>
  <si>
    <t>Subject-specific noun for music or photos.</t>
  </si>
  <si>
    <t>Formal contrastive conjunction.</t>
  </si>
  <si>
    <t>High-frequency adverb of degree.</t>
  </si>
  <si>
    <t>Modal verb often used for duty or legal obligation.</t>
  </si>
  <si>
    <t>Basic plural quantifier.</t>
  </si>
  <si>
    <t>Basic spatial noun for side/place.</t>
  </si>
  <si>
    <t>Operational term for the application of a tool.</t>
  </si>
  <si>
    <t>Refers to political entities or nations.</t>
  </si>
  <si>
    <t>Refers to a degree or professional path.</t>
  </si>
  <si>
    <t>Adjective for recall/fame.</t>
  </si>
  <si>
    <t>Abstract/technical term for progress or evolution.</t>
  </si>
  <si>
    <t>Fundamental high-frequency verb.</t>
  </si>
  <si>
    <t>Narrative verb for transformation/change.</t>
  </si>
  <si>
    <t>Basic adverb of location (outside).</t>
  </si>
  <si>
    <t>Universal quantifier.</t>
  </si>
  <si>
    <t>Proper noun for a major political entity.</t>
  </si>
  <si>
    <t>Descriptive adjective for political unions.</t>
  </si>
  <si>
    <t>More formal verb for location.</t>
  </si>
  <si>
    <t>Spatial/descriptive term for opposition/front.</t>
  </si>
  <si>
    <t>Creative or construction works.</t>
  </si>
  <si>
    <t>Formal preposition used for citing sources/laws.</t>
  </si>
  <si>
    <t>Basic possessive pronoun.</t>
  </si>
  <si>
    <t>Foreign particle (English).</t>
  </si>
  <si>
    <t>Formal temporal preposition (after).</t>
  </si>
  <si>
    <t>High-frequency indirect object pronoun.</t>
  </si>
  <si>
    <t>Often used to compare two demographic groups or sociological sides.</t>
  </si>
  <si>
    <t>Typically associated with official government or institutional announcements.</t>
  </si>
  <si>
    <t>Frequently used in the context of a name appearing in credits or a work.</t>
  </si>
  <si>
    <t>Strongly linked to legal "causes" or the narrative root of a case.</t>
  </si>
  <si>
    <t>Used to discuss numerical margins, spreads, or logical trends.</t>
  </si>
  <si>
    <t>The primary term for sports teams and collaborative outcomes.</t>
  </si>
  <si>
    <t>Pointer used when referencing specific social groups or demographics.</t>
  </si>
  <si>
    <t>Statistical/outcome focused; describes winning a match or title.</t>
  </si>
  <si>
    <t>Operational; describes the actions or manufacturing processes in trade.</t>
  </si>
  <si>
    <t>Sociological/family unit description.</t>
  </si>
  <si>
    <t>Refers to sociological power or the impact of one group on another.</t>
  </si>
  <si>
    <t>Descriptive geographical location and ecological setting.</t>
  </si>
  <si>
    <t>Often used in experiential contexts (carrying items, traveling paths).</t>
  </si>
  <si>
    <t>Legal term often used to describe a person under the legal age.</t>
  </si>
  <si>
    <t>Central term for financial trends, stock markets, and growth.</t>
  </si>
  <si>
    <t>Chronological marker used to build timelines and eras.</t>
  </si>
  <si>
    <t>Descriptive of ecology, resources, and the physical world.</t>
  </si>
  <si>
    <t>Often used in absolute legal/fact-based phrasing (no law, no exception).</t>
  </si>
  <si>
    <t>Conceptual; refers to measurements, data points, or technical scales.</t>
  </si>
  <si>
    <t>Refers to the official appointment of a person to a government role.</t>
  </si>
  <si>
    <t>Institutional; often used regarding obtaining degrees or research results.</t>
  </si>
  <si>
    <t>Narrative; refers to the "parties" or sides involved in a legal ruling.</t>
  </si>
  <si>
    <t>Operational; refers to hiring, staff, and workforce management.</t>
  </si>
  <si>
    <t>Creative/Recall; involves awards for artistic works or performances.</t>
  </si>
  <si>
    <t>Chronological; refers to the "early" stages of an era or belief system.</t>
  </si>
  <si>
    <t>Operational; divides trade and industry into manageable parts.</t>
  </si>
  <si>
    <t>Fact-based; refers to state military forces and national defense.</t>
  </si>
  <si>
    <t>Used in sociological context to refer to "such" conditions or groups.</t>
  </si>
  <si>
    <t>Conceptual; refers to physical dimensions in a technical or "how-to" context.</t>
  </si>
  <si>
    <t>Chronological; marks the end of a timeline or historical event.</t>
  </si>
  <si>
    <t>Narrative; refers to legal terms, conditions, or the conclusion of a trial.</t>
  </si>
  <si>
    <t>Chronological; refers to the most recent period in a historical sequence.</t>
  </si>
  <si>
    <t>Sociological; focuses on demographics and urban populations.</t>
  </si>
  <si>
    <t>Chronological; marks the beginning of an era or historical timeline.</t>
  </si>
  <si>
    <t>Logical/Numerical; "given" the data or current financial trends.</t>
  </si>
  <si>
    <t>Practical; often used for "giving" treatment or doses.</t>
  </si>
  <si>
    <t>Fact-based; refers to national security and government policy.</t>
  </si>
  <si>
    <t>Creative/Recall; specifically movie or artistic directors.</t>
  </si>
  <si>
    <t>Conceptual; discovering data, answers, or technological solutions.</t>
  </si>
  <si>
    <t>Conceptual; refers to stages of a discovery or technical process.</t>
  </si>
  <si>
    <t>Descriptive; used to describe large geographic or ecological features.</t>
  </si>
  <si>
    <t>Sociological; describes demographic clusters or social movements.</t>
  </si>
  <si>
    <t>Institutional; used in research to list components or subjects.</t>
  </si>
  <si>
    <t>Fact-based; often refers to the Ministry of the Interior (home affairs).</t>
  </si>
  <si>
    <t>Operational; refers to raw materials or tools used in trade.</t>
  </si>
  <si>
    <t>Creative/Recall; directly related to works of art and music.</t>
  </si>
  <si>
    <t>Conceptual; associated with innovation and "new" discoveries.</t>
  </si>
  <si>
    <t>Sociological; refers to discourse, speech, and social interaction.</t>
  </si>
  <si>
    <t>Experiential; "it seems" relates to subjective travel/habit perception.</t>
  </si>
  <si>
    <t>Statistic/Outcome; refers to an athlete's participation in an event.</t>
  </si>
  <si>
    <t>Chronological; refers to what happened in the past.</t>
  </si>
  <si>
    <t>Logical/Numerical; Gross Domestic Product (GDP) or financial outputs.</t>
  </si>
  <si>
    <t>Event-driven; what "remains" after a disaster or severity.</t>
  </si>
  <si>
    <t>Sociological; used to inquire about social states or definitions.</t>
  </si>
  <si>
    <t>Sociological; refers to the current social reality or situation.</t>
  </si>
  <si>
    <t>Creative/Recall; a medium for creative works and entertainment.</t>
  </si>
  <si>
    <t>Operational; the core verb for labor and hiring.</t>
  </si>
  <si>
    <t>Fact-based; usually refers to a specific law, year, or article number.</t>
  </si>
  <si>
    <t>Sociological; refers to a subset of a population.</t>
  </si>
  <si>
    <t>Sociological; demographic and population-centered.</t>
  </si>
  <si>
    <t>Creative/Recall; often refers to saints, popes, or historical figures.</t>
  </si>
  <si>
    <t>Fact-based; refers to military rank or high-level government titles.</t>
  </si>
  <si>
    <t>Operational; refers to a business conglomerate or work group.</t>
  </si>
  <si>
    <t>Fact-based; refers to foreign relations and treaties.</t>
  </si>
  <si>
    <t>Creative/Recall; synonymous with artistic accolades.</t>
  </si>
  <si>
    <t>Fact-based; defines a specific form of government.</t>
  </si>
  <si>
    <t>Experiential; social habits and leisure activities.</t>
  </si>
  <si>
    <t>Descriptive; identifies a location or specific ecological spot.</t>
  </si>
  <si>
    <t>Operational; refers to quality control in trade and production.</t>
  </si>
  <si>
    <t>Institutional; refers to student capability or research potential.</t>
  </si>
  <si>
    <t>Operational; refers to cargo, shipping, and trade logistics.</t>
  </si>
  <si>
    <t>Experiential; relates to housing habits and living destinations.</t>
  </si>
  <si>
    <t>Institutional; the basic unit of educational instruction.</t>
  </si>
  <si>
    <t>Institutional; finishing a degree or research program.</t>
  </si>
  <si>
    <t>Logical/Numerical; the primary term for economic expansion.</t>
  </si>
  <si>
    <t>Experiential; relates to lodging and hotel environments.</t>
  </si>
  <si>
    <t>Pointer for sociological concepts or behaviors.</t>
  </si>
  <si>
    <t>Sociological; used to highlight specific demographic trends.</t>
  </si>
  <si>
    <t>Conceptual; refers to how things are built or technical frameworks.</t>
  </si>
  <si>
    <t>Conceptual; refers to data sources or the origin of a discovery.</t>
  </si>
  <si>
    <t>Logical/Numerical; used to describe market trends and commonalities.</t>
  </si>
  <si>
    <t>Operational; refers to management and hiring hierarchies.</t>
  </si>
  <si>
    <t>Sociological; identifying parity between social groups.</t>
  </si>
  <si>
    <t>Statistic/Outcome; score, ranking, or jersey number.</t>
  </si>
  <si>
    <t>Creative/Recall; refers to characters in works or films.</t>
  </si>
  <si>
    <t>Descriptive; what a specific habitat or location "possesses."</t>
  </si>
  <si>
    <t>Statistic/Outcome; where a team "ended up" in the rankings.</t>
  </si>
  <si>
    <t>Institutional; refers to research or studies that have been conducted.</t>
  </si>
  <si>
    <t>Conceptual; refers to the internet, technical networks, or how-to sync.</t>
  </si>
  <si>
    <t>Narrative; how a witness or text "refers" to an event.</t>
  </si>
  <si>
    <t>Conceptual; how a tool or discovery is "utilized" or its how-to.</t>
  </si>
  <si>
    <t>Statistic/Outcome; refers to a "lap" or a second leg of a tournament.</t>
  </si>
  <si>
    <t>Statistic/Outcome; primarily refers to athletic clubs and teams.</t>
  </si>
  <si>
    <t>Fact-based; the central entity of laws and governance.</t>
  </si>
  <si>
    <t>Chronological; used for kings, wars (WWII), or specific eras.</t>
  </si>
  <si>
    <t>Chronological; auxiliary verb used to build past timelines.</t>
  </si>
  <si>
    <t>Descriptive; geographic direction and location mapping.</t>
  </si>
  <si>
    <t>Statistic/Outcome; ranking as #1 or scoring one goal.</t>
  </si>
  <si>
    <t>Fact-based; refers to a specific presidential or state administration.</t>
  </si>
  <si>
    <t>Event-driven; refers to air quality, wind, and storm severity.</t>
  </si>
  <si>
    <t>Directly addresses sociological structures and demographics.</t>
  </si>
  <si>
    <t>Descriptive of a major geographical location and landmass.</t>
  </si>
  <si>
    <t>A coordinator often used to link social groups or demographic categories.</t>
  </si>
  <si>
    <t>Central term for creative works and artistic expression.</t>
  </si>
  <si>
    <t>Often used in the legal/narrative phrase "llevar a cabo" regarding rulings or events.</t>
  </si>
  <si>
    <t>Conceptual; refers to the cause-and-effect results of a discovery or process.</t>
  </si>
  <si>
    <t>Sociological; refers to a demographic group or a cultural/linguistic identifier.</t>
  </si>
  <si>
    <t>Refers to people as a sociological or demographic group.</t>
  </si>
  <si>
    <t>Institutional; often refers to a primary language of research or a degree subject.</t>
  </si>
  <si>
    <t>Fact-based; refers to foreign policy, treaties, and inter-state relations.</t>
  </si>
  <si>
    <t>Statistic/Outcome; refers to competitive matches or Olympic events.</t>
  </si>
  <si>
    <t>Experiential; describes reaching a destination or a habit.</t>
  </si>
  <si>
    <t>Fact-based; refers to membership in a political body or legislative council.</t>
  </si>
  <si>
    <t>Descriptive; used for ecological features or small-scale geographical sites.</t>
  </si>
  <si>
    <t>Chronological; identifies the next steps in a timeline or era.</t>
  </si>
  <si>
    <t>Experiential; a common term for a travel destination or a habit-based location.</t>
  </si>
  <si>
    <t>Sociological; refers to the current state of social or demographic affairs.</t>
  </si>
  <si>
    <t>Statistic/Outcome; refers to a third-place finish or ranking.</t>
  </si>
  <si>
    <t>Chronological; refers to a return within a historical narrative or timeline.</t>
  </si>
  <si>
    <t>Creative/Recall; frequently refers to historical or religious figures.</t>
  </si>
  <si>
    <t>Fact-based; refers to current laws, administrations, or political years.</t>
  </si>
  <si>
    <t>Narrative; used to describe appearing "before" a judge or ruling body.</t>
  </si>
  <si>
    <t>Logical/Numerical; refers to financial assets, investment, and growth.</t>
  </si>
  <si>
    <t>Conceptual; refers to a technical set or a unified discovery framework.</t>
  </si>
  <si>
    <t>Creative/Recall; the act of producing artistic or entertainment works.</t>
  </si>
  <si>
    <t>Conceptual; existence of a phenomenon, discovery, or data point.</t>
  </si>
  <si>
    <t>Experiential; a common term used in social habits and daily interactions.</t>
  </si>
  <si>
    <t>Experiential; refers to nightlife or daily habits.</t>
  </si>
  <si>
    <t>Creative/Recall; describes the reach or fame of names and works.</t>
  </si>
  <si>
    <t>Sociological; identifies self-governance or identity within a group.</t>
  </si>
  <si>
    <t>Institutional; refers to research outcomes or academic testing.</t>
  </si>
  <si>
    <t>Institutional; refers to research centers, colleges, or schools.</t>
  </si>
  <si>
    <t>Chronological; a standard unit for measuring eras and historical timelines.</t>
  </si>
  <si>
    <t>Event-driven; refers to seasonal severity or monitoring stations.</t>
  </si>
  <si>
    <t>Statistic/Outcome; a direct reference to an athlete or participant.</t>
  </si>
  <si>
    <t>Operational; refers to hiring lists, trade inventories, or logistics.</t>
  </si>
  <si>
    <t>Conceptual; refers to the physics of light, energy, or technical how-to.</t>
  </si>
  <si>
    <t>Sociological; refers to the elderly or older demographics.</t>
  </si>
  <si>
    <t>Experiential; first-person pronoun centered on personal habits.</t>
  </si>
  <si>
    <t>Experiential; refers to frequency of habits (often).</t>
  </si>
  <si>
    <t>Sociological; refers to a minority or small demographic subset.</t>
  </si>
  <si>
    <t>Chronological; narrative past tense describing what was possible in an era.</t>
  </si>
  <si>
    <t>Fact-based; refers to the presence of a state or political figure at an event.</t>
  </si>
  <si>
    <t>Logical/Numerical; used to describe primary economic drivers or trends.</t>
  </si>
  <si>
    <t>Experiential; daily motion or habits.</t>
  </si>
  <si>
    <t>Fact-based; refers to a sovereign nation and its laws/years.</t>
  </si>
  <si>
    <t>Sociological; refers to gender-based demographic identification.</t>
  </si>
  <si>
    <t>Experiential; vague reference to common habits or items.</t>
  </si>
  <si>
    <t>Practical; anatomical reference to the body.</t>
  </si>
  <si>
    <t>Conceptual; the primary word for a technical "how-to."</t>
  </si>
  <si>
    <t>Chronological; refers to a legacy or an event left behind in a timeline.</t>
  </si>
  <si>
    <t>Narrative; central to legal rulings and human rights law.</t>
  </si>
  <si>
    <t>Logical/Numerical; the core unit of finance and trade growth.</t>
  </si>
  <si>
    <t>Creative/Recall; refers to limited releases or special artistic works.</t>
  </si>
  <si>
    <t>Descriptive; central to ecology and biological locations.</t>
  </si>
  <si>
    <t>Conceptual; refers to a phase in a technical process or discovery.</t>
  </si>
  <si>
    <t>Chronological; marks the conclusion of a timeline or historical event.</t>
  </si>
  <si>
    <t>Sociological; refers to family structures within a society.</t>
  </si>
  <si>
    <t>Logical/Numerical; refers to financial interest rates or trends.</t>
  </si>
  <si>
    <t>Statistic/Outcome; describes achieving a score, record, or win.</t>
  </si>
  <si>
    <t>Statistic/Outcome; ranking the best teams or players.</t>
  </si>
  <si>
    <t>Conceptual; refers to a technical model or a scientific framework.</t>
  </si>
  <si>
    <t>Operational; describes items/steps required for trade or hiring.</t>
  </si>
  <si>
    <t>Experiential; refers to special habits or destinations.</t>
  </si>
  <si>
    <t>Sociological; describes demographic participation in society.</t>
  </si>
  <si>
    <t>Conceptual; a step in a "how-to" or scientific discovery.</t>
  </si>
  <si>
    <t>Institutional; refers to the publication of research or papers.</t>
  </si>
  <si>
    <t>Sociological; the overarching category for groups and demographics.</t>
  </si>
  <si>
    <t>Chronological; refers to the persistence of a state through time.</t>
  </si>
  <si>
    <t>Operational; refers to employment, hiring, and labor.</t>
  </si>
  <si>
    <t>Event-driven; refers to seasonal patterns and climate.</t>
  </si>
  <si>
    <t>Experiential; refers to sightseeing and travel experiences.</t>
  </si>
  <si>
    <t>Fact-based; used in contexts of laws, treaties, and national politics.</t>
  </si>
  <si>
    <t>Chronological; central to religious history and eras of belief.</t>
  </si>
  <si>
    <t>Chronological; used to conclude historical narratives.</t>
  </si>
  <si>
    <t>Sociological; often used to state the existence of social problems or groups.</t>
  </si>
  <si>
    <t>Chronological; indicates sequence in a timeline.</t>
  </si>
  <si>
    <t>Logical/Numerical; used for comparative growth or trend increases.</t>
  </si>
  <si>
    <t>Creative/Recall; historical figure name (e.g., Kings or Apostles).</t>
  </si>
  <si>
    <t>Sociological; used to qualify social phenomena.</t>
  </si>
  <si>
    <t>Conceptual; technical communication channels or how-to transmission.</t>
  </si>
  <si>
    <t>Sociological; a core unit of demographic grouping.</t>
  </si>
  <si>
    <t>Descriptive; measurement between locations or ecological sites.</t>
  </si>
  <si>
    <t>Sociological; relates to diversity and demographic variety.</t>
  </si>
  <si>
    <t>Sociological; demographic pronoun for a group of females.</t>
  </si>
  <si>
    <t>Descriptive; biological classification in ecology.</t>
  </si>
  <si>
    <t>Institutional; relates to linguistics and institutional language study.</t>
  </si>
  <si>
    <t>Chronological; refers to leading a movement or event in history.</t>
  </si>
  <si>
    <t>Operational; refers to maintaining trade relations or operations.</t>
  </si>
  <si>
    <t>Conceptual; what a discovery or technology allows one to do.</t>
  </si>
  <si>
    <t>Institutional; presenting research, findings, or a thesis.</t>
  </si>
  <si>
    <t>Fact-based; refers to administrative and political subdivisions.</t>
  </si>
  <si>
    <t>Creative/Recall; a medium for entertainment and artistic broadcast.</t>
  </si>
  <si>
    <t>Experiential; common unit for tracking habits and leisure time.</t>
  </si>
  <si>
    <t>Conceptual; technical systems, networks, or scientific "how-to."</t>
  </si>
  <si>
    <t>Descriptive; refers to land area or ecological terrain.</t>
  </si>
  <si>
    <t>Institutional; refers to higher (superior) education or degrees.</t>
  </si>
  <si>
    <t>Descriptive; refers to land, territory, and natural resources.</t>
  </si>
  <si>
    <t>Fact-based; national entity associated with laws and politics.</t>
  </si>
  <si>
    <t>Experiential; used to point to specific destinations or locations.</t>
  </si>
  <si>
    <t>Chronological; marks the conclusion of a timeline or era.</t>
  </si>
  <si>
    <t>Event-driven; used for immediate reporting of severity and response.</t>
  </si>
  <si>
    <t>Statistic/Outcome; refers to athletes or players in a competitive context.</t>
  </si>
  <si>
    <t>Creative/Recall; refers to mass media, broadcasting, and creative outlets.</t>
  </si>
  <si>
    <t>Narrative; specifically used in "trata de personas" (trafficking) or legal subjects.</t>
  </si>
  <si>
    <t>Fact-based; the capital city and center of national law and governance.</t>
  </si>
  <si>
    <t>Sociological; pertains to discourse, speech, and social interaction.</t>
  </si>
  <si>
    <t>Institutional; the core subject of degrees and academic research.</t>
  </si>
  <si>
    <t>Institutional; refers to academic research, analysis, or a field of study.</t>
  </si>
  <si>
    <t>Sociological; refers to demographics and population counts.</t>
  </si>
  <si>
    <t>Sociological; refers to family units and demographic groups.</t>
  </si>
  <si>
    <t>Operational; refers to local trade, commerce, and small business.</t>
  </si>
  <si>
    <t>Fact-based; refers to legislative measures or government actions.</t>
  </si>
  <si>
    <t>Narrative; refers to judicial orders, rulings, or public peace.</t>
  </si>
  <si>
    <t>Operational; refers to corporate structure and business trade.</t>
  </si>
  <si>
    <t>Creative/Recall; refers to the authenticity of names and works.</t>
  </si>
  <si>
    <t>Fact-based; refers to sovereign nations and international law.</t>
  </si>
  <si>
    <t>Sociological; a discourse marker used in social interaction.</t>
  </si>
  <si>
    <t>Fact-based; used in hypothetical legal or policy-driven years/scenarios.</t>
  </si>
  <si>
    <t>Event-driven; used for the "latest" update on severity or event response.</t>
  </si>
  <si>
    <t>Conceptual; refers to unique discoveries or specific technical components.</t>
  </si>
  <si>
    <t>Experiential; often part of destination names (e.g., New York, New Delhi).</t>
  </si>
  <si>
    <t>Logical/Numerical; used to describe assets or growth (e.g., "Tiene un valor").</t>
  </si>
  <si>
    <t>Chronological; refers to a previous timeline or historical period.</t>
  </si>
  <si>
    <t>Conceptual; refers to technical control systems or how-to processes.</t>
  </si>
  <si>
    <t>Creative/Recall; refers to musical works and recordings.</t>
  </si>
  <si>
    <t>Sociological; refers to diversity in demographics and groups.</t>
  </si>
  <si>
    <t>Event-driven; describes the severity of wind, rain, or a disaster.</t>
  </si>
  <si>
    <t>Chronological; central to the history of eras and religious timelines.</t>
  </si>
  <si>
    <t>Creative/Recall; refers to creative works and literary names.</t>
  </si>
  <si>
    <t>Fact-based; refers to state defense, laws, and military forces.</t>
  </si>
  <si>
    <t>Conceptual; refers to new technical discoveries or innovations.</t>
  </si>
  <si>
    <t>Fact-based; refers to laws, government roles, and official decrees.</t>
  </si>
  <si>
    <t>Operational; refers to the trade of services and hiring.</t>
  </si>
  <si>
    <t>Logical/Numerical; describes a continuing trend or growth pattern.</t>
  </si>
  <si>
    <t>Chronological; historical institution central to various eras.</t>
  </si>
  <si>
    <t>Creative/Recall; historical and religious figure associated with eras.</t>
  </si>
  <si>
    <t>Chronological; a temporal marker used in timelines and narratives.</t>
  </si>
  <si>
    <t>Fact-based; current political events, laws, and administration years.</t>
  </si>
  <si>
    <t>Event-driven; immediate reporting on current disaster response.</t>
  </si>
  <si>
    <t>Conceptual; describes technical specs or discovery traits.</t>
  </si>
  <si>
    <t>Narrative; refers to witness testimony or statements in rulings.</t>
  </si>
  <si>
    <t>Operational; refers to corporate management and business goals.</t>
  </si>
  <si>
    <t>Operational; the core unit of trade, hiring, and business.</t>
  </si>
  <si>
    <t>Chronological; refers to a state of being in a past timeline.</t>
  </si>
  <si>
    <t>Creative/Recall; refers to artistic works, visual media, and style.</t>
  </si>
  <si>
    <t>Logical/Numerical; used for significant growth, trends, or figures.</t>
  </si>
  <si>
    <t>Fact-based; the foundation of government and politics.</t>
  </si>
  <si>
    <t>Narrative; used in legal "neither/nor" phrasing in rulings.</t>
  </si>
  <si>
    <t>Chronological; defines specific eras and timelines.</t>
  </si>
  <si>
    <t>Experiential; describes habits, destinations, or simplicity in lifestyle.</t>
  </si>
  <si>
    <t>Creative/Recall; refers to the visual consumption of media and works.</t>
  </si>
  <si>
    <t>Sociological; used to categorize specific social demographics.</t>
  </si>
  <si>
    <t>Practical; refers to medical assistance or body wellness.</t>
  </si>
  <si>
    <t>Narrative; the fundamental unit of legal rulings and events.</t>
  </si>
  <si>
    <t>Creative/Recall; refers to the fame of names, works, and creators.</t>
  </si>
  <si>
    <t>Conceptual; refers to technical components or chemical discoveries.</t>
  </si>
  <si>
    <t>Conceptual; describes technical how-to or scientific shapes.</t>
  </si>
  <si>
    <t>Institutional; refers to research samples or showing academic data.</t>
  </si>
  <si>
    <t>Chronological; refers to the start of a timeline or era.</t>
  </si>
  <si>
    <t>Logical/Numerical; refers to fiscal periods or growth trends.</t>
  </si>
  <si>
    <t>Practical; the subject of medical care and body health.</t>
  </si>
  <si>
    <t>Statistic/Outcome; refers to ranking first or winning a score.</t>
  </si>
  <si>
    <t>Chronological; narrative description of historical capability.</t>
  </si>
  <si>
    <t>Institutional; refers to academic knowledge and research insight.</t>
  </si>
  <si>
    <t>Fact-based; refers to the current administration or law cycle.</t>
  </si>
  <si>
    <t>Descriptive; geographical location and ecological context.</t>
  </si>
  <si>
    <t>Experiential; a common destination (city center) or lifestyle hub.</t>
  </si>
  <si>
    <t>Experiential; refers to travel habits and daily activities.</t>
  </si>
  <si>
    <t>Statistic/Outcome; refers to offensive plays and team outcomes.</t>
  </si>
  <si>
    <t>Fact-based; refers to political years and election cycles.</t>
  </si>
  <si>
    <t>Operational; refers to what is included in trade contracts or hiring.</t>
  </si>
  <si>
    <t>Sociological; refers to youth demographics and social groups.</t>
  </si>
  <si>
    <t>Conceptual; refers to technical launches or new discovery releases.</t>
  </si>
  <si>
    <t>Conceptual; technical measurement (millimeters) for how-to/specs.</t>
  </si>
  <si>
    <t>Practical; medical outcome and body status.</t>
  </si>
  <si>
    <t>Fact-based; used in absolute legislative/fact-based phrasing.</t>
  </si>
  <si>
    <t>Sociological; refers to social perspective or group relations.</t>
  </si>
  <si>
    <t>Chronological; central to royal timelines and historical eras.</t>
  </si>
  <si>
    <t>Creative/Recall; often part of English names for works or bands.</t>
  </si>
  <si>
    <t>Sociological; used to group demographic sets.</t>
  </si>
  <si>
    <t>Creative/Recall; high-frequency name of artists and performers.</t>
  </si>
  <si>
    <t>Chronological; religious naming for historical figures and eras.</t>
  </si>
  <si>
    <t>Logical/Numerical; refers to stocks (acciones) and market trends.</t>
  </si>
  <si>
    <t>Sociological; social support and group demographics.</t>
  </si>
  <si>
    <t>Experiential; refers to travel paths and destinations.</t>
  </si>
  <si>
    <t>Narrative; central to legal rulings, laws, and justice.</t>
  </si>
  <si>
    <t>Experiential; refers to entry to destinations or habits.</t>
  </si>
  <si>
    <t>Creative/Recall; refers to artistic style and creative works.</t>
  </si>
  <si>
    <t>Conceptual; refers to physical forces or technical discovery.</t>
  </si>
  <si>
    <t>Conceptual; technical "how-to" and functional discovery.</t>
  </si>
  <si>
    <t>Sociological; refers to civil liberties and social groups.</t>
  </si>
  <si>
    <t>Logical/Numerical; used for halves in trends or growth figures.</t>
  </si>
  <si>
    <t>Sociological; social movements and demographic shifts.</t>
  </si>
  <si>
    <t>Fact-based; local government unit and political laws.</t>
  </si>
  <si>
    <t>Statistic/Outcome; player position or team ranking/scores.</t>
  </si>
  <si>
    <t>Creative/Recall; refers to receiving an award (premio) for works.</t>
  </si>
  <si>
    <t>Descriptive; identifies proximity to locations or ecological sites.</t>
  </si>
  <si>
    <t>Creative/Recall; core descriptive term for artistic works and visual media.</t>
  </si>
  <si>
    <t>Chronological; an absolute temporal marker used in historical narratives.</t>
  </si>
  <si>
    <t>Sociological; refers to the general population or social demographics.</t>
  </si>
  <si>
    <t>A discourse marker used to contrast social ideas or group views.</t>
  </si>
  <si>
    <t>Logical/Numerical; refers to amounts in trends, growth, or fiscal data.</t>
  </si>
  <si>
    <t>Fact-based; pertains to state-level laws, years, and governance.</t>
  </si>
  <si>
    <t>Chronological; standard unit for building timelines and eras.</t>
  </si>
  <si>
    <t>Sociological; used to quantify demographic groups or social issues.</t>
  </si>
  <si>
    <t>Statistic/Outcome; the primary unit for scores and team outcomes.</t>
  </si>
  <si>
    <t>Sociological; used to compare two specific groups or social sides.</t>
  </si>
  <si>
    <t>Logical/Numerical; refers to market trends, currency exchange, or growth.</t>
  </si>
  <si>
    <t>Descriptive; refers to geographical locations or ecological settings.</t>
  </si>
  <si>
    <t>Operational; refers to a job position, hiring, or trade responsibility.</t>
  </si>
  <si>
    <t>Conceptual; refers to technical construction and architectural "how-to."</t>
  </si>
  <si>
    <t>Chronological; marks the end of a timeline, era, or historical period.</t>
  </si>
  <si>
    <t>Conceptual; technical lines, production lines, or scientific boundaries.</t>
  </si>
  <si>
    <t>Fact-based; refers to official members of a ruling body or government.</t>
  </si>
  <si>
    <t>Creative/Recall; directly related to names, works, and artistic recall.</t>
  </si>
  <si>
    <t>Sociological; defines identity or ownership within social groups.</t>
  </si>
  <si>
    <t>Fact-based; used in legislative "be it so" phrasing or legal conditions.</t>
  </si>
  <si>
    <t>Sociological; used to isolate specific demographic groups or issues.</t>
  </si>
  <si>
    <t>Fact-based; the central entity of laws, government, and sovereignty.</t>
  </si>
  <si>
    <t>Logical/Numerical; used for estimates in financial trends and growth.</t>
  </si>
  <si>
    <t>Sociological; used to define or list specific demographic categories.</t>
  </si>
  <si>
    <t>Institutional; a core tool in teaching, research, and academic logic.</t>
  </si>
  <si>
    <t>Conceptual; technical unit of measurement for specs and discovery.</t>
  </si>
  <si>
    <t>Descriptive; cardinal direction for mapping locations and ecology.</t>
  </si>
  <si>
    <t>Sociological; refers to social issues and demographic challenges.</t>
  </si>
  <si>
    <t>Sociological; pronoun used to reference a social concept or group.</t>
  </si>
  <si>
    <t>Institutional; the primary setting for degrees and institutional study.</t>
  </si>
  <si>
    <t>Statistic/Outcome; the final score or result of a team match.</t>
  </si>
  <si>
    <t>Descriptive; refers to land, soil, and ecological resources.</t>
  </si>
  <si>
    <t>Sociological; used to discuss relations "between" groups or demographics.</t>
  </si>
  <si>
    <t>Fact-based; a sovereign nation associated with laws and governance.</t>
  </si>
  <si>
    <t>Narrative; used in legal "if/then" conditionals for rulings and events.</t>
  </si>
  <si>
    <t>Conceptual; refers to outer space, technical gaps, or discovery.</t>
  </si>
  <si>
    <t>Sociological; used to highlight an inclusive demographic or social fact.</t>
  </si>
  <si>
    <t>Conceptual; refers to data, technical info, and discovery "how-to."</t>
  </si>
  <si>
    <t>Operational; the means "through which" trade or hiring is managed.</t>
  </si>
  <si>
    <t>Fact-based; high-level government role central to laws and years.</t>
  </si>
  <si>
    <t>Operational; the act of carrying out trade tasks or labor.</t>
  </si>
  <si>
    <t>Narrative; used to attribute testimony in rulings or legal events.</t>
  </si>
  <si>
    <t>Conceptual; refers to a technical base or scientific foundation.</t>
  </si>
  <si>
    <t>Logical/Numerical; the data driving trends, markets, and growth.</t>
  </si>
  <si>
    <t>Fact-based; military forces controlled by laws and the state.</t>
  </si>
  <si>
    <t>Sociological; refers to social equality and demographic parity.</t>
  </si>
  <si>
    <t>Conceptual; refers to a technical mode of operation or a how-to.</t>
  </si>
  <si>
    <t>Descriptive; a geographic area defined by ecology or location.</t>
  </si>
  <si>
    <t>Sociological; used to point to a social phenomenon or issue.</t>
  </si>
  <si>
    <t>Institutional; the site of degrees and high-level research.</t>
  </si>
  <si>
    <t>Creative/Recall; refers to musical groups and their creative works.</t>
  </si>
  <si>
    <t>Creative/Recall; specific musical works and creative products.</t>
  </si>
  <si>
    <t>Practical; refers to a state of being (health or body status).</t>
  </si>
  <si>
    <t>Conceptual; a technical "call" or how a discovery is named/referenced.</t>
  </si>
  <si>
    <t>Sociological; youth demographic group central to social issues.</t>
  </si>
  <si>
    <t>Chronological; a specific month for timelines and historical dates.</t>
  </si>
  <si>
    <t>Conceptual; refers to scientific feasibility or technical "how-to."</t>
  </si>
  <si>
    <t>Descriptive; cardinal direction for locations and ecology.</t>
  </si>
  <si>
    <t>Chronological; past tense describing what eras or figures "had."</t>
  </si>
  <si>
    <t>Operational; refers to corporate entities and trade groups.</t>
  </si>
  <si>
    <t>Narrative; refers to a judge or legal body deciding on a ruling.</t>
  </si>
  <si>
    <t>Institutional; the process of research and academic discovery.</t>
  </si>
  <si>
    <t>Fact-based; the study and practice of laws and governance.</t>
  </si>
  <si>
    <t>Chronological; refers to the "first" stages of an era or timeline.</t>
  </si>
  <si>
    <t>Logical/Numerical; used for primary drivers of growth or trends.</t>
  </si>
  <si>
    <t>Sociological; a topic of social discussion or demographic focus.</t>
  </si>
  <si>
    <t>Descriptive; identifies a specific location or ecological zone.</t>
  </si>
  <si>
    <t>Narrative; used to conclude a sequence of legal events or rulings.</t>
  </si>
  <si>
    <t>Conceptual; refers to high technical specs, data, or discovery levels.</t>
  </si>
  <si>
    <t>Fact-based; refers to central government or administrative authority.</t>
  </si>
  <si>
    <t>Operational; refers to trade conditions or hiring terms.</t>
  </si>
  <si>
    <t>Conceptual; refers to technical design and structural how-to.</t>
  </si>
  <si>
    <t>Creative/Recall; refers to specific releases of artistic or media works.</t>
  </si>
  <si>
    <t>Fact-based; refers to state military or police forces and laws.</t>
  </si>
  <si>
    <t>Chronological; marks the arrival of an event or figure in a timeline.</t>
  </si>
  <si>
    <t>Sociological; female demographic group and gender social issues.</t>
  </si>
  <si>
    <t>Descriptive; used for small ecological features or locations.</t>
  </si>
  <si>
    <t>Operational; refers to a job role, hiring, or trade position.</t>
  </si>
  <si>
    <t>Operational; describes successful trade, expansion, or hiring.</t>
  </si>
  <si>
    <t>Practical; refers to "alta médica" (medical discharge) or high body vitals.</t>
  </si>
  <si>
    <t>Chronological; describes what a figure or era "gave" to history.</t>
  </si>
  <si>
    <t>Sociological; refers to social struggles and demographic movements.</t>
  </si>
  <si>
    <t>Creative/Recall; often found in English titles of creative works.</t>
  </si>
  <si>
    <t>Logical/Numerical; refers to the remainder of a financial trend or growth.</t>
  </si>
  <si>
    <t>Sociological; identifies specific demographic or social clusters.</t>
  </si>
  <si>
    <t>Fact-based; official descriptor for state laws and governance.</t>
  </si>
  <si>
    <t>Conceptual; refers to technical capacity or discovery potential.</t>
  </si>
  <si>
    <t>Chronological; the building block of timelines and historical years.</t>
  </si>
  <si>
    <t>Experiential; common unit for daily habits and travel time.</t>
  </si>
  <si>
    <t>Operational; refers to corporate goals and business trade targets.</t>
  </si>
  <si>
    <t>Creative/Recall; refers to an actor's role or names in works.</t>
  </si>
  <si>
    <t>Statistic/Outcome; refers to sports matches, scores, and team play.</t>
  </si>
  <si>
    <t>Institutional; refers to research subjects and academic topics.</t>
  </si>
  <si>
    <t>Conceptual; identifies unique discoveries or technical specs.</t>
  </si>
  <si>
    <t>Creative/Recall; refers to historical kings or religious figures.</t>
  </si>
  <si>
    <t>Chronological; a specific month used for timelines and historical dates.</t>
  </si>
  <si>
    <t>Operational; refers to manufacturing, trade output, and labor.</t>
  </si>
  <si>
    <t>Chronological; a temporal marker used to describe permanent historical states.</t>
  </si>
  <si>
    <t>Institutional; refers to academic degrees or research credentials.</t>
  </si>
  <si>
    <t>Creative/Recall; the act of consuming visual media and creative works.</t>
  </si>
  <si>
    <t>Creative/Recall; a specific musical work and creative product.</t>
  </si>
  <si>
    <t>Conceptual; refers to technical software versions or discovery iterations.</t>
  </si>
  <si>
    <t>Chronological; a marker of persistence within a historical timeline.</t>
  </si>
  <si>
    <t>Chronological; describes what a figure or era "gives" to a narrative.</t>
  </si>
  <si>
    <t>Institutional; refers to academic research, analysis, or fields of study.</t>
  </si>
  <si>
    <t>Logical/Numerical; describes significant scale in trends or growth.</t>
  </si>
  <si>
    <t>Sociological; refers to a community or demographic group.</t>
  </si>
  <si>
    <t>Statistic/Outcome; a number associated with scores or rankings.</t>
  </si>
  <si>
    <t>Descriptive; identifies surroundings of a location or ecological site.</t>
  </si>
  <si>
    <t>Chronological; past tense describing a state of being in a timeline.</t>
  </si>
  <si>
    <t>Practical; biological and medical context regarding the body and birth.</t>
  </si>
  <si>
    <t>Statistic/Outcome; used to rank the top-performing teams or athletes.</t>
  </si>
  <si>
    <t>Chronological; refers to the initial stages of an era or historical event.</t>
  </si>
  <si>
    <t>Fact-based; a sovereign nation associated with specific laws and governance.</t>
  </si>
  <si>
    <t>Descriptive; a central natural resource in ecology and geography.</t>
  </si>
  <si>
    <t>Narrative; refers to testimony or what a ruling/document states.</t>
  </si>
  <si>
    <t>Sociological; pointer used to reference a specific social group or issue.</t>
  </si>
  <si>
    <t>Sociological; refers to family structures and demographic units.</t>
  </si>
  <si>
    <t>Conceptual; refers to a scientific discovery or technical "how-to."</t>
  </si>
  <si>
    <t>Conceptual; refers to technical software or a discovery framework.</t>
  </si>
  <si>
    <t>Sociological; refers to the connections between demographics or groups.</t>
  </si>
  <si>
    <t>Narrative; an affirmative confirmation in legal testimony or rulings.</t>
  </si>
  <si>
    <t>Sociological; used for emphasis when describing social conditions.</t>
  </si>
  <si>
    <t>Operational; refers to possessing resources for trade or hiring.</t>
  </si>
  <si>
    <t>Sociological; used to define or compare social states and groups.</t>
  </si>
  <si>
    <t>Statistic/Outcome; used for scores, rankings, or team counts.</t>
  </si>
  <si>
    <t>Sociological; demographic identifier for gender-based social groups.</t>
  </si>
  <si>
    <t>Chronological; a building block for timelines and historical years.</t>
  </si>
  <si>
    <t>Statistic/Outcome; refers to a sports match and its statistical results.</t>
  </si>
  <si>
    <t>Operational; refers to business ventures and trade initiatives.</t>
  </si>
  <si>
    <t>Descriptive; a geographic feature central to ecological locations.</t>
  </si>
  <si>
    <t>Sociological; used to describe an entire demographic or population.</t>
  </si>
  <si>
    <t>Fact-based; refers to official political laws, treaties, and accords.</t>
  </si>
  <si>
    <t>Grammatical article often defining feminine social/demographic nouns.</t>
  </si>
  <si>
    <t>Descriptive; used to establish location within a geographic area.</t>
  </si>
  <si>
    <t>Grammatical article often defining masculine social/demographic nouns.</t>
  </si>
  <si>
    <t>Sociological; essential connector used to define social conditions or groups.</t>
  </si>
  <si>
    <t>Experiential; preposition used to indicate travel toward a destination.</t>
  </si>
  <si>
    <t>Sociological; reflexive pronoun often used in descriptions of social behavior.</t>
  </si>
  <si>
    <t>Sociological; plural article used to group demographic sets.</t>
  </si>
  <si>
    <t>Fact-based; contraction used in titles of laws or government entities.</t>
  </si>
  <si>
    <t>Operational; possessive used to reference assets or corporate property.</t>
  </si>
  <si>
    <t>Sociological; plural article used to group feminine demographic sets.</t>
  </si>
  <si>
    <t>Narrative; indicates cause or agency in legal rulings and events.</t>
  </si>
  <si>
    <t>Fact-based; used to define what a law or state entity "is."</t>
  </si>
  <si>
    <t>Fact-based; starts official names of laws, years, or administrations.</t>
  </si>
  <si>
    <t>Experiential; contraction used when moving "to the" destination.</t>
  </si>
  <si>
    <t>Chronological; sets the stage for a specific year or historical era.</t>
  </si>
  <si>
    <t>Chronological; the primary verb for describing past historical facts.</t>
  </si>
  <si>
    <t>Fact-based; starts official names of institutions or republics.</t>
  </si>
  <si>
    <t>Logical/Numerical; used to present financial options or trend alternatives.</t>
  </si>
  <si>
    <t>Statistic/Outcome; used for scores, rankings, or pairs in competition.</t>
  </si>
  <si>
    <t>Sociological; common start for naming demographic or social groups.</t>
  </si>
  <si>
    <t>Chronological; the standard unit for timelines and historical duration.</t>
  </si>
  <si>
    <t>Sociological; used to indicate a discourse "about" a social issue.</t>
  </si>
  <si>
    <t>Sociological; indirect object pronoun referring to social participants.</t>
  </si>
  <si>
    <t>Logical/Numerical; used to equate current figures or trends.</t>
  </si>
  <si>
    <t>Chronological; indicates the limit of a timeline or historical period.</t>
  </si>
  <si>
    <t>Sociological; refers to the "being" or identity within a society.</t>
  </si>
  <si>
    <t>Chronological; directly defines a specific historical period or age.</t>
  </si>
  <si>
    <t>Fact-based; used to cite a specific legislative or election year.</t>
  </si>
  <si>
    <t>Chronological; used in "A partir de" to mark the start of an era.</t>
  </si>
  <si>
    <t>Operational; refers to a "party" in a trade contract or labor deal.</t>
  </si>
  <si>
    <t>Descriptive; relative pronoun used to specify a location or habitat.</t>
  </si>
  <si>
    <t>Fact-based; used in formal state/legal passive constructions.</t>
  </si>
  <si>
    <t>Conceptual; indicates technical feasibility or scientific potential.</t>
  </si>
  <si>
    <t>Narrative; used in legal "without" clauses (e.g., without prejudice).</t>
  </si>
  <si>
    <t>Fact-based; possessive used for state-level authority or years.</t>
  </si>
  <si>
    <t>Sociological; starts references to feminine-coded social groups.</t>
  </si>
  <si>
    <t>Event-driven; used to emphasize the severity of weather conditions.</t>
  </si>
  <si>
    <t>Creative/Recall; refers to the name of an artist, work, or creator.</t>
  </si>
  <si>
    <t>Narrative; starts the reasoning for a legal ruling or event.</t>
  </si>
  <si>
    <t>Sociological; connector used between complex social or group terms.</t>
  </si>
  <si>
    <t>Conceptual; used to state a scientific fact or technical definition.</t>
  </si>
  <si>
    <t>Fact-based; used in political statements regarding lack of law/order.</t>
  </si>
  <si>
    <t>Logical/Numerical; indicates significant growth or market trends.</t>
  </si>
  <si>
    <t>Statistic/Outcome; refers to a "goal" or a specific score count.</t>
  </si>
  <si>
    <t>Sociological; refers to the universal population or demographic.</t>
  </si>
  <si>
    <t>Conceptual; refers to multiple technical or scientific possibilities.</t>
  </si>
  <si>
    <t>Practical; refers to biological life, body health, and wellness.</t>
  </si>
  <si>
    <t>Experiential; indicates movement toward a habit-based destination.</t>
  </si>
  <si>
    <t>Chronological; auxiliary verb used to build a timeline of past actions.</t>
  </si>
  <si>
    <t>Chronological; starts a historical sentence about a past event.</t>
  </si>
  <si>
    <t>Conceptual; refers to a new discovery or technical innovation.</t>
  </si>
  <si>
    <t>Sociological; key demographic group for social and gender issues.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</si>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</sst>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202122"/>
      <name val="Arial"/>
      <family val="2"/>
    </font>
    <font>
      <sz val="16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sz val="14"/>
      <color rgb="FF000000"/>
      <name val="-webkit-standard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C7C7C7"/>
      <name val="Google Sans Text"/>
    </font>
    <font>
      <b/>
      <sz val="14"/>
      <color theme="1"/>
      <name val="Google Sans Text"/>
    </font>
    <font>
      <sz val="14"/>
      <color theme="1"/>
      <name val="Google Sans Text"/>
    </font>
    <font>
      <sz val="12"/>
      <color rgb="FF000000"/>
      <name val="Aptos Narrow"/>
      <family val="2"/>
      <charset val="1"/>
    </font>
    <font>
      <b/>
      <sz val="16"/>
      <color rgb="FF202122"/>
      <name val="Arial"/>
      <family val="2"/>
      <charset val="1"/>
    </font>
    <font>
      <b/>
      <sz val="14"/>
      <color rgb="FFC7C7C7"/>
      <name val="Google Sans Text"/>
      <charset val="1"/>
    </font>
    <font>
      <sz val="16"/>
      <color rgb="FF202122"/>
      <name val="Arial"/>
      <family val="2"/>
      <charset val="1"/>
    </font>
    <font>
      <u/>
      <sz val="12"/>
      <color rgb="FF467886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4"/>
      <color rgb="FF000000"/>
      <name val="Aptos Narrow"/>
      <family val="2"/>
      <scheme val="minor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2"/>
      <color rgb="FF000000"/>
      <name val="Google Sans Text"/>
      <family val="2"/>
      <charset val="1"/>
    </font>
    <font>
      <sz val="12"/>
      <color rgb="FF000000"/>
      <name val="Google Sans Text"/>
      <family val="2"/>
      <charset val="1"/>
    </font>
    <font>
      <b/>
      <sz val="12"/>
      <color rgb="FF000000"/>
      <name val="Google Sans Text"/>
      <charset val="1"/>
    </font>
    <font>
      <sz val="12"/>
      <color rgb="FF000000"/>
      <name val="Google Sans Text"/>
      <charset val="1"/>
    </font>
    <font>
      <b/>
      <sz val="12"/>
      <color theme="1"/>
      <name val="Google Sans Text"/>
      <family val="2"/>
      <charset val="1"/>
    </font>
    <font>
      <sz val="12"/>
      <color theme="1"/>
      <name val="Google Sans Text"/>
      <family val="2"/>
      <charset val="1"/>
    </font>
    <font>
      <sz val="12"/>
      <color rgb="FF000000"/>
      <name val="Aptos Narrow"/>
      <family val="2"/>
      <scheme val="minor"/>
    </font>
    <font>
      <b/>
      <sz val="12"/>
      <color theme="1"/>
      <name val="Google Sans Text"/>
      <charset val="1"/>
    </font>
    <font>
      <sz val="12"/>
      <color theme="1"/>
      <name val="Google Sans Text"/>
      <charset val="1"/>
    </font>
    <font>
      <sz val="12"/>
      <color rgb="FF000000"/>
      <name val="Aptos Narrow"/>
      <charset val="1"/>
    </font>
    <font>
      <sz val="12"/>
      <color rgb="FF000000"/>
      <name val="Times New Roman"/>
    </font>
    <font>
      <sz val="16"/>
      <color rgb="FF000000"/>
      <name val="Times New Roman"/>
    </font>
    <font>
      <sz val="14"/>
      <color rgb="FF000000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9" fontId="0" fillId="0" borderId="0" xfId="1" applyFont="1"/>
    <xf numFmtId="0" fontId="2" fillId="0" borderId="0" xfId="0" applyFont="1"/>
    <xf numFmtId="0" fontId="3" fillId="0" borderId="0" xfId="0" applyFont="1"/>
    <xf numFmtId="0" fontId="4" fillId="0" borderId="0" xfId="2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0" xfId="2" applyAlignment="1"/>
    <xf numFmtId="0" fontId="14" fillId="0" borderId="0" xfId="0" applyFont="1"/>
    <xf numFmtId="0" fontId="15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/>
    <xf numFmtId="0" fontId="25" fillId="0" borderId="1" xfId="0" applyFont="1" applyBorder="1"/>
    <xf numFmtId="0" fontId="26" fillId="0" borderId="0" xfId="0" applyFont="1"/>
    <xf numFmtId="0" fontId="27" fillId="0" borderId="1" xfId="0" applyFont="1" applyBorder="1"/>
    <xf numFmtId="0" fontId="28" fillId="0" borderId="1" xfId="0" applyFont="1" applyBorder="1"/>
    <xf numFmtId="0" fontId="12" fillId="0" borderId="0" xfId="0" applyFont="1" applyAlignment="1"/>
    <xf numFmtId="0" fontId="29" fillId="0" borderId="0" xfId="0" applyFont="1"/>
    <xf numFmtId="0" fontId="11" fillId="0" borderId="2" xfId="0" applyFont="1" applyBorder="1"/>
    <xf numFmtId="0" fontId="16" fillId="0" borderId="2" xfId="0" applyFont="1" applyBorder="1"/>
    <xf numFmtId="0" fontId="7" fillId="0" borderId="2" xfId="0" applyFont="1" applyBorder="1"/>
    <xf numFmtId="0" fontId="16" fillId="2" borderId="2" xfId="0" applyFont="1" applyFill="1" applyBorder="1"/>
    <xf numFmtId="10" fontId="0" fillId="0" borderId="0" xfId="0" applyNumberForma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17" fillId="0" borderId="0" xfId="0" applyFont="1" applyAlignment="1"/>
    <xf numFmtId="0" fontId="11" fillId="0" borderId="0" xfId="0" applyFont="1" applyAlignment="1"/>
    <xf numFmtId="0" fontId="18" fillId="0" borderId="0" xfId="0" applyFont="1" applyAlignment="1"/>
    <xf numFmtId="0" fontId="19" fillId="0" borderId="0" xfId="0" applyFont="1" applyAlignment="1"/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ortschatz.uni-leipzig.de/en/download/sp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ortschatz.uni-leipzig.de/en/download/s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3BCC-8BF9-A94A-940C-AA82BC2D404E}">
  <dimension ref="B2:O32"/>
  <sheetViews>
    <sheetView zoomScale="136" workbookViewId="0">
      <selection activeCell="D30" sqref="D30"/>
    </sheetView>
  </sheetViews>
  <sheetFormatPr defaultColWidth="11" defaultRowHeight="15.95"/>
  <cols>
    <col min="3" max="3" width="46.625" bestFit="1" customWidth="1"/>
    <col min="4" max="4" width="29" bestFit="1" customWidth="1"/>
    <col min="5" max="5" width="28.625" bestFit="1" customWidth="1"/>
    <col min="7" max="7" width="17.625" bestFit="1" customWidth="1"/>
    <col min="11" max="11" width="17.625" bestFit="1" customWidth="1"/>
  </cols>
  <sheetData>
    <row r="2" spans="2:15">
      <c r="J2" t="s">
        <v>0</v>
      </c>
    </row>
    <row r="3" spans="2:1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>
        <v>1</v>
      </c>
      <c r="K3" t="s">
        <v>7</v>
      </c>
    </row>
    <row r="4" spans="2:15">
      <c r="B4">
        <v>1</v>
      </c>
      <c r="C4" t="s">
        <v>8</v>
      </c>
      <c r="D4" t="s">
        <v>9</v>
      </c>
      <c r="E4" t="s">
        <v>10</v>
      </c>
      <c r="G4" t="s">
        <v>9</v>
      </c>
      <c r="J4">
        <v>2</v>
      </c>
      <c r="K4" t="s">
        <v>11</v>
      </c>
    </row>
    <row r="5" spans="2:15">
      <c r="B5">
        <v>2</v>
      </c>
      <c r="C5" t="s">
        <v>12</v>
      </c>
      <c r="D5" t="s">
        <v>11</v>
      </c>
      <c r="E5" t="s">
        <v>9</v>
      </c>
      <c r="G5" t="s">
        <v>11</v>
      </c>
      <c r="J5">
        <v>3</v>
      </c>
      <c r="K5" t="s">
        <v>13</v>
      </c>
    </row>
    <row r="6" spans="2:15">
      <c r="B6">
        <v>3</v>
      </c>
      <c r="C6" t="s">
        <v>14</v>
      </c>
      <c r="D6" t="s">
        <v>15</v>
      </c>
      <c r="E6" t="s">
        <v>16</v>
      </c>
      <c r="F6" t="s">
        <v>11</v>
      </c>
      <c r="G6" t="s">
        <v>17</v>
      </c>
      <c r="J6">
        <v>4</v>
      </c>
      <c r="K6" t="s">
        <v>17</v>
      </c>
    </row>
    <row r="7" spans="2:15">
      <c r="B7">
        <v>4</v>
      </c>
      <c r="C7" t="s">
        <v>18</v>
      </c>
      <c r="D7" t="s">
        <v>11</v>
      </c>
      <c r="E7" t="s">
        <v>19</v>
      </c>
      <c r="G7" t="s">
        <v>20</v>
      </c>
      <c r="J7">
        <v>5</v>
      </c>
      <c r="K7" t="s">
        <v>21</v>
      </c>
    </row>
    <row r="8" spans="2:15">
      <c r="J8">
        <v>6</v>
      </c>
      <c r="K8" t="s">
        <v>22</v>
      </c>
    </row>
    <row r="9" spans="2:15">
      <c r="J9">
        <v>7</v>
      </c>
      <c r="K9" t="s">
        <v>23</v>
      </c>
    </row>
    <row r="10" spans="2:15">
      <c r="J10">
        <v>8</v>
      </c>
      <c r="K10" t="s">
        <v>20</v>
      </c>
    </row>
    <row r="13" spans="2:15">
      <c r="B13" t="s">
        <v>24</v>
      </c>
    </row>
    <row r="14" spans="2:15">
      <c r="B14" t="s">
        <v>25</v>
      </c>
      <c r="C14" t="s">
        <v>26</v>
      </c>
      <c r="N14" t="s">
        <v>27</v>
      </c>
    </row>
    <row r="15" spans="2:15">
      <c r="B15">
        <v>1</v>
      </c>
      <c r="C15" t="s">
        <v>28</v>
      </c>
      <c r="D15" t="s">
        <v>29</v>
      </c>
      <c r="E15" t="s">
        <v>30</v>
      </c>
      <c r="G15" t="s">
        <v>31</v>
      </c>
      <c r="N15" t="s">
        <v>32</v>
      </c>
      <c r="O15" t="s">
        <v>33</v>
      </c>
    </row>
    <row r="16" spans="2:15">
      <c r="B16">
        <v>2</v>
      </c>
      <c r="C16" t="s">
        <v>34</v>
      </c>
      <c r="D16" t="s">
        <v>35</v>
      </c>
      <c r="E16" t="s">
        <v>36</v>
      </c>
      <c r="J16" t="s">
        <v>37</v>
      </c>
      <c r="K16">
        <v>0</v>
      </c>
    </row>
    <row r="17" spans="2:11">
      <c r="B17">
        <v>3</v>
      </c>
      <c r="C17" t="s">
        <v>38</v>
      </c>
      <c r="J17" t="s">
        <v>39</v>
      </c>
      <c r="K17">
        <v>300</v>
      </c>
    </row>
    <row r="18" spans="2:11">
      <c r="J18" t="s">
        <v>40</v>
      </c>
      <c r="K18">
        <v>600</v>
      </c>
    </row>
    <row r="19" spans="2:11">
      <c r="B19">
        <v>4</v>
      </c>
      <c r="C19" t="s">
        <v>41</v>
      </c>
      <c r="J19" t="s">
        <v>42</v>
      </c>
      <c r="K19">
        <v>1000</v>
      </c>
    </row>
    <row r="21" spans="2:11">
      <c r="B21" t="s">
        <v>43</v>
      </c>
    </row>
    <row r="22" spans="2:11">
      <c r="C22" t="s">
        <v>44</v>
      </c>
    </row>
    <row r="23" spans="2:11">
      <c r="C23" t="s">
        <v>45</v>
      </c>
      <c r="F23">
        <v>3</v>
      </c>
      <c r="G23" s="1">
        <v>0.65</v>
      </c>
      <c r="H23">
        <f>F23*G23</f>
        <v>1.9500000000000002</v>
      </c>
    </row>
    <row r="24" spans="2:11">
      <c r="C24" t="s">
        <v>46</v>
      </c>
      <c r="D24" t="s">
        <v>47</v>
      </c>
      <c r="F24">
        <v>2</v>
      </c>
      <c r="G24" s="1">
        <v>0.35</v>
      </c>
      <c r="H24">
        <f>F24*G24</f>
        <v>0.7</v>
      </c>
    </row>
    <row r="25" spans="2:11">
      <c r="C25" t="s">
        <v>48</v>
      </c>
      <c r="D25" t="s">
        <v>49</v>
      </c>
      <c r="E25" t="s">
        <v>50</v>
      </c>
      <c r="F25">
        <v>300</v>
      </c>
    </row>
    <row r="26" spans="2:11">
      <c r="E26" t="s">
        <v>51</v>
      </c>
      <c r="H26">
        <f>SUM(H23:H24)</f>
        <v>2.6500000000000004</v>
      </c>
    </row>
    <row r="27" spans="2:11">
      <c r="E27" t="s">
        <v>39</v>
      </c>
      <c r="F27">
        <v>10</v>
      </c>
    </row>
    <row r="28" spans="2:11">
      <c r="E28" t="s">
        <v>52</v>
      </c>
      <c r="F28">
        <v>30</v>
      </c>
    </row>
    <row r="31" spans="2:11">
      <c r="B31" t="s">
        <v>53</v>
      </c>
      <c r="C31" t="s">
        <v>54</v>
      </c>
      <c r="E31" t="s">
        <v>55</v>
      </c>
    </row>
    <row r="32" spans="2:11">
      <c r="C3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827E-385E-664E-B5B2-D77D28F56809}">
  <dimension ref="A2:L1404"/>
  <sheetViews>
    <sheetView workbookViewId="0">
      <selection activeCell="A2" sqref="A2"/>
    </sheetView>
  </sheetViews>
  <sheetFormatPr defaultColWidth="11" defaultRowHeight="15.95"/>
  <cols>
    <col min="4" max="4" width="25.875" bestFit="1" customWidth="1"/>
    <col min="9" max="9" width="14.375" bestFit="1" customWidth="1"/>
    <col min="10" max="10" width="43.125" bestFit="1" customWidth="1"/>
    <col min="11" max="11" width="36.125" bestFit="1" customWidth="1"/>
  </cols>
  <sheetData>
    <row r="2" spans="1:11" ht="20.100000000000001">
      <c r="A2" t="s">
        <v>57</v>
      </c>
      <c r="B2" s="2" t="s">
        <v>58</v>
      </c>
      <c r="C2" s="2" t="s">
        <v>59</v>
      </c>
      <c r="D2" s="6" t="s">
        <v>60</v>
      </c>
      <c r="E2" s="2" t="s">
        <v>61</v>
      </c>
      <c r="I2" t="s">
        <v>62</v>
      </c>
      <c r="J2" s="4" t="s">
        <v>63</v>
      </c>
    </row>
    <row r="3" spans="1:11" ht="20.100000000000001">
      <c r="B3" s="3"/>
      <c r="C3" s="4"/>
      <c r="D3" s="3"/>
      <c r="E3" s="4"/>
    </row>
    <row r="4" spans="1:11" ht="20.100000000000001">
      <c r="B4" s="3">
        <v>101</v>
      </c>
      <c r="C4" s="4" t="s">
        <v>64</v>
      </c>
      <c r="D4" s="3">
        <v>15226</v>
      </c>
      <c r="E4" s="4"/>
      <c r="I4" s="5" t="s">
        <v>65</v>
      </c>
    </row>
    <row r="5" spans="1:11" ht="20.100000000000001">
      <c r="B5" s="3">
        <v>102</v>
      </c>
      <c r="C5" s="4" t="s">
        <v>66</v>
      </c>
      <c r="D5" s="3">
        <v>7493</v>
      </c>
      <c r="E5" s="4"/>
    </row>
    <row r="6" spans="1:11" ht="20.100000000000001">
      <c r="B6" s="3">
        <v>103</v>
      </c>
      <c r="C6" s="4" t="s">
        <v>67</v>
      </c>
      <c r="D6" s="3">
        <v>5973</v>
      </c>
      <c r="E6" s="4"/>
      <c r="I6" t="s">
        <v>68</v>
      </c>
    </row>
    <row r="7" spans="1:11" ht="20.100000000000001">
      <c r="B7" s="3">
        <v>104</v>
      </c>
      <c r="C7" s="4" t="s">
        <v>69</v>
      </c>
      <c r="D7" s="3">
        <v>5435</v>
      </c>
      <c r="E7" s="4"/>
    </row>
    <row r="8" spans="1:11" ht="20.100000000000001">
      <c r="B8" s="3">
        <v>105</v>
      </c>
      <c r="C8" s="4" t="s">
        <v>70</v>
      </c>
      <c r="D8" s="3">
        <v>5422</v>
      </c>
      <c r="E8" s="4"/>
    </row>
    <row r="9" spans="1:11" ht="20.100000000000001">
      <c r="B9" s="3">
        <v>106</v>
      </c>
      <c r="C9" s="4" t="s">
        <v>71</v>
      </c>
      <c r="D9" s="3">
        <v>4171</v>
      </c>
      <c r="E9" s="4"/>
    </row>
    <row r="10" spans="1:11" ht="20.100000000000001">
      <c r="B10" s="3">
        <v>107</v>
      </c>
      <c r="C10" s="4" t="s">
        <v>72</v>
      </c>
      <c r="D10" s="3">
        <v>3844</v>
      </c>
      <c r="E10" s="4"/>
      <c r="J10" t="s">
        <v>73</v>
      </c>
    </row>
    <row r="11" spans="1:11" ht="20.100000000000001">
      <c r="B11" s="3">
        <v>108</v>
      </c>
      <c r="C11" s="4" t="s">
        <v>74</v>
      </c>
      <c r="D11" s="3">
        <v>2845</v>
      </c>
      <c r="E11" s="4"/>
    </row>
    <row r="12" spans="1:11" ht="20.100000000000001">
      <c r="B12" s="3">
        <v>109</v>
      </c>
      <c r="C12" s="4" t="s">
        <v>75</v>
      </c>
      <c r="D12" s="3">
        <v>2800</v>
      </c>
      <c r="E12" s="4"/>
      <c r="J12" s="7" t="s">
        <v>76</v>
      </c>
      <c r="K12" s="7" t="s">
        <v>77</v>
      </c>
    </row>
    <row r="13" spans="1:11" ht="20.100000000000001">
      <c r="B13" s="3">
        <v>110</v>
      </c>
      <c r="C13" s="4" t="s">
        <v>78</v>
      </c>
      <c r="D13" s="3">
        <v>2645</v>
      </c>
      <c r="E13" s="4"/>
      <c r="J13" s="8">
        <v>1</v>
      </c>
      <c r="K13" s="7" t="s">
        <v>79</v>
      </c>
    </row>
    <row r="14" spans="1:11" ht="20.100000000000001">
      <c r="B14" s="3">
        <v>111</v>
      </c>
      <c r="C14" s="4" t="s">
        <v>80</v>
      </c>
      <c r="D14" s="3">
        <v>2205</v>
      </c>
      <c r="E14" s="4"/>
      <c r="J14" s="8">
        <v>2</v>
      </c>
      <c r="K14" s="7" t="s">
        <v>81</v>
      </c>
    </row>
    <row r="15" spans="1:11" ht="20.100000000000001">
      <c r="B15" s="3">
        <v>112</v>
      </c>
      <c r="C15" s="4" t="s">
        <v>82</v>
      </c>
      <c r="D15" s="3">
        <v>2051</v>
      </c>
      <c r="E15" s="4"/>
      <c r="J15" s="8">
        <v>3</v>
      </c>
      <c r="K15" s="7" t="s">
        <v>83</v>
      </c>
    </row>
    <row r="16" spans="1:11" ht="20.100000000000001">
      <c r="B16" s="3">
        <v>113</v>
      </c>
      <c r="C16" s="4" t="s">
        <v>84</v>
      </c>
      <c r="D16" s="3">
        <v>2023</v>
      </c>
      <c r="E16" s="4"/>
      <c r="J16" s="8">
        <v>4</v>
      </c>
      <c r="K16" s="7" t="s">
        <v>85</v>
      </c>
    </row>
    <row r="17" spans="2:12" ht="20.100000000000001">
      <c r="B17" s="3">
        <v>114</v>
      </c>
      <c r="C17" s="4" t="s">
        <v>86</v>
      </c>
      <c r="D17" s="3">
        <v>2014</v>
      </c>
      <c r="E17" s="4"/>
      <c r="J17" s="8">
        <v>5</v>
      </c>
      <c r="K17" s="7" t="s">
        <v>87</v>
      </c>
    </row>
    <row r="18" spans="2:12" ht="20.100000000000001">
      <c r="B18" s="3">
        <v>115</v>
      </c>
      <c r="C18" s="4" t="s">
        <v>88</v>
      </c>
      <c r="D18" s="3">
        <v>1946</v>
      </c>
      <c r="E18" s="4"/>
      <c r="J18" s="8">
        <v>6</v>
      </c>
      <c r="K18" s="7" t="s">
        <v>89</v>
      </c>
    </row>
    <row r="19" spans="2:12" ht="20.100000000000001">
      <c r="B19" s="3">
        <v>116</v>
      </c>
      <c r="C19" s="4" t="s">
        <v>90</v>
      </c>
      <c r="D19" s="3">
        <v>1899</v>
      </c>
      <c r="E19" s="4"/>
      <c r="J19" s="8">
        <v>7</v>
      </c>
      <c r="K19" s="7" t="s">
        <v>91</v>
      </c>
    </row>
    <row r="20" spans="2:12" ht="20.100000000000001">
      <c r="B20" s="3">
        <v>117</v>
      </c>
      <c r="C20" s="4" t="s">
        <v>92</v>
      </c>
      <c r="D20" s="3">
        <v>1498</v>
      </c>
      <c r="E20" s="4"/>
      <c r="J20" s="8">
        <v>8</v>
      </c>
      <c r="K20" s="7" t="s">
        <v>93</v>
      </c>
    </row>
    <row r="21" spans="2:12" ht="20.100000000000001">
      <c r="B21" s="3">
        <v>118</v>
      </c>
      <c r="C21" s="4" t="s">
        <v>94</v>
      </c>
      <c r="D21" s="3">
        <v>1206</v>
      </c>
      <c r="E21" s="4"/>
      <c r="J21" s="8">
        <v>9</v>
      </c>
      <c r="K21" s="7" t="s">
        <v>95</v>
      </c>
    </row>
    <row r="22" spans="2:12" ht="20.100000000000001">
      <c r="B22" s="3">
        <v>119</v>
      </c>
      <c r="C22" s="4" t="s">
        <v>96</v>
      </c>
      <c r="D22" s="3">
        <v>1182</v>
      </c>
      <c r="E22" s="4"/>
    </row>
    <row r="23" spans="2:12" ht="20.100000000000001">
      <c r="B23" s="3">
        <v>120</v>
      </c>
      <c r="C23" s="4" t="s">
        <v>97</v>
      </c>
      <c r="D23" s="3">
        <v>1140</v>
      </c>
      <c r="E23" s="4"/>
    </row>
    <row r="24" spans="2:12" ht="20.100000000000001">
      <c r="B24" s="3">
        <v>121</v>
      </c>
      <c r="C24" s="4" t="s">
        <v>98</v>
      </c>
      <c r="D24" s="3">
        <v>1055</v>
      </c>
      <c r="E24" s="4"/>
    </row>
    <row r="25" spans="2:12" ht="20.100000000000001">
      <c r="B25" s="3">
        <v>122</v>
      </c>
      <c r="C25" s="4" t="s">
        <v>99</v>
      </c>
      <c r="D25" s="3">
        <v>999</v>
      </c>
      <c r="E25" s="4"/>
    </row>
    <row r="26" spans="2:12" ht="20.100000000000001">
      <c r="B26" s="3">
        <v>123</v>
      </c>
      <c r="C26" s="4" t="s">
        <v>100</v>
      </c>
      <c r="D26" s="3">
        <v>944</v>
      </c>
      <c r="E26" s="4"/>
    </row>
    <row r="27" spans="2:12" ht="20.100000000000001">
      <c r="B27" s="3">
        <v>124</v>
      </c>
      <c r="C27" s="4" t="s">
        <v>101</v>
      </c>
      <c r="D27" s="3">
        <v>891</v>
      </c>
      <c r="E27" s="4"/>
    </row>
    <row r="28" spans="2:12" ht="20.100000000000001">
      <c r="B28" s="3">
        <v>125</v>
      </c>
      <c r="C28" s="4" t="s">
        <v>102</v>
      </c>
      <c r="D28" s="3">
        <v>879</v>
      </c>
      <c r="E28" s="4"/>
      <c r="J28" s="9"/>
      <c r="K28" s="9"/>
      <c r="L28" s="9"/>
    </row>
    <row r="29" spans="2:12" ht="20.100000000000001">
      <c r="B29" s="3">
        <v>126</v>
      </c>
      <c r="C29" s="4" t="s">
        <v>103</v>
      </c>
      <c r="D29" s="3">
        <v>855</v>
      </c>
      <c r="E29" s="4"/>
      <c r="J29" s="9"/>
    </row>
    <row r="30" spans="2:12" ht="20.100000000000001">
      <c r="B30" s="3">
        <v>127</v>
      </c>
      <c r="C30" s="4" t="s">
        <v>104</v>
      </c>
      <c r="D30" s="3">
        <v>663</v>
      </c>
      <c r="E30" s="4"/>
      <c r="J30" s="9"/>
    </row>
    <row r="31" spans="2:12" ht="20.100000000000001">
      <c r="B31" s="3">
        <v>128</v>
      </c>
      <c r="C31" s="4" t="s">
        <v>105</v>
      </c>
      <c r="D31" s="3">
        <v>652</v>
      </c>
      <c r="E31" s="4"/>
      <c r="J31" s="9"/>
    </row>
    <row r="32" spans="2:12" ht="20.100000000000001">
      <c r="B32" s="3">
        <v>129</v>
      </c>
      <c r="C32" s="4" t="s">
        <v>106</v>
      </c>
      <c r="D32" s="3">
        <v>458</v>
      </c>
      <c r="E32" s="4"/>
      <c r="J32" s="9"/>
    </row>
    <row r="33" spans="2:10" ht="20.100000000000001">
      <c r="B33" s="3">
        <v>130</v>
      </c>
      <c r="C33" s="4" t="s">
        <v>107</v>
      </c>
      <c r="D33" s="3">
        <v>390</v>
      </c>
      <c r="E33" s="4"/>
      <c r="J33" s="9"/>
    </row>
    <row r="34" spans="2:10" ht="20.100000000000001">
      <c r="B34" s="3">
        <v>131</v>
      </c>
      <c r="C34" s="4" t="s">
        <v>108</v>
      </c>
      <c r="D34" s="3">
        <v>379</v>
      </c>
      <c r="E34" s="4"/>
      <c r="J34" s="9"/>
    </row>
    <row r="35" spans="2:10" ht="20.100000000000001">
      <c r="B35" s="3">
        <v>132</v>
      </c>
      <c r="C35" s="4" t="s">
        <v>109</v>
      </c>
      <c r="D35" s="3">
        <v>377</v>
      </c>
      <c r="E35" s="4"/>
      <c r="J35" s="9"/>
    </row>
    <row r="36" spans="2:10" ht="20.100000000000001">
      <c r="B36" s="3">
        <v>133</v>
      </c>
      <c r="C36" s="4" t="s">
        <v>110</v>
      </c>
      <c r="D36" s="3">
        <v>373</v>
      </c>
      <c r="E36" s="4"/>
      <c r="J36" s="9"/>
    </row>
    <row r="37" spans="2:10" ht="20.100000000000001">
      <c r="B37" s="3">
        <v>134</v>
      </c>
      <c r="C37" s="4" t="s">
        <v>111</v>
      </c>
      <c r="D37" s="3">
        <v>362</v>
      </c>
      <c r="E37" s="4"/>
      <c r="J37" s="9"/>
    </row>
    <row r="38" spans="2:10" ht="20.100000000000001">
      <c r="B38" s="3">
        <v>135</v>
      </c>
      <c r="C38" s="4" t="s">
        <v>112</v>
      </c>
      <c r="D38" s="3">
        <v>359</v>
      </c>
      <c r="E38" s="4"/>
      <c r="J38" s="9"/>
    </row>
    <row r="39" spans="2:10" ht="20.100000000000001">
      <c r="B39" s="3">
        <v>136</v>
      </c>
      <c r="C39" s="4" t="s">
        <v>113</v>
      </c>
      <c r="D39" s="3">
        <v>334</v>
      </c>
      <c r="E39" s="4"/>
      <c r="J39" s="9"/>
    </row>
    <row r="40" spans="2:10" ht="20.100000000000001">
      <c r="B40" s="3">
        <v>137</v>
      </c>
      <c r="C40" s="4" t="s">
        <v>114</v>
      </c>
      <c r="D40" s="3">
        <v>330</v>
      </c>
      <c r="E40" s="4"/>
      <c r="J40" s="9"/>
    </row>
    <row r="41" spans="2:10" ht="20.100000000000001">
      <c r="B41" s="3">
        <v>138</v>
      </c>
      <c r="C41" s="4" t="s">
        <v>115</v>
      </c>
      <c r="D41" s="3">
        <v>313</v>
      </c>
      <c r="E41" s="4"/>
      <c r="J41" s="9"/>
    </row>
    <row r="42" spans="2:10" ht="20.100000000000001">
      <c r="B42" s="3">
        <v>139</v>
      </c>
      <c r="C42" s="4" t="s">
        <v>116</v>
      </c>
      <c r="D42" s="3">
        <v>311</v>
      </c>
      <c r="E42" s="4"/>
      <c r="J42" s="9"/>
    </row>
    <row r="43" spans="2:10" ht="20.100000000000001">
      <c r="B43" s="3">
        <v>140</v>
      </c>
      <c r="C43" s="4" t="s">
        <v>117</v>
      </c>
      <c r="D43" s="3">
        <v>311</v>
      </c>
      <c r="E43" s="4"/>
      <c r="J43" s="9"/>
    </row>
    <row r="44" spans="2:10" ht="20.100000000000001">
      <c r="B44" s="3">
        <v>141</v>
      </c>
      <c r="C44" s="4" t="s">
        <v>118</v>
      </c>
      <c r="D44" s="3">
        <v>294</v>
      </c>
      <c r="E44" s="4"/>
      <c r="J44" s="9"/>
    </row>
    <row r="45" spans="2:10" ht="20.100000000000001">
      <c r="B45" s="3">
        <v>142</v>
      </c>
      <c r="C45" s="4" t="s">
        <v>119</v>
      </c>
      <c r="D45" s="3">
        <v>292</v>
      </c>
      <c r="E45" s="4"/>
      <c r="J45" s="9"/>
    </row>
    <row r="46" spans="2:10" ht="20.100000000000001">
      <c r="B46" s="3">
        <v>143</v>
      </c>
      <c r="C46" s="4" t="s">
        <v>120</v>
      </c>
      <c r="D46" s="3">
        <v>283</v>
      </c>
      <c r="E46" s="4"/>
      <c r="J46" s="9"/>
    </row>
    <row r="47" spans="2:10" ht="20.100000000000001">
      <c r="B47" s="3">
        <v>144</v>
      </c>
      <c r="C47" s="4" t="s">
        <v>121</v>
      </c>
      <c r="D47" s="3">
        <v>280</v>
      </c>
      <c r="E47" s="4"/>
      <c r="J47" s="9"/>
    </row>
    <row r="48" spans="2:10" ht="20.100000000000001">
      <c r="B48" s="3">
        <v>145</v>
      </c>
      <c r="C48" s="4" t="s">
        <v>122</v>
      </c>
      <c r="D48" s="3">
        <v>274</v>
      </c>
      <c r="E48" s="4"/>
      <c r="J48" s="9"/>
    </row>
    <row r="49" spans="2:10" ht="20.100000000000001">
      <c r="B49" s="3">
        <v>146</v>
      </c>
      <c r="C49" s="4" t="s">
        <v>123</v>
      </c>
      <c r="D49" s="3">
        <v>267</v>
      </c>
      <c r="E49" s="4"/>
      <c r="J49" s="9"/>
    </row>
    <row r="50" spans="2:10" ht="20.100000000000001">
      <c r="B50" s="3">
        <v>147</v>
      </c>
      <c r="C50" s="4" t="s">
        <v>124</v>
      </c>
      <c r="D50" s="3">
        <v>264</v>
      </c>
      <c r="E50" s="4"/>
      <c r="J50" s="9"/>
    </row>
    <row r="51" spans="2:10" ht="20.100000000000001">
      <c r="B51" s="3">
        <v>148</v>
      </c>
      <c r="C51" s="4" t="s">
        <v>125</v>
      </c>
      <c r="D51" s="3">
        <v>257</v>
      </c>
      <c r="E51" s="4"/>
      <c r="J51" s="9"/>
    </row>
    <row r="52" spans="2:10" ht="20.100000000000001">
      <c r="B52" s="3">
        <v>149</v>
      </c>
      <c r="C52" s="4" t="s">
        <v>126</v>
      </c>
      <c r="D52" s="3">
        <v>249</v>
      </c>
      <c r="E52" s="4"/>
      <c r="J52" s="9"/>
    </row>
    <row r="53" spans="2:10" ht="20.100000000000001">
      <c r="B53" s="3">
        <v>150</v>
      </c>
      <c r="C53" s="4" t="s">
        <v>127</v>
      </c>
      <c r="D53" s="3">
        <v>245</v>
      </c>
      <c r="E53" s="4"/>
      <c r="J53" s="9"/>
    </row>
    <row r="54" spans="2:10" ht="20.100000000000001">
      <c r="B54" s="3">
        <v>151</v>
      </c>
      <c r="C54" s="4" t="s">
        <v>128</v>
      </c>
      <c r="D54" s="3">
        <v>243</v>
      </c>
      <c r="E54" s="4"/>
      <c r="J54" s="9"/>
    </row>
    <row r="55" spans="2:10" ht="20.100000000000001">
      <c r="B55" s="3">
        <v>152</v>
      </c>
      <c r="C55" s="4" t="s">
        <v>129</v>
      </c>
      <c r="D55" s="3">
        <v>236</v>
      </c>
      <c r="E55" s="4"/>
      <c r="J55" s="9"/>
    </row>
    <row r="56" spans="2:10" ht="20.100000000000001">
      <c r="B56" s="3">
        <v>153</v>
      </c>
      <c r="C56" s="4" t="s">
        <v>130</v>
      </c>
      <c r="D56" s="3">
        <v>236</v>
      </c>
      <c r="E56" s="4"/>
      <c r="J56" s="9"/>
    </row>
    <row r="57" spans="2:10" ht="20.100000000000001">
      <c r="B57" s="3">
        <v>154</v>
      </c>
      <c r="C57" s="4" t="s">
        <v>131</v>
      </c>
      <c r="D57" s="3">
        <v>230</v>
      </c>
      <c r="E57" s="4"/>
      <c r="J57" s="9"/>
    </row>
    <row r="58" spans="2:10" ht="20.100000000000001">
      <c r="B58" s="3">
        <v>155</v>
      </c>
      <c r="C58" s="4" t="s">
        <v>132</v>
      </c>
      <c r="D58" s="3">
        <v>225</v>
      </c>
      <c r="E58" s="4"/>
      <c r="J58" s="9"/>
    </row>
    <row r="59" spans="2:10" ht="20.100000000000001">
      <c r="B59" s="3">
        <v>156</v>
      </c>
      <c r="C59" s="4" t="s">
        <v>133</v>
      </c>
      <c r="D59" s="3">
        <v>219</v>
      </c>
      <c r="E59" s="4"/>
      <c r="J59" s="9"/>
    </row>
    <row r="60" spans="2:10" ht="20.100000000000001">
      <c r="B60" s="3">
        <v>157</v>
      </c>
      <c r="C60" s="4" t="s">
        <v>134</v>
      </c>
      <c r="D60" s="3">
        <v>211</v>
      </c>
      <c r="E60" s="4"/>
      <c r="J60" s="9"/>
    </row>
    <row r="61" spans="2:10" ht="20.100000000000001">
      <c r="B61" s="3">
        <v>158</v>
      </c>
      <c r="C61" s="4" t="s">
        <v>135</v>
      </c>
      <c r="D61" s="3">
        <v>206</v>
      </c>
      <c r="E61" s="4"/>
      <c r="J61" s="9"/>
    </row>
    <row r="62" spans="2:10" ht="20.100000000000001">
      <c r="B62" s="3">
        <v>159</v>
      </c>
      <c r="C62" s="4" t="s">
        <v>136</v>
      </c>
      <c r="D62" s="3">
        <v>205</v>
      </c>
      <c r="E62" s="4"/>
      <c r="J62" s="9"/>
    </row>
    <row r="63" spans="2:10" ht="20.100000000000001">
      <c r="B63" s="3">
        <v>160</v>
      </c>
      <c r="C63" s="4" t="s">
        <v>137</v>
      </c>
      <c r="D63" s="3">
        <v>205</v>
      </c>
      <c r="E63" s="4"/>
      <c r="J63" s="9"/>
    </row>
    <row r="64" spans="2:10" ht="20.100000000000001">
      <c r="B64" s="3">
        <v>161</v>
      </c>
      <c r="C64" s="4" t="s">
        <v>138</v>
      </c>
      <c r="D64" s="3">
        <v>203</v>
      </c>
      <c r="E64" s="4"/>
      <c r="J64" s="9"/>
    </row>
    <row r="65" spans="2:10" ht="20.100000000000001">
      <c r="B65" s="3">
        <v>162</v>
      </c>
      <c r="C65" s="4" t="s">
        <v>139</v>
      </c>
      <c r="D65" s="3">
        <v>199</v>
      </c>
      <c r="E65" s="4"/>
      <c r="J65" s="9"/>
    </row>
    <row r="66" spans="2:10" ht="20.100000000000001">
      <c r="B66" s="3">
        <v>163</v>
      </c>
      <c r="C66" s="4" t="s">
        <v>140</v>
      </c>
      <c r="D66" s="3">
        <v>197</v>
      </c>
      <c r="E66" s="4"/>
      <c r="J66" s="9"/>
    </row>
    <row r="67" spans="2:10" ht="20.100000000000001">
      <c r="B67" s="3">
        <v>164</v>
      </c>
      <c r="C67" s="4" t="s">
        <v>141</v>
      </c>
      <c r="D67" s="3">
        <v>191</v>
      </c>
      <c r="E67" s="4"/>
      <c r="J67" s="9"/>
    </row>
    <row r="68" spans="2:10" ht="20.100000000000001">
      <c r="B68" s="3">
        <v>165</v>
      </c>
      <c r="C68" s="4" t="s">
        <v>142</v>
      </c>
      <c r="D68" s="3">
        <v>188</v>
      </c>
      <c r="E68" s="4"/>
      <c r="J68" s="9"/>
    </row>
    <row r="69" spans="2:10" ht="20.100000000000001">
      <c r="B69" s="3">
        <v>166</v>
      </c>
      <c r="C69" s="4" t="s">
        <v>143</v>
      </c>
      <c r="D69" s="3">
        <v>183</v>
      </c>
      <c r="E69" s="4"/>
      <c r="J69" s="9"/>
    </row>
    <row r="70" spans="2:10" ht="20.100000000000001">
      <c r="B70" s="3">
        <v>167</v>
      </c>
      <c r="C70" s="4" t="s">
        <v>144</v>
      </c>
      <c r="D70" s="3">
        <v>183</v>
      </c>
      <c r="E70" s="3"/>
      <c r="J70" s="9"/>
    </row>
    <row r="71" spans="2:10" ht="20.100000000000001">
      <c r="B71" s="3">
        <v>168</v>
      </c>
      <c r="C71" s="4" t="s">
        <v>145</v>
      </c>
      <c r="D71" s="3">
        <v>176</v>
      </c>
      <c r="E71" s="4"/>
      <c r="J71" s="9"/>
    </row>
    <row r="72" spans="2:10" ht="20.100000000000001">
      <c r="B72" s="3">
        <v>169</v>
      </c>
      <c r="C72" s="4" t="s">
        <v>146</v>
      </c>
      <c r="D72" s="3">
        <v>175</v>
      </c>
      <c r="E72" s="4"/>
      <c r="J72" s="9"/>
    </row>
    <row r="73" spans="2:10" ht="20.100000000000001">
      <c r="B73" s="3">
        <v>170</v>
      </c>
      <c r="C73" s="4" t="s">
        <v>147</v>
      </c>
      <c r="D73" s="3">
        <v>171</v>
      </c>
      <c r="E73" s="4"/>
    </row>
    <row r="74" spans="2:10" ht="20.100000000000001">
      <c r="B74" s="3">
        <v>171</v>
      </c>
      <c r="C74" s="4" t="s">
        <v>148</v>
      </c>
      <c r="D74" s="3">
        <v>171</v>
      </c>
      <c r="E74" s="4"/>
    </row>
    <row r="75" spans="2:10" ht="20.100000000000001">
      <c r="B75" s="3">
        <v>172</v>
      </c>
      <c r="C75" s="4" t="s">
        <v>149</v>
      </c>
      <c r="D75" s="3">
        <v>171</v>
      </c>
      <c r="E75" s="4"/>
    </row>
    <row r="76" spans="2:10" ht="20.100000000000001">
      <c r="B76" s="3">
        <v>173</v>
      </c>
      <c r="C76" s="4" t="s">
        <v>150</v>
      </c>
      <c r="D76" s="3">
        <v>170</v>
      </c>
      <c r="E76" s="4"/>
    </row>
    <row r="77" spans="2:10" ht="20.100000000000001">
      <c r="B77" s="3">
        <v>174</v>
      </c>
      <c r="C77" s="4" t="s">
        <v>151</v>
      </c>
      <c r="D77" s="3">
        <v>168</v>
      </c>
      <c r="E77" s="4"/>
    </row>
    <row r="78" spans="2:10" ht="20.100000000000001">
      <c r="B78" s="3">
        <v>175</v>
      </c>
      <c r="C78" s="4" t="s">
        <v>152</v>
      </c>
      <c r="D78" s="3">
        <v>165</v>
      </c>
      <c r="E78" s="4"/>
    </row>
    <row r="79" spans="2:10" ht="20.100000000000001">
      <c r="B79" s="3">
        <v>176</v>
      </c>
      <c r="C79" s="4" t="s">
        <v>153</v>
      </c>
      <c r="D79" s="3">
        <v>162</v>
      </c>
      <c r="E79" s="4"/>
    </row>
    <row r="80" spans="2:10" ht="20.100000000000001">
      <c r="B80" s="3">
        <v>177</v>
      </c>
      <c r="C80" s="4" t="s">
        <v>154</v>
      </c>
      <c r="D80" s="3">
        <v>161</v>
      </c>
      <c r="E80" s="4"/>
    </row>
    <row r="81" spans="2:5" ht="20.100000000000001">
      <c r="B81" s="3">
        <v>178</v>
      </c>
      <c r="C81" s="4" t="s">
        <v>155</v>
      </c>
      <c r="D81" s="3">
        <v>160</v>
      </c>
      <c r="E81" s="4"/>
    </row>
    <row r="82" spans="2:5" ht="20.100000000000001">
      <c r="B82" s="3">
        <v>179</v>
      </c>
      <c r="C82" s="4" t="s">
        <v>156</v>
      </c>
      <c r="D82" s="3">
        <v>160</v>
      </c>
      <c r="E82" s="4"/>
    </row>
    <row r="83" spans="2:5" ht="20.100000000000001">
      <c r="B83" s="3">
        <v>180</v>
      </c>
      <c r="C83" s="4" t="s">
        <v>157</v>
      </c>
      <c r="D83" s="3">
        <v>153</v>
      </c>
      <c r="E83" s="4"/>
    </row>
    <row r="84" spans="2:5" ht="20.100000000000001">
      <c r="B84" s="3">
        <v>181</v>
      </c>
      <c r="C84" s="4" t="s">
        <v>158</v>
      </c>
      <c r="D84" s="3">
        <v>150</v>
      </c>
      <c r="E84" s="4"/>
    </row>
    <row r="85" spans="2:5" ht="20.100000000000001">
      <c r="B85" s="3">
        <v>182</v>
      </c>
      <c r="C85" s="4" t="s">
        <v>159</v>
      </c>
      <c r="D85" s="3">
        <v>149</v>
      </c>
      <c r="E85" s="4"/>
    </row>
    <row r="86" spans="2:5" ht="20.100000000000001">
      <c r="B86" s="3">
        <v>183</v>
      </c>
      <c r="C86" s="4" t="s">
        <v>160</v>
      </c>
      <c r="D86" s="3">
        <v>147</v>
      </c>
      <c r="E86" s="4"/>
    </row>
    <row r="87" spans="2:5" ht="20.100000000000001">
      <c r="B87" s="3">
        <v>184</v>
      </c>
      <c r="C87" s="4" t="s">
        <v>161</v>
      </c>
      <c r="D87" s="3">
        <v>144</v>
      </c>
      <c r="E87" s="4"/>
    </row>
    <row r="88" spans="2:5" ht="20.100000000000001">
      <c r="B88" s="3">
        <v>185</v>
      </c>
      <c r="C88" s="4" t="s">
        <v>162</v>
      </c>
      <c r="D88" s="3">
        <v>142</v>
      </c>
      <c r="E88" s="4"/>
    </row>
    <row r="89" spans="2:5" ht="20.100000000000001">
      <c r="B89" s="3">
        <v>186</v>
      </c>
      <c r="C89" s="4" t="s">
        <v>163</v>
      </c>
      <c r="D89" s="3">
        <v>140</v>
      </c>
      <c r="E89" s="4"/>
    </row>
    <row r="90" spans="2:5" ht="20.100000000000001">
      <c r="B90" s="3">
        <v>187</v>
      </c>
      <c r="C90" s="4" t="s">
        <v>164</v>
      </c>
      <c r="D90" s="3">
        <v>137</v>
      </c>
      <c r="E90" s="4"/>
    </row>
    <row r="91" spans="2:5" ht="20.100000000000001">
      <c r="B91" s="3">
        <v>188</v>
      </c>
      <c r="C91" s="4" t="s">
        <v>165</v>
      </c>
      <c r="D91" s="3">
        <v>137</v>
      </c>
      <c r="E91" s="4"/>
    </row>
    <row r="92" spans="2:5" ht="20.100000000000001">
      <c r="B92" s="3">
        <v>189</v>
      </c>
      <c r="C92" s="4" t="s">
        <v>166</v>
      </c>
      <c r="D92" s="3">
        <v>136</v>
      </c>
      <c r="E92" s="4"/>
    </row>
    <row r="93" spans="2:5" ht="20.100000000000001">
      <c r="B93" s="3">
        <v>190</v>
      </c>
      <c r="C93" s="4" t="s">
        <v>167</v>
      </c>
      <c r="D93" s="3">
        <v>135</v>
      </c>
      <c r="E93" s="4"/>
    </row>
    <row r="94" spans="2:5" ht="20.100000000000001">
      <c r="B94" s="3">
        <v>191</v>
      </c>
      <c r="C94" s="4" t="s">
        <v>168</v>
      </c>
      <c r="D94" s="3">
        <v>134</v>
      </c>
      <c r="E94" s="3"/>
    </row>
    <row r="95" spans="2:5" ht="20.100000000000001">
      <c r="B95" s="3">
        <v>192</v>
      </c>
      <c r="C95" s="4" t="s">
        <v>169</v>
      </c>
      <c r="D95" s="3">
        <v>134</v>
      </c>
      <c r="E95" s="4"/>
    </row>
    <row r="96" spans="2:5" ht="20.100000000000001">
      <c r="B96" s="3">
        <v>193</v>
      </c>
      <c r="C96" s="4" t="s">
        <v>170</v>
      </c>
      <c r="D96" s="3">
        <v>134</v>
      </c>
      <c r="E96" s="4"/>
    </row>
    <row r="97" spans="2:5" ht="20.100000000000001">
      <c r="B97" s="3">
        <v>194</v>
      </c>
      <c r="C97" s="4" t="s">
        <v>171</v>
      </c>
      <c r="D97" s="3">
        <v>134</v>
      </c>
      <c r="E97" s="4"/>
    </row>
    <row r="98" spans="2:5" ht="20.100000000000001">
      <c r="B98" s="3">
        <v>195</v>
      </c>
      <c r="C98" s="4" t="s">
        <v>172</v>
      </c>
      <c r="D98" s="3">
        <v>133</v>
      </c>
      <c r="E98" s="4"/>
    </row>
    <row r="99" spans="2:5" ht="20.100000000000001">
      <c r="B99" s="3">
        <v>196</v>
      </c>
      <c r="C99" s="4" t="s">
        <v>173</v>
      </c>
      <c r="D99" s="3">
        <v>132</v>
      </c>
      <c r="E99" s="4"/>
    </row>
    <row r="100" spans="2:5" ht="20.100000000000001">
      <c r="B100" s="3">
        <v>197</v>
      </c>
      <c r="C100" s="4" t="s">
        <v>174</v>
      </c>
      <c r="D100" s="3">
        <v>132</v>
      </c>
      <c r="E100" s="4"/>
    </row>
    <row r="101" spans="2:5" ht="20.100000000000001">
      <c r="B101" s="3">
        <v>198</v>
      </c>
      <c r="C101" s="4" t="s">
        <v>175</v>
      </c>
      <c r="D101" s="3">
        <v>131</v>
      </c>
      <c r="E101" s="4"/>
    </row>
    <row r="102" spans="2:5" ht="20.100000000000001">
      <c r="B102" s="3">
        <v>199</v>
      </c>
      <c r="C102" s="4" t="s">
        <v>176</v>
      </c>
      <c r="D102" s="3">
        <v>127</v>
      </c>
      <c r="E102" s="4"/>
    </row>
    <row r="103" spans="2:5" ht="20.100000000000001">
      <c r="B103" s="3">
        <v>200</v>
      </c>
      <c r="C103" s="4" t="s">
        <v>177</v>
      </c>
      <c r="D103" s="3">
        <v>126</v>
      </c>
      <c r="E103" s="4"/>
    </row>
    <row r="104" spans="2:5" ht="20.100000000000001">
      <c r="B104" s="3">
        <v>201</v>
      </c>
      <c r="C104" s="4" t="s">
        <v>178</v>
      </c>
      <c r="D104" s="3">
        <v>125</v>
      </c>
      <c r="E104" s="4"/>
    </row>
    <row r="105" spans="2:5" ht="20.100000000000001">
      <c r="B105" s="3">
        <v>202</v>
      </c>
      <c r="C105" s="4" t="s">
        <v>179</v>
      </c>
      <c r="D105" s="3">
        <v>124</v>
      </c>
      <c r="E105" s="4"/>
    </row>
    <row r="106" spans="2:5" ht="20.100000000000001">
      <c r="B106" s="3">
        <v>203</v>
      </c>
      <c r="C106" s="4" t="s">
        <v>180</v>
      </c>
      <c r="D106" s="3">
        <v>123</v>
      </c>
      <c r="E106" s="4"/>
    </row>
    <row r="107" spans="2:5" ht="20.100000000000001">
      <c r="B107" s="3">
        <v>204</v>
      </c>
      <c r="C107" s="4" t="s">
        <v>181</v>
      </c>
      <c r="D107" s="3">
        <v>122</v>
      </c>
      <c r="E107" s="4"/>
    </row>
    <row r="108" spans="2:5" ht="20.100000000000001">
      <c r="B108" s="3">
        <v>205</v>
      </c>
      <c r="C108" s="4" t="s">
        <v>182</v>
      </c>
      <c r="D108" s="3">
        <v>121</v>
      </c>
      <c r="E108" s="4"/>
    </row>
    <row r="109" spans="2:5" ht="20.100000000000001">
      <c r="B109" s="3">
        <v>206</v>
      </c>
      <c r="C109" s="4" t="s">
        <v>183</v>
      </c>
      <c r="D109" s="3">
        <v>120</v>
      </c>
      <c r="E109" s="4"/>
    </row>
    <row r="110" spans="2:5" ht="20.100000000000001">
      <c r="B110" s="3">
        <v>207</v>
      </c>
      <c r="C110" s="4" t="s">
        <v>184</v>
      </c>
      <c r="D110" s="3">
        <v>120</v>
      </c>
      <c r="E110" s="4"/>
    </row>
    <row r="111" spans="2:5" ht="20.100000000000001">
      <c r="B111" s="3">
        <v>208</v>
      </c>
      <c r="C111" s="4" t="s">
        <v>185</v>
      </c>
      <c r="D111" s="3">
        <v>119</v>
      </c>
      <c r="E111" s="3"/>
    </row>
    <row r="112" spans="2:5" ht="20.100000000000001">
      <c r="B112" s="3">
        <v>209</v>
      </c>
      <c r="C112" s="4" t="s">
        <v>186</v>
      </c>
      <c r="D112" s="3">
        <v>117</v>
      </c>
      <c r="E112" s="4"/>
    </row>
    <row r="113" spans="2:5" ht="20.100000000000001">
      <c r="B113" s="3">
        <v>210</v>
      </c>
      <c r="C113" s="4" t="s">
        <v>187</v>
      </c>
      <c r="D113" s="3">
        <v>117</v>
      </c>
      <c r="E113" s="4"/>
    </row>
    <row r="114" spans="2:5" ht="20.100000000000001">
      <c r="B114" s="3">
        <v>211</v>
      </c>
      <c r="C114" s="4" t="s">
        <v>188</v>
      </c>
      <c r="D114" s="3">
        <v>115</v>
      </c>
      <c r="E114" s="4"/>
    </row>
    <row r="115" spans="2:5" ht="20.100000000000001">
      <c r="B115" s="3">
        <v>212</v>
      </c>
      <c r="C115" s="4" t="s">
        <v>189</v>
      </c>
      <c r="D115" s="3">
        <v>115</v>
      </c>
      <c r="E115" s="4"/>
    </row>
    <row r="116" spans="2:5" ht="20.100000000000001">
      <c r="B116" s="3">
        <v>213</v>
      </c>
      <c r="C116" s="4" t="s">
        <v>190</v>
      </c>
      <c r="D116" s="3">
        <v>114</v>
      </c>
      <c r="E116" s="4"/>
    </row>
    <row r="117" spans="2:5" ht="20.100000000000001">
      <c r="B117" s="3">
        <v>214</v>
      </c>
      <c r="C117" s="4" t="s">
        <v>191</v>
      </c>
      <c r="D117" s="3">
        <v>111</v>
      </c>
      <c r="E117" s="4"/>
    </row>
    <row r="118" spans="2:5" ht="20.100000000000001">
      <c r="B118" s="3">
        <v>215</v>
      </c>
      <c r="C118" s="4" t="s">
        <v>192</v>
      </c>
      <c r="D118" s="3">
        <v>110</v>
      </c>
      <c r="E118" s="4"/>
    </row>
    <row r="119" spans="2:5" ht="20.100000000000001">
      <c r="B119" s="3">
        <v>216</v>
      </c>
      <c r="C119" s="4" t="s">
        <v>193</v>
      </c>
      <c r="D119" s="3">
        <v>109</v>
      </c>
      <c r="E119" s="4"/>
    </row>
    <row r="120" spans="2:5" ht="20.100000000000001">
      <c r="B120" s="3">
        <v>217</v>
      </c>
      <c r="C120" s="4" t="s">
        <v>194</v>
      </c>
      <c r="D120" s="3">
        <v>107</v>
      </c>
      <c r="E120" s="4"/>
    </row>
    <row r="121" spans="2:5" ht="20.100000000000001">
      <c r="B121" s="3">
        <v>218</v>
      </c>
      <c r="C121" s="4" t="s">
        <v>195</v>
      </c>
      <c r="D121" s="3">
        <v>107</v>
      </c>
      <c r="E121" s="4"/>
    </row>
    <row r="122" spans="2:5" ht="20.100000000000001">
      <c r="B122" s="3">
        <v>219</v>
      </c>
      <c r="C122" s="4" t="s">
        <v>196</v>
      </c>
      <c r="D122" s="3">
        <v>106</v>
      </c>
      <c r="E122" s="4"/>
    </row>
    <row r="123" spans="2:5" ht="20.100000000000001">
      <c r="B123" s="3">
        <v>220</v>
      </c>
      <c r="C123" s="4" t="s">
        <v>197</v>
      </c>
      <c r="D123" s="3">
        <v>106</v>
      </c>
      <c r="E123" s="4"/>
    </row>
    <row r="124" spans="2:5" ht="20.100000000000001">
      <c r="B124" s="3">
        <v>221</v>
      </c>
      <c r="C124" s="4" t="s">
        <v>198</v>
      </c>
      <c r="D124" s="3">
        <v>106</v>
      </c>
      <c r="E124" s="4"/>
    </row>
    <row r="125" spans="2:5" ht="20.100000000000001">
      <c r="B125" s="3">
        <v>222</v>
      </c>
      <c r="C125" s="4" t="s">
        <v>199</v>
      </c>
      <c r="D125" s="3">
        <v>106</v>
      </c>
      <c r="E125" s="4"/>
    </row>
    <row r="126" spans="2:5" ht="20.100000000000001">
      <c r="B126" s="3">
        <v>223</v>
      </c>
      <c r="C126" s="4" t="s">
        <v>200</v>
      </c>
      <c r="D126" s="3">
        <v>105</v>
      </c>
      <c r="E126" s="4"/>
    </row>
    <row r="127" spans="2:5" ht="20.100000000000001">
      <c r="B127" s="3">
        <v>224</v>
      </c>
      <c r="C127" s="4" t="s">
        <v>201</v>
      </c>
      <c r="D127" s="3">
        <v>105</v>
      </c>
      <c r="E127" s="4"/>
    </row>
    <row r="128" spans="2:5" ht="20.100000000000001">
      <c r="B128" s="3">
        <v>225</v>
      </c>
      <c r="C128" s="4" t="s">
        <v>202</v>
      </c>
      <c r="D128" s="3">
        <v>105</v>
      </c>
      <c r="E128" s="4"/>
    </row>
    <row r="129" spans="2:5" ht="20.100000000000001">
      <c r="B129" s="3">
        <v>226</v>
      </c>
      <c r="C129" s="4" t="s">
        <v>203</v>
      </c>
      <c r="D129" s="3">
        <v>104</v>
      </c>
      <c r="E129" s="4"/>
    </row>
    <row r="130" spans="2:5" ht="20.100000000000001">
      <c r="B130" s="3">
        <v>227</v>
      </c>
      <c r="C130" s="4" t="s">
        <v>204</v>
      </c>
      <c r="D130" s="3">
        <v>103</v>
      </c>
      <c r="E130" s="4"/>
    </row>
    <row r="131" spans="2:5" ht="20.100000000000001">
      <c r="B131" s="3">
        <v>228</v>
      </c>
      <c r="C131" s="4" t="s">
        <v>205</v>
      </c>
      <c r="D131" s="3">
        <v>103</v>
      </c>
      <c r="E131" s="3"/>
    </row>
    <row r="132" spans="2:5" ht="20.100000000000001">
      <c r="B132" s="3">
        <v>229</v>
      </c>
      <c r="C132" s="4" t="s">
        <v>206</v>
      </c>
      <c r="D132" s="3">
        <v>103</v>
      </c>
      <c r="E132" s="4"/>
    </row>
    <row r="133" spans="2:5" ht="20.100000000000001">
      <c r="B133" s="3">
        <v>230</v>
      </c>
      <c r="C133" s="4" t="s">
        <v>207</v>
      </c>
      <c r="D133" s="3">
        <v>102</v>
      </c>
      <c r="E133" s="4"/>
    </row>
    <row r="134" spans="2:5" ht="20.100000000000001">
      <c r="B134" s="3">
        <v>231</v>
      </c>
      <c r="C134" s="4" t="s">
        <v>208</v>
      </c>
      <c r="D134" s="3">
        <v>102</v>
      </c>
      <c r="E134" s="4"/>
    </row>
    <row r="135" spans="2:5" ht="20.100000000000001">
      <c r="B135" s="3">
        <v>232</v>
      </c>
      <c r="C135" s="4" t="s">
        <v>209</v>
      </c>
      <c r="D135" s="3">
        <v>101</v>
      </c>
      <c r="E135" s="4"/>
    </row>
    <row r="136" spans="2:5" ht="20.100000000000001">
      <c r="B136" s="3">
        <v>233</v>
      </c>
      <c r="C136" s="4" t="s">
        <v>210</v>
      </c>
      <c r="D136" s="3">
        <v>100</v>
      </c>
      <c r="E136" s="4"/>
    </row>
    <row r="137" spans="2:5" ht="20.100000000000001">
      <c r="B137" s="3">
        <v>234</v>
      </c>
      <c r="C137" s="4" t="s">
        <v>211</v>
      </c>
      <c r="D137" s="3">
        <v>100</v>
      </c>
      <c r="E137" s="4"/>
    </row>
    <row r="138" spans="2:5" ht="20.100000000000001">
      <c r="B138" s="3">
        <v>235</v>
      </c>
      <c r="C138" s="4" t="s">
        <v>212</v>
      </c>
      <c r="D138" s="3">
        <v>99</v>
      </c>
      <c r="E138" s="4"/>
    </row>
    <row r="139" spans="2:5" ht="20.100000000000001">
      <c r="B139" s="3">
        <v>236</v>
      </c>
      <c r="C139" s="4" t="s">
        <v>213</v>
      </c>
      <c r="D139" s="3">
        <v>99</v>
      </c>
      <c r="E139" s="4"/>
    </row>
    <row r="140" spans="2:5" ht="20.100000000000001">
      <c r="B140" s="3">
        <v>237</v>
      </c>
      <c r="C140" s="4" t="s">
        <v>214</v>
      </c>
      <c r="D140" s="3">
        <v>98</v>
      </c>
      <c r="E140" s="4"/>
    </row>
    <row r="141" spans="2:5" ht="20.100000000000001">
      <c r="B141" s="3">
        <v>238</v>
      </c>
      <c r="C141" s="4" t="s">
        <v>215</v>
      </c>
      <c r="D141" s="3">
        <v>97</v>
      </c>
      <c r="E141" s="4"/>
    </row>
    <row r="142" spans="2:5" ht="20.100000000000001">
      <c r="B142" s="3">
        <v>239</v>
      </c>
      <c r="C142" s="4" t="s">
        <v>216</v>
      </c>
      <c r="D142" s="3">
        <v>96</v>
      </c>
      <c r="E142" s="4"/>
    </row>
    <row r="143" spans="2:5" ht="20.100000000000001">
      <c r="B143" s="3">
        <v>240</v>
      </c>
      <c r="C143" s="4" t="s">
        <v>217</v>
      </c>
      <c r="D143" s="3">
        <v>96</v>
      </c>
      <c r="E143" s="4"/>
    </row>
    <row r="144" spans="2:5" ht="20.100000000000001">
      <c r="B144" s="3">
        <v>241</v>
      </c>
      <c r="C144" s="4" t="s">
        <v>218</v>
      </c>
      <c r="D144" s="3">
        <v>95</v>
      </c>
      <c r="E144" s="4"/>
    </row>
    <row r="145" spans="2:5" ht="20.100000000000001">
      <c r="B145" s="3">
        <v>242</v>
      </c>
      <c r="C145" s="4" t="s">
        <v>219</v>
      </c>
      <c r="D145" s="3">
        <v>95</v>
      </c>
      <c r="E145" s="4"/>
    </row>
    <row r="146" spans="2:5" ht="20.100000000000001">
      <c r="B146" s="3">
        <v>243</v>
      </c>
      <c r="C146" s="4" t="s">
        <v>220</v>
      </c>
      <c r="D146" s="3">
        <v>95</v>
      </c>
      <c r="E146" s="4"/>
    </row>
    <row r="147" spans="2:5" ht="20.100000000000001">
      <c r="B147" s="3">
        <v>244</v>
      </c>
      <c r="C147" s="4" t="s">
        <v>221</v>
      </c>
      <c r="D147" s="3">
        <v>95</v>
      </c>
      <c r="E147" s="4"/>
    </row>
    <row r="148" spans="2:5" ht="20.100000000000001">
      <c r="B148" s="3">
        <v>245</v>
      </c>
      <c r="C148" s="4" t="s">
        <v>222</v>
      </c>
      <c r="D148" s="3">
        <v>94</v>
      </c>
      <c r="E148" s="3"/>
    </row>
    <row r="149" spans="2:5" ht="20.100000000000001">
      <c r="B149" s="3">
        <v>246</v>
      </c>
      <c r="C149" s="4" t="s">
        <v>223</v>
      </c>
      <c r="D149" s="3">
        <v>94</v>
      </c>
      <c r="E149" s="4"/>
    </row>
    <row r="150" spans="2:5" ht="20.100000000000001">
      <c r="B150" s="3">
        <v>247</v>
      </c>
      <c r="C150" s="4" t="s">
        <v>224</v>
      </c>
      <c r="D150" s="3">
        <v>94</v>
      </c>
      <c r="E150" s="4"/>
    </row>
    <row r="151" spans="2:5" ht="20.100000000000001">
      <c r="B151" s="3">
        <v>248</v>
      </c>
      <c r="C151" s="4" t="s">
        <v>225</v>
      </c>
      <c r="D151" s="3">
        <v>94</v>
      </c>
      <c r="E151" s="4"/>
    </row>
    <row r="152" spans="2:5" ht="20.100000000000001">
      <c r="B152" s="3">
        <v>249</v>
      </c>
      <c r="C152" s="4" t="s">
        <v>226</v>
      </c>
      <c r="D152" s="3">
        <v>92</v>
      </c>
      <c r="E152" s="4"/>
    </row>
    <row r="153" spans="2:5" ht="20.100000000000001">
      <c r="B153" s="3">
        <v>250</v>
      </c>
      <c r="C153" s="4" t="s">
        <v>227</v>
      </c>
      <c r="D153" s="3">
        <v>92</v>
      </c>
      <c r="E153" s="4"/>
    </row>
    <row r="154" spans="2:5" ht="20.100000000000001">
      <c r="B154" s="3">
        <v>251</v>
      </c>
      <c r="C154" s="4" t="s">
        <v>228</v>
      </c>
      <c r="D154" s="3">
        <v>92</v>
      </c>
      <c r="E154" s="4"/>
    </row>
    <row r="155" spans="2:5" ht="20.100000000000001">
      <c r="B155" s="3">
        <v>252</v>
      </c>
      <c r="C155" s="4" t="s">
        <v>229</v>
      </c>
      <c r="D155" s="3">
        <v>91</v>
      </c>
      <c r="E155" s="4"/>
    </row>
    <row r="156" spans="2:5" ht="20.100000000000001">
      <c r="B156" s="3">
        <v>253</v>
      </c>
      <c r="C156" s="4" t="s">
        <v>230</v>
      </c>
      <c r="D156" s="3">
        <v>91</v>
      </c>
      <c r="E156" s="3"/>
    </row>
    <row r="157" spans="2:5" ht="20.100000000000001">
      <c r="B157" s="3">
        <v>254</v>
      </c>
      <c r="C157" s="4" t="s">
        <v>231</v>
      </c>
      <c r="D157" s="3">
        <v>90</v>
      </c>
      <c r="E157" s="4"/>
    </row>
    <row r="158" spans="2:5" ht="20.100000000000001">
      <c r="B158" s="3">
        <v>255</v>
      </c>
      <c r="C158" s="4" t="s">
        <v>232</v>
      </c>
      <c r="D158" s="3">
        <v>89</v>
      </c>
      <c r="E158" s="4"/>
    </row>
    <row r="159" spans="2:5" ht="20.100000000000001">
      <c r="B159" s="3">
        <v>256</v>
      </c>
      <c r="C159" s="4" t="s">
        <v>233</v>
      </c>
      <c r="D159" s="3">
        <v>89</v>
      </c>
      <c r="E159" s="4"/>
    </row>
    <row r="160" spans="2:5" ht="20.100000000000001">
      <c r="B160" s="3">
        <v>257</v>
      </c>
      <c r="C160" s="4" t="s">
        <v>234</v>
      </c>
      <c r="D160" s="3">
        <v>89</v>
      </c>
      <c r="E160" s="4"/>
    </row>
    <row r="161" spans="2:5" ht="20.100000000000001">
      <c r="B161" s="3">
        <v>258</v>
      </c>
      <c r="C161" s="4" t="s">
        <v>235</v>
      </c>
      <c r="D161" s="3">
        <v>88</v>
      </c>
      <c r="E161" s="4"/>
    </row>
    <row r="162" spans="2:5" ht="20.100000000000001">
      <c r="B162" s="3">
        <v>259</v>
      </c>
      <c r="C162" s="4" t="s">
        <v>236</v>
      </c>
      <c r="D162" s="3">
        <v>88</v>
      </c>
      <c r="E162" s="4"/>
    </row>
    <row r="163" spans="2:5" ht="20.100000000000001">
      <c r="B163" s="3">
        <v>260</v>
      </c>
      <c r="C163" s="4" t="s">
        <v>237</v>
      </c>
      <c r="D163" s="3">
        <v>87</v>
      </c>
      <c r="E163" s="4"/>
    </row>
    <row r="164" spans="2:5" ht="20.100000000000001">
      <c r="B164" s="3">
        <v>261</v>
      </c>
      <c r="C164" s="4" t="s">
        <v>238</v>
      </c>
      <c r="D164" s="3">
        <v>87</v>
      </c>
      <c r="E164" s="4"/>
    </row>
    <row r="165" spans="2:5" ht="20.100000000000001">
      <c r="B165" s="3">
        <v>262</v>
      </c>
      <c r="C165" s="4" t="s">
        <v>239</v>
      </c>
      <c r="D165" s="3">
        <v>86</v>
      </c>
      <c r="E165" s="4"/>
    </row>
    <row r="166" spans="2:5" ht="20.100000000000001">
      <c r="B166" s="3">
        <v>263</v>
      </c>
      <c r="C166" s="4" t="s">
        <v>240</v>
      </c>
      <c r="D166" s="3">
        <v>86</v>
      </c>
      <c r="E166" s="4"/>
    </row>
    <row r="167" spans="2:5" ht="20.100000000000001">
      <c r="B167" s="3">
        <v>264</v>
      </c>
      <c r="C167" s="4" t="s">
        <v>241</v>
      </c>
      <c r="D167" s="3">
        <v>86</v>
      </c>
      <c r="E167" s="4"/>
    </row>
    <row r="168" spans="2:5" ht="20.100000000000001">
      <c r="B168" s="3">
        <v>265</v>
      </c>
      <c r="C168" s="4" t="s">
        <v>242</v>
      </c>
      <c r="D168" s="3">
        <v>86</v>
      </c>
      <c r="E168" s="4"/>
    </row>
    <row r="169" spans="2:5" ht="20.100000000000001">
      <c r="B169" s="3">
        <v>266</v>
      </c>
      <c r="C169" s="4" t="s">
        <v>243</v>
      </c>
      <c r="D169" s="3">
        <v>85</v>
      </c>
      <c r="E169" s="4"/>
    </row>
    <row r="170" spans="2:5" ht="20.100000000000001">
      <c r="B170" s="3">
        <v>267</v>
      </c>
      <c r="C170" s="4" t="s">
        <v>244</v>
      </c>
      <c r="D170" s="3">
        <v>85</v>
      </c>
      <c r="E170" s="4"/>
    </row>
    <row r="171" spans="2:5" ht="20.100000000000001">
      <c r="B171" s="3">
        <v>268</v>
      </c>
      <c r="C171" s="4" t="s">
        <v>245</v>
      </c>
      <c r="D171" s="3">
        <v>84</v>
      </c>
      <c r="E171" s="3"/>
    </row>
    <row r="172" spans="2:5" ht="20.100000000000001">
      <c r="B172" s="3">
        <v>269</v>
      </c>
      <c r="C172" s="4" t="s">
        <v>246</v>
      </c>
      <c r="D172" s="3">
        <v>84</v>
      </c>
      <c r="E172" s="4"/>
    </row>
    <row r="173" spans="2:5" ht="20.100000000000001">
      <c r="B173" s="3">
        <v>270</v>
      </c>
      <c r="C173" s="4" t="s">
        <v>247</v>
      </c>
      <c r="D173" s="3">
        <v>83</v>
      </c>
      <c r="E173" s="4"/>
    </row>
    <row r="174" spans="2:5" ht="20.100000000000001">
      <c r="B174" s="3">
        <v>271</v>
      </c>
      <c r="C174" s="4" t="s">
        <v>248</v>
      </c>
      <c r="D174" s="3">
        <v>82</v>
      </c>
      <c r="E174" s="4"/>
    </row>
    <row r="175" spans="2:5" ht="20.100000000000001">
      <c r="B175" s="3">
        <v>272</v>
      </c>
      <c r="C175" s="4" t="s">
        <v>249</v>
      </c>
      <c r="D175" s="3">
        <v>82</v>
      </c>
      <c r="E175" s="4"/>
    </row>
    <row r="176" spans="2:5" ht="20.100000000000001">
      <c r="B176" s="3">
        <v>273</v>
      </c>
      <c r="C176" s="4" t="s">
        <v>250</v>
      </c>
      <c r="D176" s="3">
        <v>82</v>
      </c>
      <c r="E176" s="4"/>
    </row>
    <row r="177" spans="2:5" ht="20.100000000000001">
      <c r="B177" s="3">
        <v>274</v>
      </c>
      <c r="C177" s="4" t="s">
        <v>251</v>
      </c>
      <c r="D177" s="3">
        <v>82</v>
      </c>
      <c r="E177" s="4"/>
    </row>
    <row r="178" spans="2:5" ht="20.100000000000001">
      <c r="B178" s="3">
        <v>275</v>
      </c>
      <c r="C178" s="4" t="s">
        <v>252</v>
      </c>
      <c r="D178" s="3">
        <v>82</v>
      </c>
      <c r="E178" s="4"/>
    </row>
    <row r="179" spans="2:5" ht="20.100000000000001">
      <c r="B179" s="3">
        <v>276</v>
      </c>
      <c r="C179" s="4" t="s">
        <v>253</v>
      </c>
      <c r="D179" s="3">
        <v>81</v>
      </c>
      <c r="E179" s="3"/>
    </row>
    <row r="180" spans="2:5" ht="20.100000000000001">
      <c r="B180" s="3">
        <v>277</v>
      </c>
      <c r="C180" s="4" t="s">
        <v>254</v>
      </c>
      <c r="D180" s="3">
        <v>81</v>
      </c>
      <c r="E180" s="3"/>
    </row>
    <row r="181" spans="2:5" ht="20.100000000000001">
      <c r="B181" s="3">
        <v>278</v>
      </c>
      <c r="C181" s="4" t="s">
        <v>255</v>
      </c>
      <c r="D181" s="3">
        <v>81</v>
      </c>
      <c r="E181" s="4"/>
    </row>
    <row r="182" spans="2:5" ht="20.100000000000001">
      <c r="B182" s="3">
        <v>279</v>
      </c>
      <c r="C182" s="4" t="s">
        <v>256</v>
      </c>
      <c r="D182" s="3">
        <v>81</v>
      </c>
      <c r="E182" s="4"/>
    </row>
    <row r="183" spans="2:5" ht="20.100000000000001">
      <c r="B183" s="3">
        <v>280</v>
      </c>
      <c r="C183" s="4">
        <v>10</v>
      </c>
      <c r="D183" s="3">
        <v>80</v>
      </c>
      <c r="E183" s="4"/>
    </row>
    <row r="184" spans="2:5" ht="20.100000000000001">
      <c r="B184" s="3">
        <v>281</v>
      </c>
      <c r="C184" s="4" t="s">
        <v>257</v>
      </c>
      <c r="D184" s="3">
        <v>80</v>
      </c>
      <c r="E184" s="4"/>
    </row>
    <row r="185" spans="2:5" ht="20.100000000000001">
      <c r="B185" s="3">
        <v>282</v>
      </c>
      <c r="C185" s="4" t="s">
        <v>258</v>
      </c>
      <c r="D185" s="3">
        <v>80</v>
      </c>
      <c r="E185" s="4"/>
    </row>
    <row r="186" spans="2:5" ht="20.100000000000001">
      <c r="B186" s="3">
        <v>283</v>
      </c>
      <c r="C186" s="4" t="s">
        <v>259</v>
      </c>
      <c r="D186" s="3">
        <v>80</v>
      </c>
      <c r="E186" s="4"/>
    </row>
    <row r="187" spans="2:5" ht="20.100000000000001">
      <c r="B187" s="3">
        <v>284</v>
      </c>
      <c r="C187" s="4" t="s">
        <v>260</v>
      </c>
      <c r="D187" s="3">
        <v>80</v>
      </c>
      <c r="E187" s="3"/>
    </row>
    <row r="188" spans="2:5" ht="20.100000000000001">
      <c r="B188" s="3">
        <v>285</v>
      </c>
      <c r="C188" s="4" t="s">
        <v>261</v>
      </c>
      <c r="D188" s="3">
        <v>80</v>
      </c>
      <c r="E188" s="4"/>
    </row>
    <row r="189" spans="2:5" ht="20.100000000000001">
      <c r="B189" s="3">
        <v>286</v>
      </c>
      <c r="C189" s="4" t="s">
        <v>262</v>
      </c>
      <c r="D189" s="3">
        <v>80</v>
      </c>
      <c r="E189" s="3"/>
    </row>
    <row r="190" spans="2:5" ht="20.100000000000001">
      <c r="B190" s="3">
        <v>287</v>
      </c>
      <c r="C190" s="4" t="s">
        <v>263</v>
      </c>
      <c r="D190" s="3">
        <v>80</v>
      </c>
      <c r="E190" s="4"/>
    </row>
    <row r="191" spans="2:5" ht="20.100000000000001">
      <c r="B191" s="3">
        <v>288</v>
      </c>
      <c r="C191" s="4" t="s">
        <v>264</v>
      </c>
      <c r="D191" s="3">
        <v>80</v>
      </c>
      <c r="E191" s="4"/>
    </row>
    <row r="192" spans="2:5" ht="20.100000000000001">
      <c r="B192" s="3">
        <v>289</v>
      </c>
      <c r="C192" s="4" t="s">
        <v>265</v>
      </c>
      <c r="D192" s="3">
        <v>80</v>
      </c>
      <c r="E192" s="4"/>
    </row>
    <row r="193" spans="2:5" ht="20.100000000000001">
      <c r="B193" s="3">
        <v>290</v>
      </c>
      <c r="C193" s="4" t="s">
        <v>266</v>
      </c>
      <c r="D193" s="3">
        <v>79</v>
      </c>
      <c r="E193" s="4"/>
    </row>
    <row r="194" spans="2:5" ht="20.100000000000001">
      <c r="B194" s="3">
        <v>291</v>
      </c>
      <c r="C194" s="4" t="s">
        <v>267</v>
      </c>
      <c r="D194" s="3">
        <v>79</v>
      </c>
      <c r="E194" s="4"/>
    </row>
    <row r="195" spans="2:5" ht="20.100000000000001">
      <c r="B195" s="3">
        <v>292</v>
      </c>
      <c r="C195" s="4" t="s">
        <v>268</v>
      </c>
      <c r="D195" s="3">
        <v>79</v>
      </c>
      <c r="E195" s="3"/>
    </row>
    <row r="196" spans="2:5" ht="20.100000000000001">
      <c r="B196" s="3">
        <v>293</v>
      </c>
      <c r="C196" s="4" t="s">
        <v>269</v>
      </c>
      <c r="D196" s="3">
        <v>79</v>
      </c>
      <c r="E196" s="4"/>
    </row>
    <row r="197" spans="2:5" ht="20.100000000000001">
      <c r="B197" s="3">
        <v>294</v>
      </c>
      <c r="C197" s="4" t="s">
        <v>270</v>
      </c>
      <c r="D197" s="3">
        <v>79</v>
      </c>
      <c r="E197" s="4"/>
    </row>
    <row r="198" spans="2:5" ht="20.100000000000001">
      <c r="B198" s="3">
        <v>295</v>
      </c>
      <c r="C198" s="4" t="s">
        <v>271</v>
      </c>
      <c r="D198" s="3">
        <v>78</v>
      </c>
      <c r="E198" s="4"/>
    </row>
    <row r="199" spans="2:5" ht="20.100000000000001">
      <c r="B199" s="3">
        <v>296</v>
      </c>
      <c r="C199" s="4" t="s">
        <v>272</v>
      </c>
      <c r="D199" s="3">
        <v>78</v>
      </c>
      <c r="E199" s="4"/>
    </row>
    <row r="200" spans="2:5" ht="20.100000000000001">
      <c r="B200" s="3">
        <v>297</v>
      </c>
      <c r="C200" s="4" t="s">
        <v>273</v>
      </c>
      <c r="D200" s="3">
        <v>78</v>
      </c>
      <c r="E200" s="4"/>
    </row>
    <row r="201" spans="2:5" ht="20.100000000000001">
      <c r="B201" s="3">
        <v>298</v>
      </c>
      <c r="C201" s="4" t="s">
        <v>274</v>
      </c>
      <c r="D201" s="3">
        <v>78</v>
      </c>
      <c r="E201" s="4"/>
    </row>
    <row r="202" spans="2:5" ht="20.100000000000001">
      <c r="B202" s="3">
        <v>299</v>
      </c>
      <c r="C202" s="4" t="s">
        <v>275</v>
      </c>
      <c r="D202" s="3">
        <v>77</v>
      </c>
      <c r="E202" s="4"/>
    </row>
    <row r="203" spans="2:5" ht="20.100000000000001">
      <c r="B203" s="3">
        <v>300</v>
      </c>
      <c r="C203" s="4" t="s">
        <v>276</v>
      </c>
      <c r="D203" s="3">
        <v>77</v>
      </c>
      <c r="E203" s="4"/>
    </row>
    <row r="204" spans="2:5" ht="20.100000000000001">
      <c r="B204" s="3">
        <v>301</v>
      </c>
      <c r="C204" s="4" t="s">
        <v>277</v>
      </c>
      <c r="D204" s="3">
        <v>77</v>
      </c>
      <c r="E204" s="4"/>
    </row>
    <row r="205" spans="2:5" ht="20.100000000000001">
      <c r="B205" s="3">
        <v>302</v>
      </c>
      <c r="C205" s="4" t="s">
        <v>278</v>
      </c>
      <c r="D205" s="3">
        <v>76</v>
      </c>
      <c r="E205" s="3"/>
    </row>
    <row r="206" spans="2:5" ht="20.100000000000001">
      <c r="B206" s="3">
        <v>303</v>
      </c>
      <c r="C206" s="4" t="s">
        <v>279</v>
      </c>
      <c r="D206" s="3">
        <v>76</v>
      </c>
      <c r="E206" s="4"/>
    </row>
    <row r="207" spans="2:5" ht="20.100000000000001">
      <c r="B207" s="3">
        <v>304</v>
      </c>
      <c r="C207" s="4" t="s">
        <v>280</v>
      </c>
      <c r="D207" s="3">
        <v>76</v>
      </c>
      <c r="E207" s="4"/>
    </row>
    <row r="208" spans="2:5" ht="20.100000000000001">
      <c r="B208" s="3">
        <v>305</v>
      </c>
      <c r="C208" s="4" t="s">
        <v>281</v>
      </c>
      <c r="D208" s="3">
        <v>76</v>
      </c>
      <c r="E208" s="4"/>
    </row>
    <row r="209" spans="2:5" ht="20.100000000000001">
      <c r="B209" s="3">
        <v>306</v>
      </c>
      <c r="C209" s="4" t="s">
        <v>282</v>
      </c>
      <c r="D209" s="3">
        <v>75</v>
      </c>
      <c r="E209" s="4"/>
    </row>
    <row r="210" spans="2:5" ht="20.100000000000001">
      <c r="B210" s="3">
        <v>307</v>
      </c>
      <c r="C210" s="4" t="s">
        <v>283</v>
      </c>
      <c r="D210" s="3">
        <v>75</v>
      </c>
      <c r="E210" s="4"/>
    </row>
    <row r="211" spans="2:5" ht="20.100000000000001">
      <c r="B211" s="3">
        <v>308</v>
      </c>
      <c r="C211" s="4" t="s">
        <v>284</v>
      </c>
      <c r="D211" s="3">
        <v>75</v>
      </c>
      <c r="E211" s="4"/>
    </row>
    <row r="212" spans="2:5" ht="20.100000000000001">
      <c r="B212" s="3">
        <v>309</v>
      </c>
      <c r="C212" s="4" t="s">
        <v>285</v>
      </c>
      <c r="D212" s="3">
        <v>74</v>
      </c>
      <c r="E212" s="4"/>
    </row>
    <row r="213" spans="2:5" ht="20.100000000000001">
      <c r="B213" s="3">
        <v>310</v>
      </c>
      <c r="C213" s="4" t="s">
        <v>286</v>
      </c>
      <c r="D213" s="3">
        <v>73</v>
      </c>
      <c r="E213" s="4"/>
    </row>
    <row r="214" spans="2:5" ht="20.100000000000001">
      <c r="B214" s="3">
        <v>311</v>
      </c>
      <c r="C214" s="4" t="s">
        <v>287</v>
      </c>
      <c r="D214" s="3">
        <v>72</v>
      </c>
      <c r="E214" s="4"/>
    </row>
    <row r="215" spans="2:5" ht="20.100000000000001">
      <c r="B215" s="3">
        <v>312</v>
      </c>
      <c r="C215" s="4" t="s">
        <v>288</v>
      </c>
      <c r="D215" s="3">
        <v>72</v>
      </c>
      <c r="E215" s="4"/>
    </row>
    <row r="216" spans="2:5" ht="20.100000000000001">
      <c r="B216" s="3">
        <v>313</v>
      </c>
      <c r="C216" s="4" t="s">
        <v>289</v>
      </c>
      <c r="D216" s="3">
        <v>72</v>
      </c>
      <c r="E216" s="4"/>
    </row>
    <row r="217" spans="2:5" ht="20.100000000000001">
      <c r="B217" s="3">
        <v>314</v>
      </c>
      <c r="C217" s="4" t="s">
        <v>290</v>
      </c>
      <c r="D217" s="3">
        <v>72</v>
      </c>
      <c r="E217" s="4"/>
    </row>
    <row r="218" spans="2:5" ht="20.100000000000001">
      <c r="B218" s="3">
        <v>315</v>
      </c>
      <c r="C218" s="4" t="s">
        <v>291</v>
      </c>
      <c r="D218" s="3">
        <v>72</v>
      </c>
      <c r="E218" s="4"/>
    </row>
    <row r="219" spans="2:5" ht="20.100000000000001">
      <c r="B219" s="3">
        <v>316</v>
      </c>
      <c r="C219" s="4" t="s">
        <v>292</v>
      </c>
      <c r="D219" s="3">
        <v>71</v>
      </c>
      <c r="E219" s="4"/>
    </row>
    <row r="220" spans="2:5" ht="20.100000000000001">
      <c r="B220" s="3">
        <v>317</v>
      </c>
      <c r="C220" s="4" t="s">
        <v>293</v>
      </c>
      <c r="D220" s="3">
        <v>71</v>
      </c>
      <c r="E220" s="4"/>
    </row>
    <row r="221" spans="2:5" ht="20.100000000000001">
      <c r="B221" s="3">
        <v>318</v>
      </c>
      <c r="C221" s="4" t="s">
        <v>294</v>
      </c>
      <c r="D221" s="3">
        <v>71</v>
      </c>
      <c r="E221" s="4"/>
    </row>
    <row r="222" spans="2:5" ht="20.100000000000001">
      <c r="B222" s="3">
        <v>319</v>
      </c>
      <c r="C222" s="4" t="s">
        <v>295</v>
      </c>
      <c r="D222" s="3">
        <v>71</v>
      </c>
      <c r="E222" s="4"/>
    </row>
    <row r="223" spans="2:5" ht="20.100000000000001">
      <c r="B223" s="3">
        <v>320</v>
      </c>
      <c r="C223" s="4" t="s">
        <v>296</v>
      </c>
      <c r="D223" s="3">
        <v>70</v>
      </c>
      <c r="E223" s="4"/>
    </row>
    <row r="224" spans="2:5" ht="20.100000000000001">
      <c r="B224" s="3">
        <v>321</v>
      </c>
      <c r="C224" s="4" t="s">
        <v>297</v>
      </c>
      <c r="D224" s="3">
        <v>70</v>
      </c>
      <c r="E224" s="4"/>
    </row>
    <row r="225" spans="2:5" ht="20.100000000000001">
      <c r="B225" s="3">
        <v>322</v>
      </c>
      <c r="C225" s="4" t="s">
        <v>298</v>
      </c>
      <c r="D225" s="3">
        <v>70</v>
      </c>
      <c r="E225" s="4"/>
    </row>
    <row r="226" spans="2:5" ht="20.100000000000001">
      <c r="B226" s="3">
        <v>323</v>
      </c>
      <c r="C226" s="4" t="s">
        <v>299</v>
      </c>
      <c r="D226" s="3">
        <v>70</v>
      </c>
      <c r="E226" s="4"/>
    </row>
    <row r="227" spans="2:5" ht="20.100000000000001">
      <c r="B227" s="3">
        <v>324</v>
      </c>
      <c r="C227" s="4" t="s">
        <v>300</v>
      </c>
      <c r="D227" s="3">
        <v>69</v>
      </c>
      <c r="E227" s="4"/>
    </row>
    <row r="228" spans="2:5" ht="20.100000000000001">
      <c r="B228" s="3">
        <v>325</v>
      </c>
      <c r="C228" s="4" t="s">
        <v>301</v>
      </c>
      <c r="D228" s="3">
        <v>69</v>
      </c>
      <c r="E228" s="3"/>
    </row>
    <row r="229" spans="2:5" ht="20.100000000000001">
      <c r="B229" s="3">
        <v>326</v>
      </c>
      <c r="C229" s="4" t="s">
        <v>302</v>
      </c>
      <c r="D229" s="3">
        <v>69</v>
      </c>
      <c r="E229" s="3"/>
    </row>
    <row r="230" spans="2:5" ht="20.100000000000001">
      <c r="B230" s="3">
        <v>327</v>
      </c>
      <c r="C230" s="4" t="s">
        <v>303</v>
      </c>
      <c r="D230" s="3">
        <v>68</v>
      </c>
      <c r="E230" s="4"/>
    </row>
    <row r="231" spans="2:5" ht="20.100000000000001">
      <c r="B231" s="3">
        <v>328</v>
      </c>
      <c r="C231" s="4" t="s">
        <v>304</v>
      </c>
      <c r="D231" s="3">
        <v>68</v>
      </c>
      <c r="E231" s="3"/>
    </row>
    <row r="232" spans="2:5" ht="20.100000000000001">
      <c r="B232" s="3">
        <v>329</v>
      </c>
      <c r="C232" s="4" t="s">
        <v>305</v>
      </c>
      <c r="D232" s="3">
        <v>68</v>
      </c>
      <c r="E232" s="4"/>
    </row>
    <row r="233" spans="2:5" ht="20.100000000000001">
      <c r="B233" s="3">
        <v>330</v>
      </c>
      <c r="C233" s="4" t="s">
        <v>306</v>
      </c>
      <c r="D233" s="3">
        <v>67</v>
      </c>
      <c r="E233" s="4"/>
    </row>
    <row r="234" spans="2:5" ht="20.100000000000001">
      <c r="B234" s="3">
        <v>331</v>
      </c>
      <c r="C234" s="4" t="s">
        <v>307</v>
      </c>
      <c r="D234" s="3">
        <v>67</v>
      </c>
      <c r="E234" s="4"/>
    </row>
    <row r="235" spans="2:5" ht="20.100000000000001">
      <c r="B235" s="3">
        <v>332</v>
      </c>
      <c r="C235" s="4" t="s">
        <v>308</v>
      </c>
      <c r="D235" s="3">
        <v>67</v>
      </c>
      <c r="E235" s="4"/>
    </row>
    <row r="236" spans="2:5" ht="20.100000000000001">
      <c r="B236" s="3">
        <v>333</v>
      </c>
      <c r="C236" s="4" t="s">
        <v>309</v>
      </c>
      <c r="D236" s="3">
        <v>67</v>
      </c>
      <c r="E236" s="4"/>
    </row>
    <row r="237" spans="2:5" ht="20.100000000000001">
      <c r="B237" s="3">
        <v>334</v>
      </c>
      <c r="C237" s="4" t="s">
        <v>310</v>
      </c>
      <c r="D237" s="3">
        <v>67</v>
      </c>
      <c r="E237" s="4"/>
    </row>
    <row r="238" spans="2:5" ht="20.100000000000001">
      <c r="B238" s="3">
        <v>335</v>
      </c>
      <c r="C238" s="4">
        <v>1</v>
      </c>
      <c r="D238" s="3">
        <v>66</v>
      </c>
      <c r="E238" s="4"/>
    </row>
    <row r="239" spans="2:5" ht="20.100000000000001">
      <c r="B239" s="3">
        <v>336</v>
      </c>
      <c r="C239" s="4" t="s">
        <v>311</v>
      </c>
      <c r="D239" s="3">
        <v>66</v>
      </c>
      <c r="E239" s="4"/>
    </row>
    <row r="240" spans="2:5" ht="20.100000000000001">
      <c r="B240" s="3">
        <v>337</v>
      </c>
      <c r="C240" s="4" t="s">
        <v>312</v>
      </c>
      <c r="D240" s="3">
        <v>66</v>
      </c>
      <c r="E240" s="4"/>
    </row>
    <row r="241" spans="2:5" ht="20.100000000000001">
      <c r="B241" s="3">
        <v>338</v>
      </c>
      <c r="C241" s="4" t="s">
        <v>313</v>
      </c>
      <c r="D241" s="3">
        <v>66</v>
      </c>
      <c r="E241" s="4"/>
    </row>
    <row r="242" spans="2:5" ht="20.100000000000001">
      <c r="B242" s="3">
        <v>339</v>
      </c>
      <c r="C242" s="4">
        <v>2</v>
      </c>
      <c r="D242" s="3">
        <v>65</v>
      </c>
      <c r="E242" s="4"/>
    </row>
    <row r="243" spans="2:5" ht="20.100000000000001">
      <c r="B243" s="3">
        <v>340</v>
      </c>
      <c r="C243" s="4" t="s">
        <v>314</v>
      </c>
      <c r="D243" s="3">
        <v>65</v>
      </c>
      <c r="E243" s="4"/>
    </row>
    <row r="244" spans="2:5" ht="20.100000000000001">
      <c r="B244" s="3">
        <v>341</v>
      </c>
      <c r="C244" s="4" t="s">
        <v>315</v>
      </c>
      <c r="D244" s="3">
        <v>65</v>
      </c>
      <c r="E244" s="4"/>
    </row>
    <row r="245" spans="2:5" ht="20.100000000000001">
      <c r="B245" s="3">
        <v>342</v>
      </c>
      <c r="C245" s="4" t="s">
        <v>316</v>
      </c>
      <c r="D245" s="3">
        <v>65</v>
      </c>
      <c r="E245" s="4"/>
    </row>
    <row r="246" spans="2:5" ht="20.100000000000001">
      <c r="B246" s="3">
        <v>343</v>
      </c>
      <c r="C246" s="4" t="s">
        <v>317</v>
      </c>
      <c r="D246" s="3">
        <v>65</v>
      </c>
      <c r="E246" s="4"/>
    </row>
    <row r="247" spans="2:5" ht="20.100000000000001">
      <c r="B247" s="3">
        <v>344</v>
      </c>
      <c r="C247" s="4" t="s">
        <v>318</v>
      </c>
      <c r="D247" s="3">
        <v>65</v>
      </c>
      <c r="E247" s="4"/>
    </row>
    <row r="248" spans="2:5" ht="20.100000000000001">
      <c r="B248" s="3">
        <v>345</v>
      </c>
      <c r="C248" s="4" t="s">
        <v>319</v>
      </c>
      <c r="D248" s="3">
        <v>65</v>
      </c>
      <c r="E248" s="4"/>
    </row>
    <row r="249" spans="2:5" ht="20.100000000000001">
      <c r="B249" s="3">
        <v>346</v>
      </c>
      <c r="C249" s="4" t="s">
        <v>320</v>
      </c>
      <c r="D249" s="3">
        <v>65</v>
      </c>
      <c r="E249" s="4"/>
    </row>
    <row r="250" spans="2:5" ht="20.100000000000001">
      <c r="B250" s="3">
        <v>347</v>
      </c>
      <c r="C250" s="4" t="s">
        <v>321</v>
      </c>
      <c r="D250" s="3">
        <v>64</v>
      </c>
      <c r="E250" s="4"/>
    </row>
    <row r="251" spans="2:5" ht="20.100000000000001">
      <c r="B251" s="3">
        <v>348</v>
      </c>
      <c r="C251" s="4" t="s">
        <v>322</v>
      </c>
      <c r="D251" s="3">
        <v>64</v>
      </c>
      <c r="E251" s="4"/>
    </row>
    <row r="252" spans="2:5" ht="20.100000000000001">
      <c r="B252" s="3">
        <v>349</v>
      </c>
      <c r="C252" s="4" t="s">
        <v>323</v>
      </c>
      <c r="D252" s="3">
        <v>64</v>
      </c>
      <c r="E252" s="4"/>
    </row>
    <row r="253" spans="2:5" ht="20.100000000000001">
      <c r="B253" s="3">
        <v>350</v>
      </c>
      <c r="C253" s="4" t="s">
        <v>324</v>
      </c>
      <c r="D253" s="3">
        <v>64</v>
      </c>
      <c r="E253" s="4"/>
    </row>
    <row r="254" spans="2:5" ht="20.100000000000001">
      <c r="B254" s="3">
        <v>351</v>
      </c>
      <c r="C254" s="4" t="s">
        <v>325</v>
      </c>
      <c r="D254" s="3">
        <v>64</v>
      </c>
      <c r="E254" s="4"/>
    </row>
    <row r="255" spans="2:5" ht="20.100000000000001">
      <c r="B255" s="3">
        <v>352</v>
      </c>
      <c r="C255" s="4" t="s">
        <v>326</v>
      </c>
      <c r="D255" s="3">
        <v>63</v>
      </c>
      <c r="E255" s="4"/>
    </row>
    <row r="256" spans="2:5" ht="20.100000000000001">
      <c r="B256" s="3">
        <v>353</v>
      </c>
      <c r="C256" s="4" t="s">
        <v>327</v>
      </c>
      <c r="D256" s="3">
        <v>62</v>
      </c>
      <c r="E256" s="3"/>
    </row>
    <row r="257" spans="2:5" ht="20.100000000000001">
      <c r="B257" s="3">
        <v>354</v>
      </c>
      <c r="C257" s="4" t="s">
        <v>328</v>
      </c>
      <c r="D257" s="3">
        <v>62</v>
      </c>
      <c r="E257" s="4"/>
    </row>
    <row r="258" spans="2:5" ht="20.100000000000001">
      <c r="B258" s="3">
        <v>355</v>
      </c>
      <c r="C258" s="4" t="s">
        <v>329</v>
      </c>
      <c r="D258" s="3">
        <v>62</v>
      </c>
      <c r="E258" s="4"/>
    </row>
    <row r="259" spans="2:5" ht="20.100000000000001">
      <c r="B259" s="3">
        <v>356</v>
      </c>
      <c r="C259" s="4" t="s">
        <v>330</v>
      </c>
      <c r="D259" s="3">
        <v>62</v>
      </c>
      <c r="E259" s="4"/>
    </row>
    <row r="260" spans="2:5" ht="20.100000000000001">
      <c r="B260" s="3">
        <v>357</v>
      </c>
      <c r="C260" s="4" t="s">
        <v>331</v>
      </c>
      <c r="D260" s="3">
        <v>62</v>
      </c>
      <c r="E260" s="4"/>
    </row>
    <row r="261" spans="2:5" ht="20.100000000000001">
      <c r="B261" s="3">
        <v>358</v>
      </c>
      <c r="C261" s="4" t="s">
        <v>332</v>
      </c>
      <c r="D261" s="3">
        <v>62</v>
      </c>
      <c r="E261" s="4"/>
    </row>
    <row r="262" spans="2:5" ht="20.100000000000001">
      <c r="B262" s="3">
        <v>359</v>
      </c>
      <c r="C262" s="4" t="s">
        <v>333</v>
      </c>
      <c r="D262" s="3">
        <v>62</v>
      </c>
      <c r="E262" s="4"/>
    </row>
    <row r="263" spans="2:5" ht="20.100000000000001">
      <c r="B263" s="3">
        <v>360</v>
      </c>
      <c r="C263" s="4" t="s">
        <v>334</v>
      </c>
      <c r="D263" s="3">
        <v>61</v>
      </c>
      <c r="E263" s="4"/>
    </row>
    <row r="264" spans="2:5" ht="20.100000000000001">
      <c r="B264" s="3">
        <v>361</v>
      </c>
      <c r="C264" s="4" t="s">
        <v>335</v>
      </c>
      <c r="D264" s="3">
        <v>61</v>
      </c>
      <c r="E264" s="4"/>
    </row>
    <row r="265" spans="2:5" ht="20.100000000000001">
      <c r="B265" s="3">
        <v>362</v>
      </c>
      <c r="C265" s="4" t="s">
        <v>336</v>
      </c>
      <c r="D265" s="3">
        <v>61</v>
      </c>
      <c r="E265" s="4"/>
    </row>
    <row r="266" spans="2:5" ht="20.100000000000001">
      <c r="B266" s="3">
        <v>363</v>
      </c>
      <c r="C266" s="4" t="s">
        <v>337</v>
      </c>
      <c r="D266" s="3">
        <v>61</v>
      </c>
      <c r="E266" s="4"/>
    </row>
    <row r="267" spans="2:5" ht="20.100000000000001">
      <c r="B267" s="3">
        <v>364</v>
      </c>
      <c r="C267" s="4">
        <v>3</v>
      </c>
      <c r="D267" s="3">
        <v>60</v>
      </c>
      <c r="E267" s="4"/>
    </row>
    <row r="268" spans="2:5" ht="20.100000000000001">
      <c r="B268" s="3">
        <v>365</v>
      </c>
      <c r="C268" s="4" t="s">
        <v>338</v>
      </c>
      <c r="D268" s="3">
        <v>60</v>
      </c>
      <c r="E268" s="3"/>
    </row>
    <row r="269" spans="2:5" ht="20.100000000000001">
      <c r="B269" s="3">
        <v>366</v>
      </c>
      <c r="C269" s="4" t="s">
        <v>339</v>
      </c>
      <c r="D269" s="3">
        <v>60</v>
      </c>
      <c r="E269" s="4"/>
    </row>
    <row r="270" spans="2:5" ht="20.100000000000001">
      <c r="B270" s="3">
        <v>367</v>
      </c>
      <c r="C270" s="4" t="s">
        <v>340</v>
      </c>
      <c r="D270" s="3">
        <v>60</v>
      </c>
      <c r="E270" s="4"/>
    </row>
    <row r="271" spans="2:5" ht="20.100000000000001">
      <c r="B271" s="3">
        <v>368</v>
      </c>
      <c r="C271" s="4" t="s">
        <v>341</v>
      </c>
      <c r="D271" s="3">
        <v>60</v>
      </c>
      <c r="E271" s="4"/>
    </row>
    <row r="272" spans="2:5" ht="20.100000000000001">
      <c r="B272" s="3">
        <v>369</v>
      </c>
      <c r="C272" s="4" t="s">
        <v>342</v>
      </c>
      <c r="D272" s="3">
        <v>60</v>
      </c>
      <c r="E272" s="4"/>
    </row>
    <row r="273" spans="2:5" ht="20.100000000000001">
      <c r="B273" s="3">
        <v>370</v>
      </c>
      <c r="C273" s="4" t="s">
        <v>343</v>
      </c>
      <c r="D273" s="3">
        <v>60</v>
      </c>
      <c r="E273" s="4"/>
    </row>
    <row r="274" spans="2:5" ht="20.100000000000001">
      <c r="B274" s="3">
        <v>371</v>
      </c>
      <c r="C274" s="4" t="s">
        <v>344</v>
      </c>
      <c r="D274" s="3">
        <v>59</v>
      </c>
      <c r="E274" s="4"/>
    </row>
    <row r="275" spans="2:5" ht="20.100000000000001">
      <c r="B275" s="3">
        <v>372</v>
      </c>
      <c r="C275" s="4" t="s">
        <v>345</v>
      </c>
      <c r="D275" s="3">
        <v>59</v>
      </c>
      <c r="E275" s="4"/>
    </row>
    <row r="276" spans="2:5" ht="20.100000000000001">
      <c r="B276" s="3">
        <v>373</v>
      </c>
      <c r="C276" s="4" t="s">
        <v>346</v>
      </c>
      <c r="D276" s="3">
        <v>58</v>
      </c>
      <c r="E276" s="4"/>
    </row>
    <row r="277" spans="2:5" ht="20.100000000000001">
      <c r="B277" s="3">
        <v>374</v>
      </c>
      <c r="C277" s="4" t="s">
        <v>347</v>
      </c>
      <c r="D277" s="3">
        <v>58</v>
      </c>
      <c r="E277" s="3"/>
    </row>
    <row r="278" spans="2:5" ht="20.100000000000001">
      <c r="B278" s="3">
        <v>375</v>
      </c>
      <c r="C278" s="4" t="s">
        <v>348</v>
      </c>
      <c r="D278" s="3">
        <v>58</v>
      </c>
      <c r="E278" s="4"/>
    </row>
    <row r="279" spans="2:5" ht="20.100000000000001">
      <c r="B279" s="3">
        <v>376</v>
      </c>
      <c r="C279" s="4" t="s">
        <v>349</v>
      </c>
      <c r="D279" s="3">
        <v>58</v>
      </c>
      <c r="E279" s="4"/>
    </row>
    <row r="280" spans="2:5" ht="20.100000000000001">
      <c r="B280" s="3">
        <v>377</v>
      </c>
      <c r="C280" s="4" t="s">
        <v>350</v>
      </c>
      <c r="D280" s="3">
        <v>58</v>
      </c>
      <c r="E280" s="4"/>
    </row>
    <row r="281" spans="2:5" ht="20.100000000000001">
      <c r="B281" s="3">
        <v>378</v>
      </c>
      <c r="C281" s="4" t="s">
        <v>351</v>
      </c>
      <c r="D281" s="3">
        <v>58</v>
      </c>
      <c r="E281" s="4"/>
    </row>
    <row r="282" spans="2:5" ht="20.100000000000001">
      <c r="B282" s="3">
        <v>379</v>
      </c>
      <c r="C282" s="4" t="s">
        <v>352</v>
      </c>
      <c r="D282" s="3">
        <v>57</v>
      </c>
      <c r="E282" s="4"/>
    </row>
    <row r="283" spans="2:5" ht="20.100000000000001">
      <c r="B283" s="3">
        <v>380</v>
      </c>
      <c r="C283" s="4" t="s">
        <v>353</v>
      </c>
      <c r="D283" s="3">
        <v>57</v>
      </c>
      <c r="E283" s="4"/>
    </row>
    <row r="284" spans="2:5" ht="20.100000000000001">
      <c r="B284" s="3">
        <v>381</v>
      </c>
      <c r="C284" s="4" t="s">
        <v>354</v>
      </c>
      <c r="D284" s="3">
        <v>57</v>
      </c>
      <c r="E284" s="4"/>
    </row>
    <row r="285" spans="2:5" ht="20.100000000000001">
      <c r="B285" s="3">
        <v>382</v>
      </c>
      <c r="C285" s="4" t="s">
        <v>355</v>
      </c>
      <c r="D285" s="3">
        <v>57</v>
      </c>
      <c r="E285" s="4"/>
    </row>
    <row r="286" spans="2:5" ht="20.100000000000001">
      <c r="B286" s="3">
        <v>383</v>
      </c>
      <c r="C286" s="4" t="s">
        <v>356</v>
      </c>
      <c r="D286" s="3">
        <v>57</v>
      </c>
      <c r="E286" s="4"/>
    </row>
    <row r="287" spans="2:5" ht="20.100000000000001">
      <c r="B287" s="3">
        <v>384</v>
      </c>
      <c r="C287" s="4" t="s">
        <v>357</v>
      </c>
      <c r="D287" s="3">
        <v>56</v>
      </c>
      <c r="E287" s="4"/>
    </row>
    <row r="288" spans="2:5" ht="20.100000000000001">
      <c r="B288" s="3">
        <v>385</v>
      </c>
      <c r="C288" s="4" t="s">
        <v>358</v>
      </c>
      <c r="D288" s="3">
        <v>56</v>
      </c>
      <c r="E288" s="4"/>
    </row>
    <row r="289" spans="2:5" ht="20.100000000000001">
      <c r="B289" s="3">
        <v>386</v>
      </c>
      <c r="C289" s="4" t="s">
        <v>359</v>
      </c>
      <c r="D289" s="3">
        <v>56</v>
      </c>
      <c r="E289" s="3"/>
    </row>
    <row r="290" spans="2:5" ht="20.100000000000001">
      <c r="B290" s="3">
        <v>387</v>
      </c>
      <c r="C290" s="4" t="s">
        <v>360</v>
      </c>
      <c r="D290" s="3">
        <v>56</v>
      </c>
      <c r="E290" s="4"/>
    </row>
    <row r="291" spans="2:5" ht="20.100000000000001">
      <c r="B291" s="3">
        <v>388</v>
      </c>
      <c r="C291" s="4" t="s">
        <v>361</v>
      </c>
      <c r="D291" s="3">
        <v>56</v>
      </c>
      <c r="E291" s="4"/>
    </row>
    <row r="292" spans="2:5" ht="20.100000000000001">
      <c r="B292" s="3">
        <v>389</v>
      </c>
      <c r="C292" s="4" t="s">
        <v>362</v>
      </c>
      <c r="D292" s="3">
        <v>56</v>
      </c>
      <c r="E292" s="4"/>
    </row>
    <row r="293" spans="2:5" ht="20.100000000000001">
      <c r="B293" s="3">
        <v>390</v>
      </c>
      <c r="C293" s="4" t="s">
        <v>363</v>
      </c>
      <c r="D293" s="3">
        <v>56</v>
      </c>
      <c r="E293" s="3"/>
    </row>
    <row r="294" spans="2:5" ht="20.100000000000001">
      <c r="B294" s="3">
        <v>391</v>
      </c>
      <c r="C294" s="4" t="s">
        <v>364</v>
      </c>
      <c r="D294" s="3">
        <v>56</v>
      </c>
      <c r="E294" s="4"/>
    </row>
    <row r="295" spans="2:5" ht="20.100000000000001">
      <c r="B295" s="3">
        <v>392</v>
      </c>
      <c r="C295" s="4" t="s">
        <v>365</v>
      </c>
      <c r="D295" s="3">
        <v>56</v>
      </c>
      <c r="E295" s="4"/>
    </row>
    <row r="296" spans="2:5" ht="20.100000000000001">
      <c r="B296" s="3">
        <v>393</v>
      </c>
      <c r="C296" s="4" t="s">
        <v>366</v>
      </c>
      <c r="D296" s="3">
        <v>56</v>
      </c>
      <c r="E296" s="4"/>
    </row>
    <row r="297" spans="2:5" ht="20.100000000000001">
      <c r="B297" s="3">
        <v>394</v>
      </c>
      <c r="C297" s="4" t="s">
        <v>367</v>
      </c>
      <c r="D297" s="3">
        <v>56</v>
      </c>
      <c r="E297" s="4"/>
    </row>
    <row r="298" spans="2:5" ht="20.100000000000001">
      <c r="B298" s="3">
        <v>395</v>
      </c>
      <c r="C298" s="4">
        <v>15</v>
      </c>
      <c r="D298" s="3">
        <v>55</v>
      </c>
      <c r="E298" s="4"/>
    </row>
    <row r="299" spans="2:5" ht="20.100000000000001">
      <c r="B299" s="3">
        <v>396</v>
      </c>
      <c r="C299" s="4">
        <v>2009</v>
      </c>
      <c r="D299" s="3">
        <v>55</v>
      </c>
      <c r="E299" s="4"/>
    </row>
    <row r="300" spans="2:5" ht="20.100000000000001">
      <c r="B300" s="3">
        <v>397</v>
      </c>
      <c r="C300" s="4">
        <v>4</v>
      </c>
      <c r="D300" s="3">
        <v>55</v>
      </c>
      <c r="E300" s="4"/>
    </row>
    <row r="301" spans="2:5" ht="20.100000000000001">
      <c r="B301" s="3">
        <v>398</v>
      </c>
      <c r="C301" s="4" t="s">
        <v>368</v>
      </c>
      <c r="D301" s="3">
        <v>55</v>
      </c>
      <c r="E301" s="4"/>
    </row>
    <row r="302" spans="2:5" ht="20.100000000000001">
      <c r="B302" s="3">
        <v>399</v>
      </c>
      <c r="C302" s="4" t="s">
        <v>369</v>
      </c>
      <c r="D302" s="3">
        <v>55</v>
      </c>
      <c r="E302" s="4"/>
    </row>
    <row r="303" spans="2:5" ht="20.100000000000001">
      <c r="B303" s="3">
        <v>400</v>
      </c>
      <c r="C303" s="4" t="s">
        <v>370</v>
      </c>
      <c r="D303" s="3">
        <v>55</v>
      </c>
      <c r="E303" s="3"/>
    </row>
    <row r="304" spans="2:5" ht="20.100000000000001">
      <c r="B304" s="3">
        <v>401</v>
      </c>
      <c r="C304" s="4" t="s">
        <v>371</v>
      </c>
      <c r="D304" s="3">
        <v>55</v>
      </c>
      <c r="E304" s="3"/>
    </row>
    <row r="305" spans="2:5" ht="20.100000000000001">
      <c r="B305" s="3">
        <v>402</v>
      </c>
      <c r="C305" s="4" t="s">
        <v>372</v>
      </c>
      <c r="D305" s="3">
        <v>55</v>
      </c>
      <c r="E305" s="4"/>
    </row>
    <row r="306" spans="2:5" ht="20.100000000000001">
      <c r="B306" s="3">
        <v>403</v>
      </c>
      <c r="C306" s="4" t="s">
        <v>373</v>
      </c>
      <c r="D306" s="3">
        <v>55</v>
      </c>
      <c r="E306" s="4"/>
    </row>
    <row r="307" spans="2:5" ht="20.100000000000001">
      <c r="B307" s="3">
        <v>404</v>
      </c>
      <c r="C307" s="4" t="s">
        <v>374</v>
      </c>
      <c r="D307" s="3">
        <v>55</v>
      </c>
      <c r="E307" s="4"/>
    </row>
    <row r="308" spans="2:5" ht="20.100000000000001">
      <c r="B308" s="3">
        <v>405</v>
      </c>
      <c r="C308" s="4" t="s">
        <v>375</v>
      </c>
      <c r="D308" s="3">
        <v>55</v>
      </c>
      <c r="E308" s="4"/>
    </row>
    <row r="309" spans="2:5" ht="20.100000000000001">
      <c r="B309" s="3">
        <v>406</v>
      </c>
      <c r="C309" s="4">
        <v>8</v>
      </c>
      <c r="D309" s="3">
        <v>54</v>
      </c>
      <c r="E309" s="4"/>
    </row>
    <row r="310" spans="2:5" ht="20.100000000000001">
      <c r="B310" s="3">
        <v>407</v>
      </c>
      <c r="C310" s="4" t="s">
        <v>376</v>
      </c>
      <c r="D310" s="3">
        <v>54</v>
      </c>
      <c r="E310" s="4"/>
    </row>
    <row r="311" spans="2:5" ht="20.100000000000001">
      <c r="B311" s="3">
        <v>408</v>
      </c>
      <c r="C311" s="4" t="s">
        <v>377</v>
      </c>
      <c r="D311" s="3">
        <v>54</v>
      </c>
      <c r="E311" s="3"/>
    </row>
    <row r="312" spans="2:5" ht="20.100000000000001">
      <c r="B312" s="3">
        <v>409</v>
      </c>
      <c r="C312" s="4" t="s">
        <v>378</v>
      </c>
      <c r="D312" s="3">
        <v>54</v>
      </c>
      <c r="E312" s="3"/>
    </row>
    <row r="313" spans="2:5" ht="20.100000000000001">
      <c r="B313" s="3">
        <v>410</v>
      </c>
      <c r="C313" s="4" t="s">
        <v>379</v>
      </c>
      <c r="D313" s="3">
        <v>54</v>
      </c>
      <c r="E313" s="3"/>
    </row>
    <row r="314" spans="2:5" ht="20.100000000000001">
      <c r="B314" s="3">
        <v>411</v>
      </c>
      <c r="C314" s="4" t="s">
        <v>380</v>
      </c>
      <c r="D314" s="3">
        <v>54</v>
      </c>
      <c r="E314" s="4"/>
    </row>
    <row r="315" spans="2:5" ht="20.100000000000001">
      <c r="B315" s="3">
        <v>412</v>
      </c>
      <c r="C315" s="4" t="s">
        <v>381</v>
      </c>
      <c r="D315" s="3">
        <v>53</v>
      </c>
      <c r="E315" s="4"/>
    </row>
    <row r="316" spans="2:5" ht="20.100000000000001">
      <c r="B316" s="3">
        <v>413</v>
      </c>
      <c r="C316" s="4" t="s">
        <v>382</v>
      </c>
      <c r="D316" s="3">
        <v>53</v>
      </c>
      <c r="E316" s="4"/>
    </row>
    <row r="317" spans="2:5" ht="20.100000000000001">
      <c r="B317" s="3">
        <v>414</v>
      </c>
      <c r="C317" s="4" t="s">
        <v>383</v>
      </c>
      <c r="D317" s="3">
        <v>53</v>
      </c>
      <c r="E317" s="4"/>
    </row>
    <row r="318" spans="2:5" ht="20.100000000000001">
      <c r="B318" s="3">
        <v>415</v>
      </c>
      <c r="C318" s="4" t="s">
        <v>384</v>
      </c>
      <c r="D318" s="3">
        <v>52</v>
      </c>
      <c r="E318" s="4"/>
    </row>
    <row r="319" spans="2:5" ht="20.100000000000001">
      <c r="B319" s="3">
        <v>416</v>
      </c>
      <c r="C319" s="4" t="s">
        <v>385</v>
      </c>
      <c r="D319" s="3">
        <v>52</v>
      </c>
      <c r="E319" s="4"/>
    </row>
    <row r="320" spans="2:5" ht="20.100000000000001">
      <c r="B320" s="3">
        <v>417</v>
      </c>
      <c r="C320" s="4" t="s">
        <v>386</v>
      </c>
      <c r="D320" s="3">
        <v>52</v>
      </c>
      <c r="E320" s="4"/>
    </row>
    <row r="321" spans="2:5" ht="20.100000000000001">
      <c r="B321" s="3">
        <v>418</v>
      </c>
      <c r="C321" s="4" t="s">
        <v>387</v>
      </c>
      <c r="D321" s="3">
        <v>51</v>
      </c>
      <c r="E321" s="4"/>
    </row>
    <row r="322" spans="2:5" ht="20.100000000000001">
      <c r="B322" s="3">
        <v>419</v>
      </c>
      <c r="C322" s="4" t="s">
        <v>388</v>
      </c>
      <c r="D322" s="3">
        <v>51</v>
      </c>
      <c r="E322" s="4"/>
    </row>
    <row r="323" spans="2:5" ht="20.100000000000001">
      <c r="B323" s="3">
        <v>420</v>
      </c>
      <c r="C323" s="4" t="s">
        <v>389</v>
      </c>
      <c r="D323" s="3">
        <v>51</v>
      </c>
      <c r="E323" s="4"/>
    </row>
    <row r="324" spans="2:5" ht="20.100000000000001">
      <c r="B324" s="3">
        <v>421</v>
      </c>
      <c r="C324" s="4" t="s">
        <v>390</v>
      </c>
      <c r="D324" s="3">
        <v>51</v>
      </c>
      <c r="E324" s="4"/>
    </row>
    <row r="325" spans="2:5" ht="20.100000000000001">
      <c r="B325" s="3">
        <v>422</v>
      </c>
      <c r="C325" s="4" t="s">
        <v>391</v>
      </c>
      <c r="D325" s="3">
        <v>51</v>
      </c>
      <c r="E325" s="4"/>
    </row>
    <row r="326" spans="2:5" ht="20.100000000000001">
      <c r="B326" s="3">
        <v>423</v>
      </c>
      <c r="C326" s="4" t="s">
        <v>392</v>
      </c>
      <c r="D326" s="3">
        <v>51</v>
      </c>
      <c r="E326" s="4"/>
    </row>
    <row r="327" spans="2:5" ht="20.100000000000001">
      <c r="B327" s="3">
        <v>424</v>
      </c>
      <c r="C327" s="4" t="s">
        <v>393</v>
      </c>
      <c r="D327" s="3">
        <v>51</v>
      </c>
      <c r="E327" s="4"/>
    </row>
    <row r="328" spans="2:5" ht="20.100000000000001">
      <c r="B328" s="3">
        <v>425</v>
      </c>
      <c r="C328" s="4" t="s">
        <v>394</v>
      </c>
      <c r="D328" s="3">
        <v>51</v>
      </c>
      <c r="E328" s="4"/>
    </row>
    <row r="329" spans="2:5" ht="20.100000000000001">
      <c r="B329" s="3">
        <v>426</v>
      </c>
      <c r="C329" s="4" t="s">
        <v>395</v>
      </c>
      <c r="D329" s="3">
        <v>51</v>
      </c>
      <c r="E329" s="4"/>
    </row>
    <row r="330" spans="2:5" ht="20.100000000000001">
      <c r="B330" s="3">
        <v>427</v>
      </c>
      <c r="C330" s="4" t="s">
        <v>396</v>
      </c>
      <c r="D330" s="3">
        <v>51</v>
      </c>
      <c r="E330" s="3"/>
    </row>
    <row r="331" spans="2:5" ht="20.100000000000001">
      <c r="B331" s="3">
        <v>428</v>
      </c>
      <c r="C331" s="4" t="s">
        <v>397</v>
      </c>
      <c r="D331" s="3">
        <v>51</v>
      </c>
      <c r="E331" s="4"/>
    </row>
    <row r="332" spans="2:5" ht="20.100000000000001">
      <c r="B332" s="3">
        <v>429</v>
      </c>
      <c r="C332" s="4" t="s">
        <v>398</v>
      </c>
      <c r="D332" s="3">
        <v>51</v>
      </c>
      <c r="E332" s="4"/>
    </row>
    <row r="333" spans="2:5" ht="20.100000000000001">
      <c r="B333" s="3">
        <v>430</v>
      </c>
      <c r="C333" s="4">
        <v>2005</v>
      </c>
      <c r="D333" s="3">
        <v>50</v>
      </c>
      <c r="E333" s="4"/>
    </row>
    <row r="334" spans="2:5" ht="20.100000000000001">
      <c r="B334" s="3">
        <v>431</v>
      </c>
      <c r="C334" s="4">
        <v>5</v>
      </c>
      <c r="D334" s="3">
        <v>50</v>
      </c>
      <c r="E334" s="4"/>
    </row>
    <row r="335" spans="2:5" ht="20.100000000000001">
      <c r="B335" s="3">
        <v>432</v>
      </c>
      <c r="C335" s="4" t="s">
        <v>399</v>
      </c>
      <c r="D335" s="3">
        <v>50</v>
      </c>
      <c r="E335" s="4"/>
    </row>
    <row r="336" spans="2:5" ht="20.100000000000001">
      <c r="B336" s="3">
        <v>433</v>
      </c>
      <c r="C336" s="4" t="s">
        <v>400</v>
      </c>
      <c r="D336" s="3">
        <v>50</v>
      </c>
      <c r="E336" s="4"/>
    </row>
    <row r="337" spans="2:5" ht="20.100000000000001">
      <c r="B337" s="3">
        <v>434</v>
      </c>
      <c r="C337" s="4" t="s">
        <v>401</v>
      </c>
      <c r="D337" s="3">
        <v>50</v>
      </c>
      <c r="E337" s="4"/>
    </row>
    <row r="338" spans="2:5" ht="20.100000000000001">
      <c r="B338" s="3">
        <v>435</v>
      </c>
      <c r="C338" s="4" t="s">
        <v>402</v>
      </c>
      <c r="D338" s="3">
        <v>50</v>
      </c>
      <c r="E338" s="4"/>
    </row>
    <row r="339" spans="2:5" ht="20.100000000000001">
      <c r="B339" s="3">
        <v>436</v>
      </c>
      <c r="C339" s="4" t="s">
        <v>403</v>
      </c>
      <c r="D339" s="3">
        <v>50</v>
      </c>
      <c r="E339" s="4"/>
    </row>
    <row r="340" spans="2:5" ht="20.100000000000001">
      <c r="B340" s="3">
        <v>437</v>
      </c>
      <c r="C340" s="4" t="s">
        <v>404</v>
      </c>
      <c r="D340" s="3">
        <v>50</v>
      </c>
      <c r="E340" s="4"/>
    </row>
    <row r="341" spans="2:5" ht="20.100000000000001">
      <c r="B341" s="3">
        <v>438</v>
      </c>
      <c r="C341" s="4" t="s">
        <v>405</v>
      </c>
      <c r="D341" s="3">
        <v>50</v>
      </c>
      <c r="E341" s="4"/>
    </row>
    <row r="342" spans="2:5" ht="20.100000000000001">
      <c r="B342" s="3">
        <v>439</v>
      </c>
      <c r="C342" s="4">
        <v>30</v>
      </c>
      <c r="D342" s="3">
        <v>49</v>
      </c>
      <c r="E342" s="4"/>
    </row>
    <row r="343" spans="2:5" ht="20.100000000000001">
      <c r="B343" s="3">
        <v>440</v>
      </c>
      <c r="C343" s="4" t="s">
        <v>406</v>
      </c>
      <c r="D343" s="3">
        <v>49</v>
      </c>
      <c r="E343" s="4"/>
    </row>
    <row r="344" spans="2:5" ht="20.100000000000001">
      <c r="B344" s="3">
        <v>441</v>
      </c>
      <c r="C344" s="4" t="s">
        <v>407</v>
      </c>
      <c r="D344" s="3">
        <v>49</v>
      </c>
      <c r="E344" s="4"/>
    </row>
    <row r="345" spans="2:5" ht="20.100000000000001">
      <c r="B345" s="3">
        <v>442</v>
      </c>
      <c r="C345" s="4" t="s">
        <v>408</v>
      </c>
      <c r="D345" s="3">
        <v>49</v>
      </c>
      <c r="E345" s="4"/>
    </row>
    <row r="346" spans="2:5" ht="20.100000000000001">
      <c r="B346" s="3">
        <v>443</v>
      </c>
      <c r="C346" s="4" t="s">
        <v>409</v>
      </c>
      <c r="D346" s="3">
        <v>49</v>
      </c>
      <c r="E346" s="4"/>
    </row>
    <row r="347" spans="2:5" ht="20.100000000000001">
      <c r="B347" s="3">
        <v>444</v>
      </c>
      <c r="C347" s="4" t="s">
        <v>410</v>
      </c>
      <c r="D347" s="3">
        <v>49</v>
      </c>
      <c r="E347" s="4"/>
    </row>
    <row r="348" spans="2:5" ht="20.100000000000001">
      <c r="B348" s="3">
        <v>445</v>
      </c>
      <c r="C348" s="4">
        <v>2011</v>
      </c>
      <c r="D348" s="3">
        <v>48</v>
      </c>
      <c r="E348" s="3"/>
    </row>
    <row r="349" spans="2:5" ht="20.100000000000001">
      <c r="B349" s="3">
        <v>446</v>
      </c>
      <c r="C349" s="4" t="s">
        <v>411</v>
      </c>
      <c r="D349" s="3">
        <v>48</v>
      </c>
      <c r="E349" s="4"/>
    </row>
    <row r="350" spans="2:5" ht="20.100000000000001">
      <c r="B350" s="3">
        <v>447</v>
      </c>
      <c r="C350" s="4" t="s">
        <v>412</v>
      </c>
      <c r="D350" s="3">
        <v>48</v>
      </c>
      <c r="E350" s="4"/>
    </row>
    <row r="351" spans="2:5" ht="20.100000000000001">
      <c r="B351" s="3">
        <v>448</v>
      </c>
      <c r="C351" s="4" t="s">
        <v>413</v>
      </c>
      <c r="D351" s="3">
        <v>48</v>
      </c>
      <c r="E351" s="4"/>
    </row>
    <row r="352" spans="2:5" ht="20.100000000000001">
      <c r="B352" s="3">
        <v>449</v>
      </c>
      <c r="C352" s="4" t="s">
        <v>414</v>
      </c>
      <c r="D352" s="3">
        <v>48</v>
      </c>
      <c r="E352" s="4"/>
    </row>
    <row r="353" spans="2:5" ht="20.100000000000001">
      <c r="B353" s="3">
        <v>450</v>
      </c>
      <c r="C353" s="4" t="s">
        <v>415</v>
      </c>
      <c r="D353" s="3">
        <v>48</v>
      </c>
      <c r="E353" s="3"/>
    </row>
    <row r="354" spans="2:5" ht="20.100000000000001">
      <c r="B354" s="3">
        <v>451</v>
      </c>
      <c r="C354" s="4" t="s">
        <v>416</v>
      </c>
      <c r="D354" s="3">
        <v>48</v>
      </c>
      <c r="E354" s="4"/>
    </row>
    <row r="355" spans="2:5" ht="20.100000000000001">
      <c r="B355" s="3">
        <v>452</v>
      </c>
      <c r="C355" s="4" t="s">
        <v>417</v>
      </c>
      <c r="D355" s="3">
        <v>48</v>
      </c>
      <c r="E355" s="4"/>
    </row>
    <row r="356" spans="2:5" ht="20.100000000000001">
      <c r="B356" s="3">
        <v>453</v>
      </c>
      <c r="C356" s="4" t="s">
        <v>418</v>
      </c>
      <c r="D356" s="3">
        <v>48</v>
      </c>
      <c r="E356" s="4"/>
    </row>
    <row r="357" spans="2:5" ht="20.100000000000001">
      <c r="B357" s="3">
        <v>454</v>
      </c>
      <c r="C357" s="4" t="s">
        <v>419</v>
      </c>
      <c r="D357" s="3">
        <v>48</v>
      </c>
      <c r="E357" s="4"/>
    </row>
    <row r="358" spans="2:5" ht="20.100000000000001">
      <c r="B358" s="3">
        <v>455</v>
      </c>
      <c r="C358" s="4" t="s">
        <v>420</v>
      </c>
      <c r="D358" s="3">
        <v>48</v>
      </c>
      <c r="E358" s="4"/>
    </row>
    <row r="359" spans="2:5" ht="20.100000000000001">
      <c r="B359" s="3">
        <v>456</v>
      </c>
      <c r="C359" s="4" t="s">
        <v>421</v>
      </c>
      <c r="D359" s="3">
        <v>47</v>
      </c>
      <c r="E359" s="4"/>
    </row>
    <row r="360" spans="2:5" ht="20.100000000000001">
      <c r="B360" s="3">
        <v>457</v>
      </c>
      <c r="C360" s="4" t="s">
        <v>422</v>
      </c>
      <c r="D360" s="3">
        <v>47</v>
      </c>
      <c r="E360" s="4"/>
    </row>
    <row r="361" spans="2:5" ht="20.100000000000001">
      <c r="B361" s="3">
        <v>458</v>
      </c>
      <c r="C361" s="4" t="s">
        <v>423</v>
      </c>
      <c r="D361" s="3">
        <v>47</v>
      </c>
      <c r="E361" s="4"/>
    </row>
    <row r="362" spans="2:5" ht="20.100000000000001">
      <c r="B362" s="3">
        <v>459</v>
      </c>
      <c r="C362" s="4" t="s">
        <v>424</v>
      </c>
      <c r="D362" s="3">
        <v>47</v>
      </c>
      <c r="E362" s="4"/>
    </row>
    <row r="363" spans="2:5" ht="20.100000000000001">
      <c r="B363" s="3">
        <v>460</v>
      </c>
      <c r="C363" s="4" t="s">
        <v>425</v>
      </c>
      <c r="D363" s="3">
        <v>47</v>
      </c>
      <c r="E363" s="4"/>
    </row>
    <row r="364" spans="2:5" ht="20.100000000000001">
      <c r="B364" s="3">
        <v>461</v>
      </c>
      <c r="C364" s="4" t="s">
        <v>426</v>
      </c>
      <c r="D364" s="3">
        <v>47</v>
      </c>
      <c r="E364" s="4"/>
    </row>
    <row r="365" spans="2:5" ht="20.100000000000001">
      <c r="B365" s="3">
        <v>462</v>
      </c>
      <c r="C365" s="4" t="s">
        <v>427</v>
      </c>
      <c r="D365" s="3">
        <v>47</v>
      </c>
      <c r="E365" s="4"/>
    </row>
    <row r="366" spans="2:5" ht="20.100000000000001">
      <c r="B366" s="3">
        <v>463</v>
      </c>
      <c r="C366" s="4">
        <v>2010</v>
      </c>
      <c r="D366" s="3">
        <v>46</v>
      </c>
      <c r="E366" s="4"/>
    </row>
    <row r="367" spans="2:5" ht="20.100000000000001">
      <c r="B367" s="3">
        <v>464</v>
      </c>
      <c r="C367" s="4" t="s">
        <v>428</v>
      </c>
      <c r="D367" s="3">
        <v>46</v>
      </c>
      <c r="E367" s="4"/>
    </row>
    <row r="368" spans="2:5" ht="20.100000000000001">
      <c r="B368" s="3">
        <v>465</v>
      </c>
      <c r="C368" s="4" t="s">
        <v>429</v>
      </c>
      <c r="D368" s="3">
        <v>46</v>
      </c>
      <c r="E368" s="4"/>
    </row>
    <row r="369" spans="2:5" ht="20.100000000000001">
      <c r="B369" s="3">
        <v>466</v>
      </c>
      <c r="C369" s="4" t="s">
        <v>430</v>
      </c>
      <c r="D369" s="3">
        <v>46</v>
      </c>
      <c r="E369" s="4"/>
    </row>
    <row r="370" spans="2:5" ht="20.100000000000001">
      <c r="B370" s="3">
        <v>467</v>
      </c>
      <c r="C370" s="4" t="s">
        <v>431</v>
      </c>
      <c r="D370" s="3">
        <v>46</v>
      </c>
      <c r="E370" s="4"/>
    </row>
    <row r="371" spans="2:5" ht="20.100000000000001">
      <c r="B371" s="3">
        <v>468</v>
      </c>
      <c r="C371" s="4" t="s">
        <v>432</v>
      </c>
      <c r="D371" s="3">
        <v>46</v>
      </c>
      <c r="E371" s="3"/>
    </row>
    <row r="372" spans="2:5" ht="20.100000000000001">
      <c r="B372" s="3">
        <v>469</v>
      </c>
      <c r="C372" s="4" t="s">
        <v>433</v>
      </c>
      <c r="D372" s="3">
        <v>46</v>
      </c>
      <c r="E372" s="4"/>
    </row>
    <row r="373" spans="2:5" ht="20.100000000000001">
      <c r="B373" s="3">
        <v>470</v>
      </c>
      <c r="C373" s="4" t="s">
        <v>434</v>
      </c>
      <c r="D373" s="3">
        <v>46</v>
      </c>
      <c r="E373" s="4"/>
    </row>
    <row r="374" spans="2:5" ht="20.100000000000001">
      <c r="B374" s="3">
        <v>471</v>
      </c>
      <c r="C374" s="4" t="s">
        <v>435</v>
      </c>
      <c r="D374" s="3">
        <v>46</v>
      </c>
      <c r="E374" s="4"/>
    </row>
    <row r="375" spans="2:5" ht="20.100000000000001">
      <c r="B375" s="3">
        <v>472</v>
      </c>
      <c r="C375" s="4" t="s">
        <v>436</v>
      </c>
      <c r="D375" s="3">
        <v>46</v>
      </c>
      <c r="E375" s="4"/>
    </row>
    <row r="376" spans="2:5" ht="20.100000000000001">
      <c r="B376" s="3">
        <v>473</v>
      </c>
      <c r="C376" s="4" t="s">
        <v>437</v>
      </c>
      <c r="D376" s="3">
        <v>46</v>
      </c>
      <c r="E376" s="4"/>
    </row>
    <row r="377" spans="2:5" ht="20.100000000000001">
      <c r="B377" s="3">
        <v>474</v>
      </c>
      <c r="C377" s="4" t="s">
        <v>438</v>
      </c>
      <c r="D377" s="3">
        <v>46</v>
      </c>
      <c r="E377" s="3"/>
    </row>
    <row r="378" spans="2:5" ht="20.100000000000001">
      <c r="B378" s="3">
        <v>475</v>
      </c>
      <c r="C378" s="4" t="s">
        <v>439</v>
      </c>
      <c r="D378" s="3">
        <v>46</v>
      </c>
      <c r="E378" s="4"/>
    </row>
    <row r="379" spans="2:5" ht="20.100000000000001">
      <c r="B379" s="3">
        <v>476</v>
      </c>
      <c r="C379" s="4">
        <v>2007</v>
      </c>
      <c r="D379" s="3">
        <v>45</v>
      </c>
      <c r="E379" s="4"/>
    </row>
    <row r="380" spans="2:5" ht="20.100000000000001">
      <c r="B380" s="3">
        <v>477</v>
      </c>
      <c r="C380" s="4">
        <v>25</v>
      </c>
      <c r="D380" s="3">
        <v>45</v>
      </c>
      <c r="E380" s="4"/>
    </row>
    <row r="381" spans="2:5" ht="20.100000000000001">
      <c r="B381" s="3">
        <v>478</v>
      </c>
      <c r="C381" s="4" t="s">
        <v>440</v>
      </c>
      <c r="D381" s="3">
        <v>45</v>
      </c>
      <c r="E381" s="4"/>
    </row>
    <row r="382" spans="2:5" ht="20.100000000000001">
      <c r="B382" s="3">
        <v>479</v>
      </c>
      <c r="C382" s="4" t="s">
        <v>441</v>
      </c>
      <c r="D382" s="3">
        <v>45</v>
      </c>
      <c r="E382" s="4"/>
    </row>
    <row r="383" spans="2:5" ht="20.100000000000001">
      <c r="B383" s="3">
        <v>480</v>
      </c>
      <c r="C383" s="4" t="s">
        <v>442</v>
      </c>
      <c r="D383" s="3">
        <v>45</v>
      </c>
      <c r="E383" s="4"/>
    </row>
    <row r="384" spans="2:5" ht="20.100000000000001">
      <c r="B384" s="3">
        <v>481</v>
      </c>
      <c r="C384" s="4" t="s">
        <v>443</v>
      </c>
      <c r="D384" s="3">
        <v>45</v>
      </c>
      <c r="E384" s="4"/>
    </row>
    <row r="385" spans="2:5" ht="20.100000000000001">
      <c r="B385" s="3">
        <v>482</v>
      </c>
      <c r="C385" s="4" t="s">
        <v>444</v>
      </c>
      <c r="D385" s="3">
        <v>45</v>
      </c>
      <c r="E385" s="3"/>
    </row>
    <row r="386" spans="2:5" ht="20.100000000000001">
      <c r="B386" s="3">
        <v>483</v>
      </c>
      <c r="C386" s="4" t="s">
        <v>445</v>
      </c>
      <c r="D386" s="3">
        <v>45</v>
      </c>
      <c r="E386" s="3"/>
    </row>
    <row r="387" spans="2:5" ht="20.100000000000001">
      <c r="B387" s="3">
        <v>484</v>
      </c>
      <c r="C387" s="4" t="s">
        <v>446</v>
      </c>
      <c r="D387" s="3">
        <v>45</v>
      </c>
      <c r="E387" s="4"/>
    </row>
    <row r="388" spans="2:5" ht="20.100000000000001">
      <c r="B388" s="3">
        <v>485</v>
      </c>
      <c r="C388" s="4" t="s">
        <v>447</v>
      </c>
      <c r="D388" s="3">
        <v>45</v>
      </c>
      <c r="E388" s="4"/>
    </row>
    <row r="389" spans="2:5" ht="20.100000000000001">
      <c r="B389" s="3">
        <v>486</v>
      </c>
      <c r="C389" s="4">
        <v>2014</v>
      </c>
      <c r="D389" s="3">
        <v>44</v>
      </c>
      <c r="E389" s="4"/>
    </row>
    <row r="390" spans="2:5" ht="20.100000000000001">
      <c r="B390" s="3">
        <v>487</v>
      </c>
      <c r="C390" s="4" t="s">
        <v>448</v>
      </c>
      <c r="D390" s="3">
        <v>44</v>
      </c>
      <c r="E390" s="4"/>
    </row>
    <row r="391" spans="2:5" ht="20.100000000000001">
      <c r="B391" s="3">
        <v>488</v>
      </c>
      <c r="C391" s="4" t="s">
        <v>449</v>
      </c>
      <c r="D391" s="3">
        <v>44</v>
      </c>
      <c r="E391" s="4"/>
    </row>
    <row r="392" spans="2:5" ht="20.100000000000001">
      <c r="B392" s="3">
        <v>489</v>
      </c>
      <c r="C392" s="4" t="s">
        <v>450</v>
      </c>
      <c r="D392" s="3">
        <v>44</v>
      </c>
      <c r="E392" s="4"/>
    </row>
    <row r="393" spans="2:5" ht="20.100000000000001">
      <c r="B393" s="3">
        <v>490</v>
      </c>
      <c r="C393" s="4" t="s">
        <v>451</v>
      </c>
      <c r="D393" s="3">
        <v>44</v>
      </c>
      <c r="E393" s="4"/>
    </row>
    <row r="394" spans="2:5" ht="20.100000000000001">
      <c r="B394" s="3">
        <v>491</v>
      </c>
      <c r="C394" s="4" t="s">
        <v>452</v>
      </c>
      <c r="D394" s="3">
        <v>44</v>
      </c>
      <c r="E394" s="4"/>
    </row>
    <row r="395" spans="2:5" ht="20.100000000000001">
      <c r="B395" s="3">
        <v>492</v>
      </c>
      <c r="C395" s="4" t="s">
        <v>453</v>
      </c>
      <c r="D395" s="3">
        <v>44</v>
      </c>
      <c r="E395" s="4"/>
    </row>
    <row r="396" spans="2:5" ht="20.100000000000001">
      <c r="B396" s="3">
        <v>493</v>
      </c>
      <c r="C396" s="4" t="s">
        <v>454</v>
      </c>
      <c r="D396" s="3">
        <v>44</v>
      </c>
      <c r="E396" s="4"/>
    </row>
    <row r="397" spans="2:5" ht="20.100000000000001">
      <c r="B397" s="3">
        <v>494</v>
      </c>
      <c r="C397" s="4" t="s">
        <v>455</v>
      </c>
      <c r="D397" s="3">
        <v>44</v>
      </c>
      <c r="E397" s="4"/>
    </row>
    <row r="398" spans="2:5" ht="20.100000000000001">
      <c r="B398" s="3">
        <v>495</v>
      </c>
      <c r="C398" s="4" t="s">
        <v>456</v>
      </c>
      <c r="D398" s="3">
        <v>44</v>
      </c>
      <c r="E398" s="4"/>
    </row>
    <row r="399" spans="2:5" ht="20.100000000000001">
      <c r="B399" s="3">
        <v>496</v>
      </c>
      <c r="C399" s="4" t="s">
        <v>457</v>
      </c>
      <c r="D399" s="3">
        <v>44</v>
      </c>
      <c r="E399" s="4"/>
    </row>
    <row r="400" spans="2:5" ht="20.100000000000001">
      <c r="B400" s="3">
        <v>497</v>
      </c>
      <c r="C400" s="4" t="s">
        <v>458</v>
      </c>
      <c r="D400" s="3">
        <v>44</v>
      </c>
      <c r="E400" s="4"/>
    </row>
    <row r="401" spans="2:5" ht="20.100000000000001">
      <c r="B401" s="3">
        <v>498</v>
      </c>
      <c r="C401" s="4" t="s">
        <v>459</v>
      </c>
      <c r="D401" s="3">
        <v>44</v>
      </c>
      <c r="E401" s="4"/>
    </row>
    <row r="402" spans="2:5" ht="20.100000000000001">
      <c r="B402" s="3">
        <v>499</v>
      </c>
      <c r="C402" s="4" t="s">
        <v>460</v>
      </c>
      <c r="D402" s="3">
        <v>44</v>
      </c>
      <c r="E402" s="4"/>
    </row>
    <row r="403" spans="2:5" ht="20.100000000000001">
      <c r="B403" s="3">
        <v>500</v>
      </c>
      <c r="C403" s="4">
        <v>2006</v>
      </c>
      <c r="D403" s="3">
        <v>43</v>
      </c>
      <c r="E403" s="4"/>
    </row>
    <row r="404" spans="2:5" ht="20.100000000000001">
      <c r="B404" s="3">
        <v>501</v>
      </c>
      <c r="C404" s="4" t="s">
        <v>461</v>
      </c>
      <c r="D404" s="3">
        <v>43</v>
      </c>
      <c r="E404" s="4"/>
    </row>
    <row r="405" spans="2:5" ht="20.100000000000001">
      <c r="B405" s="3">
        <v>502</v>
      </c>
      <c r="C405" s="4" t="s">
        <v>462</v>
      </c>
      <c r="D405" s="3">
        <v>43</v>
      </c>
      <c r="E405" s="4"/>
    </row>
    <row r="406" spans="2:5" ht="20.100000000000001">
      <c r="B406" s="3">
        <v>503</v>
      </c>
      <c r="C406" s="4" t="s">
        <v>463</v>
      </c>
      <c r="D406" s="3">
        <v>43</v>
      </c>
      <c r="E406" s="4"/>
    </row>
    <row r="407" spans="2:5" ht="20.100000000000001">
      <c r="B407" s="3">
        <v>504</v>
      </c>
      <c r="C407" s="4" t="s">
        <v>464</v>
      </c>
      <c r="D407" s="3">
        <v>43</v>
      </c>
      <c r="E407" s="4"/>
    </row>
    <row r="408" spans="2:5" ht="20.100000000000001">
      <c r="B408" s="3">
        <v>505</v>
      </c>
      <c r="C408" s="4" t="s">
        <v>465</v>
      </c>
      <c r="D408" s="3">
        <v>43</v>
      </c>
      <c r="E408" s="4"/>
    </row>
    <row r="409" spans="2:5" ht="20.100000000000001">
      <c r="B409" s="3">
        <v>506</v>
      </c>
      <c r="C409" s="4">
        <v>16</v>
      </c>
      <c r="D409" s="3">
        <v>42</v>
      </c>
      <c r="E409" s="4"/>
    </row>
    <row r="410" spans="2:5" ht="20.100000000000001">
      <c r="B410" s="3">
        <v>507</v>
      </c>
      <c r="C410" s="4">
        <v>2013</v>
      </c>
      <c r="D410" s="3">
        <v>42</v>
      </c>
      <c r="E410" s="4"/>
    </row>
    <row r="411" spans="2:5" ht="20.100000000000001">
      <c r="B411" s="3">
        <v>508</v>
      </c>
      <c r="C411" s="4" t="s">
        <v>466</v>
      </c>
      <c r="D411" s="3">
        <v>42</v>
      </c>
      <c r="E411" s="3"/>
    </row>
    <row r="412" spans="2:5" ht="20.100000000000001">
      <c r="B412" s="3">
        <v>509</v>
      </c>
      <c r="C412" s="4" t="s">
        <v>467</v>
      </c>
      <c r="D412" s="3">
        <v>42</v>
      </c>
      <c r="E412" s="4"/>
    </row>
    <row r="413" spans="2:5" ht="20.100000000000001">
      <c r="B413" s="3">
        <v>510</v>
      </c>
      <c r="C413" s="4" t="s">
        <v>468</v>
      </c>
      <c r="D413" s="3">
        <v>42</v>
      </c>
      <c r="E413" s="4"/>
    </row>
    <row r="414" spans="2:5" ht="20.100000000000001">
      <c r="B414" s="3">
        <v>511</v>
      </c>
      <c r="C414" s="4" t="s">
        <v>469</v>
      </c>
      <c r="D414" s="3">
        <v>42</v>
      </c>
      <c r="E414" s="4"/>
    </row>
    <row r="415" spans="2:5" ht="20.100000000000001">
      <c r="B415" s="3">
        <v>512</v>
      </c>
      <c r="C415" s="4" t="s">
        <v>470</v>
      </c>
      <c r="D415" s="3">
        <v>42</v>
      </c>
      <c r="E415" s="4"/>
    </row>
    <row r="416" spans="2:5" ht="20.100000000000001">
      <c r="B416" s="3">
        <v>513</v>
      </c>
      <c r="C416" s="4" t="s">
        <v>471</v>
      </c>
      <c r="D416" s="3">
        <v>42</v>
      </c>
      <c r="E416" s="4"/>
    </row>
    <row r="417" spans="2:5" ht="20.100000000000001">
      <c r="B417" s="3">
        <v>514</v>
      </c>
      <c r="C417" s="4" t="s">
        <v>472</v>
      </c>
      <c r="D417" s="3">
        <v>42</v>
      </c>
      <c r="E417" s="4"/>
    </row>
    <row r="418" spans="2:5" ht="20.100000000000001">
      <c r="B418" s="3">
        <v>515</v>
      </c>
      <c r="C418" s="4" t="s">
        <v>473</v>
      </c>
      <c r="D418" s="3">
        <v>42</v>
      </c>
      <c r="E418" s="4"/>
    </row>
    <row r="419" spans="2:5" ht="20.100000000000001">
      <c r="B419" s="3">
        <v>516</v>
      </c>
      <c r="C419" s="4" t="s">
        <v>474</v>
      </c>
      <c r="D419" s="3">
        <v>42</v>
      </c>
      <c r="E419" s="4"/>
    </row>
    <row r="420" spans="2:5" ht="20.100000000000001">
      <c r="B420" s="3">
        <v>517</v>
      </c>
      <c r="C420" s="4" t="s">
        <v>475</v>
      </c>
      <c r="D420" s="3">
        <v>42</v>
      </c>
      <c r="E420" s="4"/>
    </row>
    <row r="421" spans="2:5" ht="20.100000000000001">
      <c r="B421" s="3">
        <v>518</v>
      </c>
      <c r="C421" s="4">
        <v>12</v>
      </c>
      <c r="D421" s="3">
        <v>41</v>
      </c>
      <c r="E421" s="4"/>
    </row>
    <row r="422" spans="2:5" ht="20.100000000000001">
      <c r="B422" s="3">
        <v>519</v>
      </c>
      <c r="C422" s="4">
        <v>14</v>
      </c>
      <c r="D422" s="3">
        <v>41</v>
      </c>
      <c r="E422" s="3"/>
    </row>
    <row r="423" spans="2:5" ht="20.100000000000001">
      <c r="B423" s="3">
        <v>520</v>
      </c>
      <c r="C423" s="4">
        <v>2000</v>
      </c>
      <c r="D423" s="3">
        <v>41</v>
      </c>
      <c r="E423" s="4"/>
    </row>
    <row r="424" spans="2:5" ht="20.100000000000001">
      <c r="B424" s="3">
        <v>521</v>
      </c>
      <c r="C424" s="4">
        <v>2008</v>
      </c>
      <c r="D424" s="3">
        <v>41</v>
      </c>
      <c r="E424" s="3"/>
    </row>
    <row r="425" spans="2:5" ht="20.100000000000001">
      <c r="B425" s="3">
        <v>522</v>
      </c>
      <c r="C425" s="4">
        <v>2017</v>
      </c>
      <c r="D425" s="3">
        <v>41</v>
      </c>
      <c r="E425" s="4"/>
    </row>
    <row r="426" spans="2:5" ht="20.100000000000001">
      <c r="B426" s="3">
        <v>523</v>
      </c>
      <c r="C426" s="4" t="s">
        <v>476</v>
      </c>
      <c r="D426" s="3">
        <v>41</v>
      </c>
      <c r="E426" s="4"/>
    </row>
    <row r="427" spans="2:5" ht="20.100000000000001">
      <c r="B427" s="3">
        <v>524</v>
      </c>
      <c r="C427" s="4" t="s">
        <v>477</v>
      </c>
      <c r="D427" s="3">
        <v>41</v>
      </c>
      <c r="E427" s="4"/>
    </row>
    <row r="428" spans="2:5" ht="20.100000000000001">
      <c r="B428" s="3">
        <v>525</v>
      </c>
      <c r="C428" s="4" t="s">
        <v>478</v>
      </c>
      <c r="D428" s="3">
        <v>41</v>
      </c>
      <c r="E428" s="4"/>
    </row>
    <row r="429" spans="2:5" ht="20.100000000000001">
      <c r="B429" s="3">
        <v>526</v>
      </c>
      <c r="C429" s="4" t="s">
        <v>479</v>
      </c>
      <c r="D429" s="3">
        <v>41</v>
      </c>
      <c r="E429" s="3"/>
    </row>
    <row r="430" spans="2:5" ht="20.100000000000001">
      <c r="B430" s="3">
        <v>527</v>
      </c>
      <c r="C430" s="4" t="s">
        <v>480</v>
      </c>
      <c r="D430" s="3">
        <v>41</v>
      </c>
      <c r="E430" s="4"/>
    </row>
    <row r="431" spans="2:5" ht="20.100000000000001">
      <c r="B431" s="3">
        <v>528</v>
      </c>
      <c r="C431" s="4" t="s">
        <v>481</v>
      </c>
      <c r="D431" s="3">
        <v>41</v>
      </c>
      <c r="E431" s="4"/>
    </row>
    <row r="432" spans="2:5" ht="20.100000000000001">
      <c r="B432" s="3">
        <v>529</v>
      </c>
      <c r="C432" s="4" t="s">
        <v>482</v>
      </c>
      <c r="D432" s="3">
        <v>41</v>
      </c>
      <c r="E432" s="4"/>
    </row>
    <row r="433" spans="2:5" ht="20.100000000000001">
      <c r="B433" s="3">
        <v>530</v>
      </c>
      <c r="C433" s="4" t="s">
        <v>483</v>
      </c>
      <c r="D433" s="3">
        <v>41</v>
      </c>
      <c r="E433" s="4"/>
    </row>
    <row r="434" spans="2:5" ht="20.100000000000001">
      <c r="B434" s="3">
        <v>531</v>
      </c>
      <c r="C434" s="4">
        <v>2016</v>
      </c>
      <c r="D434" s="3">
        <v>40</v>
      </c>
      <c r="E434" s="4"/>
    </row>
    <row r="435" spans="2:5" ht="20.100000000000001">
      <c r="B435" s="3">
        <v>532</v>
      </c>
      <c r="C435" s="4" t="s">
        <v>484</v>
      </c>
      <c r="D435" s="3">
        <v>40</v>
      </c>
      <c r="E435" s="4"/>
    </row>
    <row r="436" spans="2:5" ht="20.100000000000001">
      <c r="B436" s="3">
        <v>533</v>
      </c>
      <c r="C436" s="4" t="s">
        <v>485</v>
      </c>
      <c r="D436" s="3">
        <v>40</v>
      </c>
      <c r="E436" s="4"/>
    </row>
    <row r="437" spans="2:5" ht="20.100000000000001">
      <c r="B437" s="3">
        <v>534</v>
      </c>
      <c r="C437" s="4" t="s">
        <v>486</v>
      </c>
      <c r="D437" s="3">
        <v>40</v>
      </c>
      <c r="E437" s="4"/>
    </row>
    <row r="438" spans="2:5" ht="20.100000000000001">
      <c r="B438" s="3">
        <v>535</v>
      </c>
      <c r="C438" s="4" t="s">
        <v>487</v>
      </c>
      <c r="D438" s="3">
        <v>40</v>
      </c>
      <c r="E438" s="4"/>
    </row>
    <row r="439" spans="2:5" ht="20.100000000000001">
      <c r="B439" s="3">
        <v>536</v>
      </c>
      <c r="C439" s="4" t="s">
        <v>488</v>
      </c>
      <c r="D439" s="3">
        <v>40</v>
      </c>
      <c r="E439" s="4"/>
    </row>
    <row r="440" spans="2:5" ht="20.100000000000001">
      <c r="B440" s="3">
        <v>537</v>
      </c>
      <c r="C440" s="4" t="s">
        <v>489</v>
      </c>
      <c r="D440" s="3">
        <v>40</v>
      </c>
      <c r="E440" s="4"/>
    </row>
    <row r="441" spans="2:5" ht="20.100000000000001">
      <c r="B441" s="3">
        <v>538</v>
      </c>
      <c r="C441" s="4" t="s">
        <v>490</v>
      </c>
      <c r="D441" s="3">
        <v>40</v>
      </c>
      <c r="E441" s="4"/>
    </row>
    <row r="442" spans="2:5" ht="20.100000000000001">
      <c r="B442" s="3">
        <v>539</v>
      </c>
      <c r="C442" s="4" t="s">
        <v>491</v>
      </c>
      <c r="D442" s="3">
        <v>40</v>
      </c>
      <c r="E442" s="4"/>
    </row>
    <row r="443" spans="2:5" ht="20.100000000000001">
      <c r="B443" s="3">
        <v>540</v>
      </c>
      <c r="C443" s="4" t="s">
        <v>492</v>
      </c>
      <c r="D443" s="3">
        <v>40</v>
      </c>
      <c r="E443" s="4"/>
    </row>
    <row r="444" spans="2:5" ht="20.100000000000001">
      <c r="B444" s="3">
        <v>541</v>
      </c>
      <c r="C444" s="4" t="s">
        <v>493</v>
      </c>
      <c r="D444" s="3">
        <v>40</v>
      </c>
      <c r="E444" s="3"/>
    </row>
    <row r="445" spans="2:5" ht="20.100000000000001">
      <c r="B445" s="3">
        <v>542</v>
      </c>
      <c r="C445" s="4" t="s">
        <v>494</v>
      </c>
      <c r="D445" s="3">
        <v>40</v>
      </c>
      <c r="E445" s="4"/>
    </row>
    <row r="446" spans="2:5" ht="20.100000000000001">
      <c r="B446" s="3">
        <v>543</v>
      </c>
      <c r="C446" s="4" t="s">
        <v>495</v>
      </c>
      <c r="D446" s="3">
        <v>40</v>
      </c>
      <c r="E446" s="4"/>
    </row>
    <row r="447" spans="2:5" ht="20.100000000000001">
      <c r="B447" s="3">
        <v>544</v>
      </c>
      <c r="C447" s="4" t="s">
        <v>496</v>
      </c>
      <c r="D447" s="3">
        <v>40</v>
      </c>
      <c r="E447" s="4"/>
    </row>
    <row r="448" spans="2:5" ht="20.100000000000001">
      <c r="B448" s="3">
        <v>545</v>
      </c>
      <c r="C448" s="4" t="s">
        <v>497</v>
      </c>
      <c r="D448" s="3">
        <v>40</v>
      </c>
      <c r="E448" s="4"/>
    </row>
    <row r="449" spans="2:5" ht="20.100000000000001">
      <c r="B449" s="3">
        <v>546</v>
      </c>
      <c r="C449" s="4" t="s">
        <v>498</v>
      </c>
      <c r="D449" s="3">
        <v>40</v>
      </c>
      <c r="E449" s="3"/>
    </row>
    <row r="450" spans="2:5" ht="20.100000000000001">
      <c r="B450" s="3">
        <v>547</v>
      </c>
      <c r="C450" s="4" t="s">
        <v>499</v>
      </c>
      <c r="D450" s="3">
        <v>40</v>
      </c>
      <c r="E450" s="4"/>
    </row>
    <row r="451" spans="2:5" ht="20.100000000000001">
      <c r="B451" s="3">
        <v>548</v>
      </c>
      <c r="C451" s="4" t="s">
        <v>500</v>
      </c>
      <c r="D451" s="3">
        <v>39</v>
      </c>
      <c r="E451" s="4"/>
    </row>
    <row r="452" spans="2:5" ht="20.100000000000001">
      <c r="B452" s="3">
        <v>549</v>
      </c>
      <c r="C452" s="4" t="s">
        <v>501</v>
      </c>
      <c r="D452" s="3">
        <v>39</v>
      </c>
      <c r="E452" s="4"/>
    </row>
    <row r="453" spans="2:5" ht="20.100000000000001">
      <c r="B453" s="3">
        <v>550</v>
      </c>
      <c r="C453" s="4" t="s">
        <v>502</v>
      </c>
      <c r="D453" s="3">
        <v>39</v>
      </c>
      <c r="E453" s="4"/>
    </row>
    <row r="454" spans="2:5" ht="20.100000000000001">
      <c r="B454" s="3">
        <v>551</v>
      </c>
      <c r="C454" s="4" t="s">
        <v>503</v>
      </c>
      <c r="D454" s="3">
        <v>39</v>
      </c>
      <c r="E454" s="4"/>
    </row>
    <row r="455" spans="2:5" ht="20.100000000000001">
      <c r="B455" s="3">
        <v>552</v>
      </c>
      <c r="C455" s="4" t="s">
        <v>504</v>
      </c>
      <c r="D455" s="3">
        <v>39</v>
      </c>
      <c r="E455" s="4"/>
    </row>
    <row r="456" spans="2:5" ht="20.100000000000001">
      <c r="B456" s="3">
        <v>553</v>
      </c>
      <c r="C456" s="4" t="s">
        <v>505</v>
      </c>
      <c r="D456" s="3">
        <v>39</v>
      </c>
      <c r="E456" s="3"/>
    </row>
    <row r="457" spans="2:5" ht="20.100000000000001">
      <c r="B457" s="3">
        <v>554</v>
      </c>
      <c r="C457" s="4" t="s">
        <v>506</v>
      </c>
      <c r="D457" s="3">
        <v>39</v>
      </c>
      <c r="E457" s="3"/>
    </row>
    <row r="458" spans="2:5" ht="20.100000000000001">
      <c r="B458" s="3">
        <v>555</v>
      </c>
      <c r="C458" s="4" t="s">
        <v>507</v>
      </c>
      <c r="D458" s="3">
        <v>39</v>
      </c>
      <c r="E458" s="4"/>
    </row>
    <row r="459" spans="2:5" ht="20.100000000000001">
      <c r="B459" s="3">
        <v>556</v>
      </c>
      <c r="C459" s="4" t="s">
        <v>508</v>
      </c>
      <c r="D459" s="3">
        <v>39</v>
      </c>
      <c r="E459" s="4"/>
    </row>
    <row r="460" spans="2:5" ht="20.100000000000001">
      <c r="B460" s="3">
        <v>557</v>
      </c>
      <c r="C460" s="4" t="s">
        <v>509</v>
      </c>
      <c r="D460" s="3">
        <v>39</v>
      </c>
      <c r="E460" s="4"/>
    </row>
    <row r="461" spans="2:5" ht="20.100000000000001">
      <c r="B461" s="3">
        <v>558</v>
      </c>
      <c r="C461" s="4" t="s">
        <v>510</v>
      </c>
      <c r="D461" s="3">
        <v>39</v>
      </c>
      <c r="E461" s="4"/>
    </row>
    <row r="462" spans="2:5" ht="20.100000000000001">
      <c r="B462" s="3">
        <v>559</v>
      </c>
      <c r="C462" s="4" t="s">
        <v>511</v>
      </c>
      <c r="D462" s="3">
        <v>39</v>
      </c>
      <c r="E462" s="4"/>
    </row>
    <row r="463" spans="2:5" ht="20.100000000000001">
      <c r="B463" s="3">
        <v>560</v>
      </c>
      <c r="C463" s="4" t="s">
        <v>512</v>
      </c>
      <c r="D463" s="3">
        <v>39</v>
      </c>
      <c r="E463" s="4"/>
    </row>
    <row r="464" spans="2:5" ht="20.100000000000001">
      <c r="B464" s="3">
        <v>561</v>
      </c>
      <c r="C464" s="4" t="s">
        <v>513</v>
      </c>
      <c r="D464" s="3">
        <v>39</v>
      </c>
      <c r="E464" s="4"/>
    </row>
    <row r="465" spans="2:5" ht="20.100000000000001">
      <c r="B465" s="3">
        <v>562</v>
      </c>
      <c r="C465" s="4" t="s">
        <v>514</v>
      </c>
      <c r="D465" s="3">
        <v>39</v>
      </c>
      <c r="E465" s="4"/>
    </row>
    <row r="466" spans="2:5" ht="20.100000000000001">
      <c r="B466" s="3">
        <v>563</v>
      </c>
      <c r="C466" s="4">
        <v>20</v>
      </c>
      <c r="D466" s="3">
        <v>38</v>
      </c>
      <c r="E466" s="4"/>
    </row>
    <row r="467" spans="2:5" ht="20.100000000000001">
      <c r="B467" s="3">
        <v>564</v>
      </c>
      <c r="C467" s="4">
        <v>2003</v>
      </c>
      <c r="D467" s="3">
        <v>38</v>
      </c>
      <c r="E467" s="4"/>
    </row>
    <row r="468" spans="2:5" ht="20.100000000000001">
      <c r="B468" s="3">
        <v>565</v>
      </c>
      <c r="C468" s="4">
        <v>2012</v>
      </c>
      <c r="D468" s="3">
        <v>38</v>
      </c>
      <c r="E468" s="4"/>
    </row>
    <row r="469" spans="2:5" ht="20.100000000000001">
      <c r="B469" s="3">
        <v>566</v>
      </c>
      <c r="C469" s="4">
        <v>28</v>
      </c>
      <c r="D469" s="3">
        <v>38</v>
      </c>
      <c r="E469" s="4"/>
    </row>
    <row r="470" spans="2:5" ht="20.100000000000001">
      <c r="B470" s="3">
        <v>567</v>
      </c>
      <c r="C470" s="4" t="s">
        <v>515</v>
      </c>
      <c r="D470" s="3">
        <v>38</v>
      </c>
      <c r="E470" s="4"/>
    </row>
    <row r="471" spans="2:5" ht="20.100000000000001">
      <c r="B471" s="3">
        <v>568</v>
      </c>
      <c r="C471" s="4" t="s">
        <v>516</v>
      </c>
      <c r="D471" s="3">
        <v>38</v>
      </c>
      <c r="E471" s="4"/>
    </row>
    <row r="472" spans="2:5" ht="20.100000000000001">
      <c r="B472" s="3">
        <v>569</v>
      </c>
      <c r="C472" s="4" t="s">
        <v>517</v>
      </c>
      <c r="D472" s="3">
        <v>38</v>
      </c>
      <c r="E472" s="4"/>
    </row>
    <row r="473" spans="2:5" ht="20.100000000000001">
      <c r="B473" s="3">
        <v>570</v>
      </c>
      <c r="C473" s="4" t="s">
        <v>518</v>
      </c>
      <c r="D473" s="3">
        <v>38</v>
      </c>
      <c r="E473" s="4"/>
    </row>
    <row r="474" spans="2:5" ht="20.100000000000001">
      <c r="B474" s="3">
        <v>571</v>
      </c>
      <c r="C474" s="4" t="s">
        <v>519</v>
      </c>
      <c r="D474" s="3">
        <v>38</v>
      </c>
      <c r="E474" s="4"/>
    </row>
    <row r="475" spans="2:5" ht="20.100000000000001">
      <c r="B475" s="3">
        <v>572</v>
      </c>
      <c r="C475" s="4" t="s">
        <v>520</v>
      </c>
      <c r="D475" s="3">
        <v>38</v>
      </c>
      <c r="E475" s="4"/>
    </row>
    <row r="476" spans="2:5" ht="20.100000000000001">
      <c r="B476" s="3">
        <v>573</v>
      </c>
      <c r="C476" s="4" t="s">
        <v>521</v>
      </c>
      <c r="D476" s="3">
        <v>38</v>
      </c>
      <c r="E476" s="4"/>
    </row>
    <row r="477" spans="2:5" ht="20.100000000000001">
      <c r="B477" s="3">
        <v>574</v>
      </c>
      <c r="C477" s="4" t="s">
        <v>522</v>
      </c>
      <c r="D477" s="3">
        <v>38</v>
      </c>
      <c r="E477" s="3"/>
    </row>
    <row r="478" spans="2:5" ht="20.100000000000001">
      <c r="B478" s="3">
        <v>575</v>
      </c>
      <c r="C478" s="4" t="s">
        <v>523</v>
      </c>
      <c r="D478" s="3">
        <v>38</v>
      </c>
      <c r="E478" s="4"/>
    </row>
    <row r="479" spans="2:5" ht="20.100000000000001">
      <c r="B479" s="3">
        <v>576</v>
      </c>
      <c r="C479" s="4" t="s">
        <v>524</v>
      </c>
      <c r="D479" s="3">
        <v>38</v>
      </c>
      <c r="E479" s="4"/>
    </row>
    <row r="480" spans="2:5" ht="20.100000000000001">
      <c r="B480" s="3">
        <v>577</v>
      </c>
      <c r="C480" s="4" t="s">
        <v>525</v>
      </c>
      <c r="D480" s="3">
        <v>38</v>
      </c>
      <c r="E480" s="3"/>
    </row>
    <row r="481" spans="2:5" ht="20.100000000000001">
      <c r="B481" s="3">
        <v>578</v>
      </c>
      <c r="C481" s="4" t="s">
        <v>526</v>
      </c>
      <c r="D481" s="3">
        <v>38</v>
      </c>
      <c r="E481" s="4"/>
    </row>
    <row r="482" spans="2:5" ht="20.100000000000001">
      <c r="B482" s="3">
        <v>579</v>
      </c>
      <c r="C482" s="4" t="s">
        <v>527</v>
      </c>
      <c r="D482" s="3">
        <v>38</v>
      </c>
      <c r="E482" s="4"/>
    </row>
    <row r="483" spans="2:5" ht="20.100000000000001">
      <c r="B483" s="3">
        <v>580</v>
      </c>
      <c r="C483" s="4" t="s">
        <v>528</v>
      </c>
      <c r="D483" s="3">
        <v>38</v>
      </c>
      <c r="E483" s="3"/>
    </row>
    <row r="484" spans="2:5" ht="20.100000000000001">
      <c r="B484" s="3">
        <v>581</v>
      </c>
      <c r="C484" s="4" t="s">
        <v>529</v>
      </c>
      <c r="D484" s="3">
        <v>38</v>
      </c>
      <c r="E484" s="4"/>
    </row>
    <row r="485" spans="2:5" ht="20.100000000000001">
      <c r="B485" s="3">
        <v>582</v>
      </c>
      <c r="C485" s="4" t="s">
        <v>530</v>
      </c>
      <c r="D485" s="3">
        <v>38</v>
      </c>
      <c r="E485" s="4"/>
    </row>
    <row r="486" spans="2:5" ht="20.100000000000001">
      <c r="B486" s="3">
        <v>583</v>
      </c>
      <c r="C486" s="4" t="s">
        <v>531</v>
      </c>
      <c r="D486" s="3">
        <v>38</v>
      </c>
      <c r="E486" s="4"/>
    </row>
    <row r="487" spans="2:5" ht="20.100000000000001">
      <c r="B487" s="3">
        <v>584</v>
      </c>
      <c r="C487" s="4">
        <v>2015</v>
      </c>
      <c r="D487" s="3">
        <v>37</v>
      </c>
      <c r="E487" s="4"/>
    </row>
    <row r="488" spans="2:5" ht="20.100000000000001">
      <c r="B488" s="3">
        <v>585</v>
      </c>
      <c r="C488" s="4">
        <v>2019</v>
      </c>
      <c r="D488" s="3">
        <v>37</v>
      </c>
      <c r="E488" s="4"/>
    </row>
    <row r="489" spans="2:5" ht="20.100000000000001">
      <c r="B489" s="3">
        <v>586</v>
      </c>
      <c r="C489" s="4">
        <v>9</v>
      </c>
      <c r="D489" s="3">
        <v>37</v>
      </c>
      <c r="E489" s="4"/>
    </row>
    <row r="490" spans="2:5" ht="20.100000000000001">
      <c r="B490" s="3">
        <v>587</v>
      </c>
      <c r="C490" s="4" t="s">
        <v>532</v>
      </c>
      <c r="D490" s="3">
        <v>37</v>
      </c>
      <c r="E490" s="4"/>
    </row>
    <row r="491" spans="2:5" ht="20.100000000000001">
      <c r="B491" s="3">
        <v>588</v>
      </c>
      <c r="C491" s="4" t="s">
        <v>533</v>
      </c>
      <c r="D491" s="3">
        <v>37</v>
      </c>
      <c r="E491" s="4"/>
    </row>
    <row r="492" spans="2:5" ht="20.100000000000001">
      <c r="B492" s="3">
        <v>589</v>
      </c>
      <c r="C492" s="4" t="s">
        <v>534</v>
      </c>
      <c r="D492" s="3">
        <v>37</v>
      </c>
      <c r="E492" s="4"/>
    </row>
    <row r="493" spans="2:5" ht="20.100000000000001">
      <c r="B493" s="3">
        <v>590</v>
      </c>
      <c r="C493" s="4" t="s">
        <v>535</v>
      </c>
      <c r="D493" s="3">
        <v>37</v>
      </c>
      <c r="E493" s="3"/>
    </row>
    <row r="494" spans="2:5" ht="20.100000000000001">
      <c r="B494" s="3">
        <v>591</v>
      </c>
      <c r="C494" s="4" t="s">
        <v>536</v>
      </c>
      <c r="D494" s="3">
        <v>37</v>
      </c>
      <c r="E494" s="3"/>
    </row>
    <row r="495" spans="2:5" ht="20.100000000000001">
      <c r="B495" s="3">
        <v>592</v>
      </c>
      <c r="C495" s="4" t="s">
        <v>537</v>
      </c>
      <c r="D495" s="3">
        <v>37</v>
      </c>
      <c r="E495" s="4"/>
    </row>
    <row r="496" spans="2:5" ht="20.100000000000001">
      <c r="B496" s="3">
        <v>593</v>
      </c>
      <c r="C496" s="4" t="s">
        <v>538</v>
      </c>
      <c r="D496" s="3">
        <v>37</v>
      </c>
      <c r="E496" s="4"/>
    </row>
    <row r="497" spans="2:5" ht="20.100000000000001">
      <c r="B497" s="3">
        <v>594</v>
      </c>
      <c r="C497" s="4" t="s">
        <v>539</v>
      </c>
      <c r="D497" s="3">
        <v>37</v>
      </c>
      <c r="E497" s="4"/>
    </row>
    <row r="498" spans="2:5" ht="20.100000000000001">
      <c r="B498" s="3">
        <v>595</v>
      </c>
      <c r="C498" s="4" t="s">
        <v>540</v>
      </c>
      <c r="D498" s="3">
        <v>37</v>
      </c>
      <c r="E498" s="4"/>
    </row>
    <row r="499" spans="2:5" ht="20.100000000000001">
      <c r="B499" s="3">
        <v>596</v>
      </c>
      <c r="C499" s="4" t="s">
        <v>541</v>
      </c>
      <c r="D499" s="3">
        <v>37</v>
      </c>
      <c r="E499" s="4"/>
    </row>
    <row r="500" spans="2:5" ht="20.100000000000001">
      <c r="B500" s="3">
        <v>597</v>
      </c>
      <c r="C500" s="4" t="s">
        <v>542</v>
      </c>
      <c r="D500" s="3">
        <v>37</v>
      </c>
      <c r="E500" s="4"/>
    </row>
    <row r="501" spans="2:5" ht="20.100000000000001">
      <c r="B501" s="3">
        <v>598</v>
      </c>
      <c r="C501" s="4" t="s">
        <v>543</v>
      </c>
      <c r="D501" s="3">
        <v>37</v>
      </c>
      <c r="E501" s="4"/>
    </row>
    <row r="502" spans="2:5" ht="20.100000000000001">
      <c r="B502" s="3">
        <v>599</v>
      </c>
      <c r="C502" s="4" t="s">
        <v>544</v>
      </c>
      <c r="D502" s="3">
        <v>37</v>
      </c>
      <c r="E502" s="4"/>
    </row>
    <row r="503" spans="2:5" ht="20.100000000000001">
      <c r="B503" s="3">
        <v>600</v>
      </c>
      <c r="C503" s="4">
        <v>13</v>
      </c>
      <c r="D503" s="3">
        <v>36</v>
      </c>
      <c r="E503" s="4"/>
    </row>
    <row r="504" spans="2:5" ht="20.100000000000001">
      <c r="B504" s="3">
        <v>601</v>
      </c>
      <c r="C504" s="4">
        <v>18</v>
      </c>
      <c r="D504" s="3">
        <v>36</v>
      </c>
      <c r="E504" s="4"/>
    </row>
    <row r="505" spans="2:5" ht="20.100000000000001">
      <c r="B505" s="3">
        <v>602</v>
      </c>
      <c r="C505" s="4" t="s">
        <v>545</v>
      </c>
      <c r="D505" s="3">
        <v>36</v>
      </c>
      <c r="E505" s="4"/>
    </row>
    <row r="506" spans="2:5" ht="20.100000000000001">
      <c r="B506" s="3">
        <v>603</v>
      </c>
      <c r="C506" s="4" t="s">
        <v>546</v>
      </c>
      <c r="D506" s="3">
        <v>36</v>
      </c>
      <c r="E506" s="4"/>
    </row>
    <row r="507" spans="2:5" ht="20.100000000000001">
      <c r="B507" s="3">
        <v>604</v>
      </c>
      <c r="C507" s="4" t="s">
        <v>547</v>
      </c>
      <c r="D507" s="3">
        <v>36</v>
      </c>
      <c r="E507" s="4"/>
    </row>
    <row r="508" spans="2:5" ht="20.100000000000001">
      <c r="B508" s="3">
        <v>605</v>
      </c>
      <c r="C508" s="4" t="s">
        <v>548</v>
      </c>
      <c r="D508" s="3">
        <v>36</v>
      </c>
      <c r="E508" s="4"/>
    </row>
    <row r="509" spans="2:5" ht="20.100000000000001">
      <c r="B509" s="3">
        <v>606</v>
      </c>
      <c r="C509" s="4" t="s">
        <v>549</v>
      </c>
      <c r="D509" s="3">
        <v>36</v>
      </c>
      <c r="E509" s="4"/>
    </row>
    <row r="510" spans="2:5" ht="20.100000000000001">
      <c r="B510" s="3">
        <v>607</v>
      </c>
      <c r="C510" s="4" t="s">
        <v>550</v>
      </c>
      <c r="D510" s="3">
        <v>36</v>
      </c>
      <c r="E510" s="3"/>
    </row>
    <row r="511" spans="2:5" ht="20.100000000000001">
      <c r="B511" s="3">
        <v>608</v>
      </c>
      <c r="C511" s="4" t="s">
        <v>551</v>
      </c>
      <c r="D511" s="3">
        <v>36</v>
      </c>
      <c r="E511" s="4"/>
    </row>
    <row r="512" spans="2:5" ht="20.100000000000001">
      <c r="B512" s="3">
        <v>609</v>
      </c>
      <c r="C512" s="4" t="s">
        <v>552</v>
      </c>
      <c r="D512" s="3">
        <v>36</v>
      </c>
      <c r="E512" s="3"/>
    </row>
    <row r="513" spans="2:5" ht="20.100000000000001">
      <c r="B513" s="3">
        <v>610</v>
      </c>
      <c r="C513" s="4" t="s">
        <v>553</v>
      </c>
      <c r="D513" s="3">
        <v>36</v>
      </c>
      <c r="E513" s="4"/>
    </row>
    <row r="514" spans="2:5" ht="20.100000000000001">
      <c r="B514" s="3">
        <v>611</v>
      </c>
      <c r="C514" s="4" t="s">
        <v>554</v>
      </c>
      <c r="D514" s="3">
        <v>36</v>
      </c>
      <c r="E514" s="4"/>
    </row>
    <row r="515" spans="2:5" ht="20.100000000000001">
      <c r="B515" s="3">
        <v>612</v>
      </c>
      <c r="C515" s="4" t="s">
        <v>555</v>
      </c>
      <c r="D515" s="3">
        <v>36</v>
      </c>
      <c r="E515" s="4"/>
    </row>
    <row r="516" spans="2:5" ht="20.100000000000001">
      <c r="B516" s="3">
        <v>613</v>
      </c>
      <c r="C516" s="4" t="s">
        <v>556</v>
      </c>
      <c r="D516" s="3">
        <v>36</v>
      </c>
      <c r="E516" s="4"/>
    </row>
    <row r="517" spans="2:5" ht="20.100000000000001">
      <c r="B517" s="3">
        <v>614</v>
      </c>
      <c r="C517" s="4" t="s">
        <v>557</v>
      </c>
      <c r="D517" s="3">
        <v>36</v>
      </c>
      <c r="E517" s="4"/>
    </row>
    <row r="518" spans="2:5" ht="20.100000000000001">
      <c r="B518" s="3">
        <v>615</v>
      </c>
      <c r="C518" s="4" t="s">
        <v>558</v>
      </c>
      <c r="D518" s="3">
        <v>36</v>
      </c>
      <c r="E518" s="4"/>
    </row>
    <row r="519" spans="2:5" ht="20.100000000000001">
      <c r="B519" s="3">
        <v>616</v>
      </c>
      <c r="C519" s="4" t="s">
        <v>559</v>
      </c>
      <c r="D519" s="3">
        <v>36</v>
      </c>
      <c r="E519" s="4"/>
    </row>
    <row r="520" spans="2:5" ht="20.100000000000001">
      <c r="B520" s="3">
        <v>617</v>
      </c>
      <c r="C520" s="4" t="s">
        <v>560</v>
      </c>
      <c r="D520" s="3">
        <v>36</v>
      </c>
      <c r="E520" s="4"/>
    </row>
    <row r="521" spans="2:5" ht="20.100000000000001">
      <c r="B521" s="3">
        <v>618</v>
      </c>
      <c r="C521" s="4">
        <v>2002</v>
      </c>
      <c r="D521" s="3">
        <v>35</v>
      </c>
      <c r="E521" s="4"/>
    </row>
    <row r="522" spans="2:5" ht="20.100000000000001">
      <c r="B522" s="3">
        <v>619</v>
      </c>
      <c r="C522" s="4">
        <v>2018</v>
      </c>
      <c r="D522" s="3">
        <v>35</v>
      </c>
      <c r="E522" s="4"/>
    </row>
    <row r="523" spans="2:5" ht="20.100000000000001">
      <c r="B523" s="3">
        <v>620</v>
      </c>
      <c r="C523" s="4" t="s">
        <v>561</v>
      </c>
      <c r="D523" s="3">
        <v>35</v>
      </c>
      <c r="E523" s="4"/>
    </row>
    <row r="524" spans="2:5" ht="20.100000000000001">
      <c r="B524" s="3">
        <v>621</v>
      </c>
      <c r="C524" s="4" t="s">
        <v>562</v>
      </c>
      <c r="D524" s="3">
        <v>35</v>
      </c>
      <c r="E524" s="4"/>
    </row>
    <row r="525" spans="2:5" ht="20.100000000000001">
      <c r="B525" s="3">
        <v>622</v>
      </c>
      <c r="C525" s="4" t="s">
        <v>563</v>
      </c>
      <c r="D525" s="3">
        <v>35</v>
      </c>
      <c r="E525" s="4"/>
    </row>
    <row r="526" spans="2:5" ht="20.100000000000001">
      <c r="B526" s="3">
        <v>623</v>
      </c>
      <c r="C526" s="4" t="s">
        <v>564</v>
      </c>
      <c r="D526" s="3">
        <v>35</v>
      </c>
      <c r="E526" s="4"/>
    </row>
    <row r="527" spans="2:5" ht="20.100000000000001">
      <c r="B527" s="3">
        <v>624</v>
      </c>
      <c r="C527" s="4" t="s">
        <v>565</v>
      </c>
      <c r="D527" s="3">
        <v>35</v>
      </c>
      <c r="E527" s="4"/>
    </row>
    <row r="528" spans="2:5" ht="20.100000000000001">
      <c r="B528" s="3">
        <v>625</v>
      </c>
      <c r="C528" s="4" t="s">
        <v>566</v>
      </c>
      <c r="D528" s="3">
        <v>35</v>
      </c>
      <c r="E528" s="4"/>
    </row>
    <row r="529" spans="2:5" ht="20.100000000000001">
      <c r="B529" s="3">
        <v>626</v>
      </c>
      <c r="C529" s="4" t="s">
        <v>567</v>
      </c>
      <c r="D529" s="3">
        <v>35</v>
      </c>
      <c r="E529" s="4"/>
    </row>
    <row r="530" spans="2:5" ht="20.100000000000001">
      <c r="B530" s="3">
        <v>627</v>
      </c>
      <c r="C530" s="4" t="s">
        <v>568</v>
      </c>
      <c r="D530" s="3">
        <v>35</v>
      </c>
      <c r="E530" s="4"/>
    </row>
    <row r="531" spans="2:5" ht="20.100000000000001">
      <c r="B531" s="3">
        <v>628</v>
      </c>
      <c r="C531" s="4" t="s">
        <v>569</v>
      </c>
      <c r="D531" s="3">
        <v>35</v>
      </c>
      <c r="E531" s="4"/>
    </row>
    <row r="532" spans="2:5" ht="20.100000000000001">
      <c r="B532" s="3">
        <v>629</v>
      </c>
      <c r="C532" s="4" t="s">
        <v>570</v>
      </c>
      <c r="D532" s="3">
        <v>35</v>
      </c>
      <c r="E532" s="3"/>
    </row>
    <row r="533" spans="2:5" ht="20.100000000000001">
      <c r="B533" s="3">
        <v>630</v>
      </c>
      <c r="C533" s="4" t="s">
        <v>571</v>
      </c>
      <c r="D533" s="3">
        <v>35</v>
      </c>
      <c r="E533" s="4"/>
    </row>
    <row r="534" spans="2:5" ht="20.100000000000001">
      <c r="B534" s="3">
        <v>631</v>
      </c>
      <c r="C534" s="4" t="s">
        <v>572</v>
      </c>
      <c r="D534" s="3">
        <v>35</v>
      </c>
      <c r="E534" s="4"/>
    </row>
    <row r="535" spans="2:5" ht="20.100000000000001">
      <c r="B535" s="3">
        <v>632</v>
      </c>
      <c r="C535" s="4" t="s">
        <v>573</v>
      </c>
      <c r="D535" s="3">
        <v>35</v>
      </c>
      <c r="E535" s="4"/>
    </row>
    <row r="536" spans="2:5" ht="20.100000000000001">
      <c r="B536" s="3">
        <v>633</v>
      </c>
      <c r="C536" s="4" t="s">
        <v>574</v>
      </c>
      <c r="D536" s="3">
        <v>35</v>
      </c>
      <c r="E536" s="4"/>
    </row>
    <row r="537" spans="2:5" ht="20.100000000000001">
      <c r="B537" s="3">
        <v>634</v>
      </c>
      <c r="C537" s="4" t="s">
        <v>575</v>
      </c>
      <c r="D537" s="3">
        <v>35</v>
      </c>
      <c r="E537" s="4"/>
    </row>
    <row r="538" spans="2:5" ht="20.100000000000001">
      <c r="B538" s="3">
        <v>635</v>
      </c>
      <c r="C538" s="4" t="s">
        <v>576</v>
      </c>
      <c r="D538" s="3">
        <v>35</v>
      </c>
      <c r="E538" s="4"/>
    </row>
    <row r="539" spans="2:5" ht="20.100000000000001">
      <c r="B539" s="3">
        <v>636</v>
      </c>
      <c r="C539" s="4" t="s">
        <v>577</v>
      </c>
      <c r="D539" s="3">
        <v>35</v>
      </c>
      <c r="E539" s="4"/>
    </row>
    <row r="540" spans="2:5" ht="20.100000000000001">
      <c r="B540" s="3">
        <v>637</v>
      </c>
      <c r="C540" s="4">
        <v>11</v>
      </c>
      <c r="D540" s="3">
        <v>34</v>
      </c>
      <c r="E540" s="4"/>
    </row>
    <row r="541" spans="2:5" ht="20.100000000000001">
      <c r="B541" s="3">
        <v>638</v>
      </c>
      <c r="C541" s="4" t="s">
        <v>578</v>
      </c>
      <c r="D541" s="3">
        <v>34</v>
      </c>
      <c r="E541" s="4"/>
    </row>
    <row r="542" spans="2:5" ht="20.100000000000001">
      <c r="B542" s="3">
        <v>639</v>
      </c>
      <c r="C542" s="4" t="s">
        <v>579</v>
      </c>
      <c r="D542" s="3">
        <v>34</v>
      </c>
      <c r="E542" s="4"/>
    </row>
    <row r="543" spans="2:5" ht="20.100000000000001">
      <c r="B543" s="3">
        <v>640</v>
      </c>
      <c r="C543" s="4" t="s">
        <v>580</v>
      </c>
      <c r="D543" s="3">
        <v>34</v>
      </c>
      <c r="E543" s="4"/>
    </row>
    <row r="544" spans="2:5" ht="20.100000000000001">
      <c r="B544" s="3">
        <v>641</v>
      </c>
      <c r="C544" s="4" t="s">
        <v>581</v>
      </c>
      <c r="D544" s="3">
        <v>34</v>
      </c>
      <c r="E544" s="4"/>
    </row>
    <row r="545" spans="2:5" ht="20.100000000000001">
      <c r="B545" s="3">
        <v>642</v>
      </c>
      <c r="C545" s="4" t="s">
        <v>582</v>
      </c>
      <c r="D545" s="3">
        <v>34</v>
      </c>
      <c r="E545" s="4"/>
    </row>
    <row r="546" spans="2:5" ht="20.100000000000001">
      <c r="B546" s="3">
        <v>643</v>
      </c>
      <c r="C546" s="4" t="s">
        <v>583</v>
      </c>
      <c r="D546" s="3">
        <v>34</v>
      </c>
      <c r="E546" s="4"/>
    </row>
    <row r="547" spans="2:5" ht="20.100000000000001">
      <c r="B547" s="3">
        <v>644</v>
      </c>
      <c r="C547" s="4" t="s">
        <v>584</v>
      </c>
      <c r="D547" s="3">
        <v>34</v>
      </c>
      <c r="E547" s="4"/>
    </row>
    <row r="548" spans="2:5" ht="20.100000000000001">
      <c r="B548" s="3">
        <v>645</v>
      </c>
      <c r="C548" s="4" t="s">
        <v>585</v>
      </c>
      <c r="D548" s="3">
        <v>34</v>
      </c>
      <c r="E548" s="3"/>
    </row>
    <row r="549" spans="2:5" ht="20.100000000000001">
      <c r="B549" s="3">
        <v>646</v>
      </c>
      <c r="C549" s="4" t="s">
        <v>586</v>
      </c>
      <c r="D549" s="3">
        <v>34</v>
      </c>
      <c r="E549" s="4"/>
    </row>
    <row r="550" spans="2:5" ht="20.100000000000001">
      <c r="B550" s="3">
        <v>647</v>
      </c>
      <c r="C550" s="4" t="s">
        <v>587</v>
      </c>
      <c r="D550" s="3">
        <v>34</v>
      </c>
      <c r="E550" s="4"/>
    </row>
    <row r="551" spans="2:5" ht="20.100000000000001">
      <c r="B551" s="3">
        <v>648</v>
      </c>
      <c r="C551" s="4" t="s">
        <v>588</v>
      </c>
      <c r="D551" s="3">
        <v>34</v>
      </c>
      <c r="E551" s="4"/>
    </row>
    <row r="552" spans="2:5" ht="20.100000000000001">
      <c r="B552" s="3">
        <v>649</v>
      </c>
      <c r="C552" s="4" t="s">
        <v>589</v>
      </c>
      <c r="D552" s="3">
        <v>34</v>
      </c>
      <c r="E552" s="4"/>
    </row>
    <row r="553" spans="2:5" ht="20.100000000000001">
      <c r="B553" s="3">
        <v>650</v>
      </c>
      <c r="C553" s="4" t="s">
        <v>590</v>
      </c>
      <c r="D553" s="3">
        <v>34</v>
      </c>
      <c r="E553" s="4"/>
    </row>
    <row r="554" spans="2:5" ht="20.100000000000001">
      <c r="B554" s="3">
        <v>651</v>
      </c>
      <c r="C554" s="4" t="s">
        <v>591</v>
      </c>
      <c r="D554" s="3">
        <v>34</v>
      </c>
      <c r="E554" s="4"/>
    </row>
    <row r="555" spans="2:5" ht="20.100000000000001">
      <c r="B555" s="3">
        <v>652</v>
      </c>
      <c r="C555" s="4" t="s">
        <v>592</v>
      </c>
      <c r="D555" s="3">
        <v>34</v>
      </c>
      <c r="E555" s="4"/>
    </row>
    <row r="556" spans="2:5" ht="20.100000000000001">
      <c r="B556" s="3">
        <v>653</v>
      </c>
      <c r="C556" s="4" t="s">
        <v>593</v>
      </c>
      <c r="D556" s="3">
        <v>34</v>
      </c>
      <c r="E556" s="4"/>
    </row>
    <row r="557" spans="2:5" ht="20.100000000000001">
      <c r="B557" s="3">
        <v>654</v>
      </c>
      <c r="C557" s="4" t="s">
        <v>594</v>
      </c>
      <c r="D557" s="3">
        <v>34</v>
      </c>
      <c r="E557" s="4"/>
    </row>
    <row r="558" spans="2:5" ht="20.100000000000001">
      <c r="B558" s="3">
        <v>655</v>
      </c>
      <c r="C558" s="4" t="s">
        <v>595</v>
      </c>
      <c r="D558" s="3">
        <v>34</v>
      </c>
      <c r="E558" s="4"/>
    </row>
    <row r="559" spans="2:5" ht="20.100000000000001">
      <c r="B559" s="3">
        <v>656</v>
      </c>
      <c r="C559" s="4" t="s">
        <v>596</v>
      </c>
      <c r="D559" s="3">
        <v>33</v>
      </c>
      <c r="E559" s="4"/>
    </row>
    <row r="560" spans="2:5" ht="20.100000000000001">
      <c r="B560" s="3">
        <v>657</v>
      </c>
      <c r="C560" s="4" t="s">
        <v>597</v>
      </c>
      <c r="D560" s="3">
        <v>33</v>
      </c>
      <c r="E560" s="4"/>
    </row>
    <row r="561" spans="2:5" ht="20.100000000000001">
      <c r="B561" s="3">
        <v>658</v>
      </c>
      <c r="C561" s="4" t="s">
        <v>598</v>
      </c>
      <c r="D561" s="3">
        <v>33</v>
      </c>
      <c r="E561" s="4"/>
    </row>
    <row r="562" spans="2:5" ht="20.100000000000001">
      <c r="B562" s="3">
        <v>659</v>
      </c>
      <c r="C562" s="4" t="s">
        <v>599</v>
      </c>
      <c r="D562" s="3">
        <v>33</v>
      </c>
      <c r="E562" s="4"/>
    </row>
    <row r="563" spans="2:5" ht="20.100000000000001">
      <c r="B563" s="3">
        <v>660</v>
      </c>
      <c r="C563" s="4" t="s">
        <v>600</v>
      </c>
      <c r="D563" s="3">
        <v>33</v>
      </c>
      <c r="E563" s="4"/>
    </row>
    <row r="564" spans="2:5" ht="20.100000000000001">
      <c r="B564" s="3">
        <v>661</v>
      </c>
      <c r="C564" s="4" t="s">
        <v>601</v>
      </c>
      <c r="D564" s="3">
        <v>33</v>
      </c>
      <c r="E564" s="3"/>
    </row>
    <row r="565" spans="2:5" ht="20.100000000000001">
      <c r="B565" s="3">
        <v>662</v>
      </c>
      <c r="C565" s="4" t="s">
        <v>602</v>
      </c>
      <c r="D565" s="3">
        <v>33</v>
      </c>
      <c r="E565" s="4"/>
    </row>
    <row r="566" spans="2:5" ht="20.100000000000001">
      <c r="B566" s="3">
        <v>663</v>
      </c>
      <c r="C566" s="4" t="s">
        <v>603</v>
      </c>
      <c r="D566" s="3">
        <v>33</v>
      </c>
      <c r="E566" s="4"/>
    </row>
    <row r="567" spans="2:5" ht="20.100000000000001">
      <c r="B567" s="3">
        <v>664</v>
      </c>
      <c r="C567" s="4" t="s">
        <v>604</v>
      </c>
      <c r="D567" s="3">
        <v>33</v>
      </c>
      <c r="E567" s="4"/>
    </row>
    <row r="568" spans="2:5" ht="20.100000000000001">
      <c r="B568" s="3">
        <v>665</v>
      </c>
      <c r="C568" s="4" t="s">
        <v>605</v>
      </c>
      <c r="D568" s="3">
        <v>33</v>
      </c>
      <c r="E568" s="4"/>
    </row>
    <row r="569" spans="2:5" ht="20.100000000000001">
      <c r="B569" s="3">
        <v>666</v>
      </c>
      <c r="C569" s="4" t="s">
        <v>606</v>
      </c>
      <c r="D569" s="3">
        <v>33</v>
      </c>
      <c r="E569" s="4"/>
    </row>
    <row r="570" spans="2:5" ht="20.100000000000001">
      <c r="B570" s="3">
        <v>667</v>
      </c>
      <c r="C570" s="4" t="s">
        <v>607</v>
      </c>
      <c r="D570" s="3">
        <v>33</v>
      </c>
      <c r="E570" s="4"/>
    </row>
    <row r="571" spans="2:5" ht="20.100000000000001">
      <c r="B571" s="3">
        <v>668</v>
      </c>
      <c r="C571" s="4">
        <v>100</v>
      </c>
      <c r="D571" s="3">
        <v>32</v>
      </c>
      <c r="E571" s="4"/>
    </row>
    <row r="572" spans="2:5" ht="20.100000000000001">
      <c r="B572" s="3">
        <v>669</v>
      </c>
      <c r="C572" s="4" t="s">
        <v>608</v>
      </c>
      <c r="D572" s="3">
        <v>32</v>
      </c>
      <c r="E572" s="4"/>
    </row>
    <row r="573" spans="2:5" ht="20.100000000000001">
      <c r="B573" s="3">
        <v>670</v>
      </c>
      <c r="C573" s="4" t="s">
        <v>609</v>
      </c>
      <c r="D573" s="3">
        <v>32</v>
      </c>
      <c r="E573" s="4"/>
    </row>
    <row r="574" spans="2:5" ht="20.100000000000001">
      <c r="B574" s="3">
        <v>671</v>
      </c>
      <c r="C574" s="4" t="s">
        <v>610</v>
      </c>
      <c r="D574" s="3">
        <v>32</v>
      </c>
      <c r="E574" s="4"/>
    </row>
    <row r="575" spans="2:5" ht="20.100000000000001">
      <c r="B575" s="3">
        <v>672</v>
      </c>
      <c r="C575" s="4" t="s">
        <v>611</v>
      </c>
      <c r="D575" s="3">
        <v>32</v>
      </c>
      <c r="E575" s="4"/>
    </row>
    <row r="576" spans="2:5" ht="20.100000000000001">
      <c r="B576" s="3">
        <v>673</v>
      </c>
      <c r="C576" s="4" t="s">
        <v>612</v>
      </c>
      <c r="D576" s="3">
        <v>32</v>
      </c>
      <c r="E576" s="4"/>
    </row>
    <row r="577" spans="2:5" ht="20.100000000000001">
      <c r="B577" s="3">
        <v>674</v>
      </c>
      <c r="C577" s="4" t="s">
        <v>613</v>
      </c>
      <c r="D577" s="3">
        <v>32</v>
      </c>
      <c r="E577" s="4"/>
    </row>
    <row r="578" spans="2:5" ht="20.100000000000001">
      <c r="B578" s="3">
        <v>675</v>
      </c>
      <c r="C578" s="4" t="s">
        <v>614</v>
      </c>
      <c r="D578" s="3">
        <v>32</v>
      </c>
      <c r="E578" s="4"/>
    </row>
    <row r="579" spans="2:5" ht="20.100000000000001">
      <c r="B579" s="3">
        <v>676</v>
      </c>
      <c r="C579" s="4" t="s">
        <v>615</v>
      </c>
      <c r="D579" s="3">
        <v>32</v>
      </c>
      <c r="E579" s="4"/>
    </row>
    <row r="580" spans="2:5" ht="20.100000000000001">
      <c r="B580" s="3">
        <v>677</v>
      </c>
      <c r="C580" s="4" t="s">
        <v>616</v>
      </c>
      <c r="D580" s="3">
        <v>32</v>
      </c>
      <c r="E580" s="3"/>
    </row>
    <row r="581" spans="2:5" ht="20.100000000000001">
      <c r="B581" s="3">
        <v>678</v>
      </c>
      <c r="C581" s="4" t="s">
        <v>617</v>
      </c>
      <c r="D581" s="3">
        <v>32</v>
      </c>
      <c r="E581" s="4"/>
    </row>
    <row r="582" spans="2:5" ht="20.100000000000001">
      <c r="B582" s="3">
        <v>679</v>
      </c>
      <c r="C582" s="4" t="s">
        <v>618</v>
      </c>
      <c r="D582" s="3">
        <v>32</v>
      </c>
      <c r="E582" s="4"/>
    </row>
    <row r="583" spans="2:5" ht="20.100000000000001">
      <c r="B583" s="3">
        <v>680</v>
      </c>
      <c r="C583" s="4" t="s">
        <v>619</v>
      </c>
      <c r="D583" s="3">
        <v>32</v>
      </c>
      <c r="E583" s="4"/>
    </row>
    <row r="584" spans="2:5" ht="20.100000000000001">
      <c r="B584" s="3">
        <v>681</v>
      </c>
      <c r="C584" s="4" t="s">
        <v>620</v>
      </c>
      <c r="D584" s="3">
        <v>32</v>
      </c>
      <c r="E584" s="4"/>
    </row>
    <row r="585" spans="2:5" ht="20.100000000000001">
      <c r="B585" s="3">
        <v>682</v>
      </c>
      <c r="C585" s="4" t="s">
        <v>621</v>
      </c>
      <c r="D585" s="3">
        <v>32</v>
      </c>
      <c r="E585" s="4"/>
    </row>
    <row r="586" spans="2:5" ht="20.100000000000001">
      <c r="B586" s="3">
        <v>683</v>
      </c>
      <c r="C586" s="4">
        <v>0</v>
      </c>
      <c r="D586" s="3">
        <v>31</v>
      </c>
      <c r="E586" s="4"/>
    </row>
    <row r="587" spans="2:5" ht="20.100000000000001">
      <c r="B587" s="3">
        <v>684</v>
      </c>
      <c r="C587" s="4" t="s">
        <v>622</v>
      </c>
      <c r="D587" s="3">
        <v>31</v>
      </c>
      <c r="E587" s="4"/>
    </row>
    <row r="588" spans="2:5" ht="20.100000000000001">
      <c r="B588" s="3">
        <v>685</v>
      </c>
      <c r="C588" s="4" t="s">
        <v>623</v>
      </c>
      <c r="D588" s="3">
        <v>31</v>
      </c>
      <c r="E588" s="3"/>
    </row>
    <row r="589" spans="2:5" ht="20.100000000000001">
      <c r="B589" s="3">
        <v>686</v>
      </c>
      <c r="C589" s="4" t="s">
        <v>624</v>
      </c>
      <c r="D589" s="3">
        <v>31</v>
      </c>
      <c r="E589" s="4"/>
    </row>
    <row r="590" spans="2:5" ht="20.100000000000001">
      <c r="B590" s="3">
        <v>687</v>
      </c>
      <c r="C590" s="4" t="s">
        <v>625</v>
      </c>
      <c r="D590" s="3">
        <v>31</v>
      </c>
      <c r="E590" s="3"/>
    </row>
    <row r="591" spans="2:5" ht="20.100000000000001">
      <c r="B591" s="3">
        <v>688</v>
      </c>
      <c r="C591" s="4" t="s">
        <v>626</v>
      </c>
      <c r="D591" s="3">
        <v>31</v>
      </c>
      <c r="E591" s="3"/>
    </row>
    <row r="592" spans="2:5" ht="20.100000000000001">
      <c r="B592" s="3">
        <v>689</v>
      </c>
      <c r="C592" s="4" t="s">
        <v>627</v>
      </c>
      <c r="D592" s="3">
        <v>31</v>
      </c>
      <c r="E592" s="4"/>
    </row>
    <row r="593" spans="2:5" ht="20.100000000000001">
      <c r="B593" s="3">
        <v>690</v>
      </c>
      <c r="C593" s="4" t="s">
        <v>628</v>
      </c>
      <c r="D593" s="3">
        <v>31</v>
      </c>
      <c r="E593" s="4"/>
    </row>
    <row r="594" spans="2:5" ht="20.100000000000001">
      <c r="B594" s="3">
        <v>691</v>
      </c>
      <c r="C594" s="4" t="s">
        <v>629</v>
      </c>
      <c r="D594" s="3">
        <v>31</v>
      </c>
      <c r="E594" s="4"/>
    </row>
    <row r="595" spans="2:5" ht="20.100000000000001">
      <c r="B595" s="3">
        <v>692</v>
      </c>
      <c r="C595" s="4" t="s">
        <v>630</v>
      </c>
      <c r="D595" s="3">
        <v>31</v>
      </c>
      <c r="E595" s="4"/>
    </row>
    <row r="596" spans="2:5" ht="20.100000000000001">
      <c r="B596" s="3">
        <v>693</v>
      </c>
      <c r="C596" s="4" t="s">
        <v>631</v>
      </c>
      <c r="D596" s="3">
        <v>31</v>
      </c>
      <c r="E596" s="3"/>
    </row>
    <row r="597" spans="2:5" ht="20.100000000000001">
      <c r="B597" s="3">
        <v>694</v>
      </c>
      <c r="C597" s="4" t="s">
        <v>632</v>
      </c>
      <c r="D597" s="3">
        <v>31</v>
      </c>
      <c r="E597" s="4"/>
    </row>
    <row r="598" spans="2:5" ht="20.100000000000001">
      <c r="B598" s="3">
        <v>695</v>
      </c>
      <c r="C598" s="4" t="s">
        <v>633</v>
      </c>
      <c r="D598" s="3">
        <v>31</v>
      </c>
      <c r="E598" s="4"/>
    </row>
    <row r="599" spans="2:5" ht="20.100000000000001">
      <c r="B599" s="3">
        <v>696</v>
      </c>
      <c r="C599" s="4" t="s">
        <v>634</v>
      </c>
      <c r="D599" s="3">
        <v>31</v>
      </c>
      <c r="E599" s="4"/>
    </row>
    <row r="600" spans="2:5" ht="20.100000000000001">
      <c r="B600" s="3">
        <v>697</v>
      </c>
      <c r="C600" s="4" t="s">
        <v>635</v>
      </c>
      <c r="D600" s="3">
        <v>31</v>
      </c>
      <c r="E600" s="4"/>
    </row>
    <row r="601" spans="2:5" ht="20.100000000000001">
      <c r="B601" s="3">
        <v>698</v>
      </c>
      <c r="C601" s="4" t="s">
        <v>636</v>
      </c>
      <c r="D601" s="3">
        <v>31</v>
      </c>
      <c r="E601" s="4"/>
    </row>
    <row r="602" spans="2:5" ht="20.100000000000001">
      <c r="B602" s="3">
        <v>699</v>
      </c>
      <c r="C602" s="4" t="s">
        <v>637</v>
      </c>
      <c r="D602" s="3">
        <v>31</v>
      </c>
      <c r="E602" s="3"/>
    </row>
    <row r="603" spans="2:5" ht="20.100000000000001">
      <c r="B603" s="3">
        <v>700</v>
      </c>
      <c r="C603" s="4" t="s">
        <v>638</v>
      </c>
      <c r="D603" s="3">
        <v>31</v>
      </c>
      <c r="E603" s="4"/>
    </row>
    <row r="604" spans="2:5" ht="20.100000000000001">
      <c r="B604" s="3">
        <v>701</v>
      </c>
      <c r="C604" s="4" t="s">
        <v>639</v>
      </c>
      <c r="D604" s="3">
        <v>31</v>
      </c>
      <c r="E604" s="4"/>
    </row>
    <row r="605" spans="2:5" ht="20.100000000000001">
      <c r="B605" s="3">
        <v>702</v>
      </c>
      <c r="C605" s="4" t="s">
        <v>640</v>
      </c>
      <c r="D605" s="3">
        <v>31</v>
      </c>
      <c r="E605" s="3"/>
    </row>
    <row r="606" spans="2:5" ht="20.100000000000001">
      <c r="B606" s="3">
        <v>703</v>
      </c>
      <c r="C606" s="4" t="s">
        <v>641</v>
      </c>
      <c r="D606" s="3">
        <v>31</v>
      </c>
      <c r="E606" s="4"/>
    </row>
    <row r="607" spans="2:5" ht="20.100000000000001">
      <c r="B607" s="3">
        <v>704</v>
      </c>
      <c r="C607" s="4" t="s">
        <v>642</v>
      </c>
      <c r="D607" s="3">
        <v>31</v>
      </c>
      <c r="E607" s="4"/>
    </row>
    <row r="608" spans="2:5" ht="20.100000000000001">
      <c r="B608" s="3">
        <v>705</v>
      </c>
      <c r="C608" s="4" t="s">
        <v>643</v>
      </c>
      <c r="D608" s="3">
        <v>31</v>
      </c>
      <c r="E608" s="4"/>
    </row>
    <row r="609" spans="2:5" ht="20.100000000000001">
      <c r="B609" s="3">
        <v>706</v>
      </c>
      <c r="C609" s="4" t="s">
        <v>644</v>
      </c>
      <c r="D609" s="3">
        <v>31</v>
      </c>
      <c r="E609" s="4"/>
    </row>
    <row r="610" spans="2:5" ht="20.100000000000001">
      <c r="B610" s="3">
        <v>707</v>
      </c>
      <c r="C610" s="4" t="s">
        <v>645</v>
      </c>
      <c r="D610" s="3">
        <v>31</v>
      </c>
      <c r="E610" s="4"/>
    </row>
    <row r="611" spans="2:5" ht="20.100000000000001">
      <c r="B611" s="3">
        <v>708</v>
      </c>
      <c r="C611" s="4" t="s">
        <v>646</v>
      </c>
      <c r="D611" s="3">
        <v>31</v>
      </c>
      <c r="E611" s="4"/>
    </row>
    <row r="612" spans="2:5" ht="20.100000000000001">
      <c r="B612" s="3">
        <v>709</v>
      </c>
      <c r="C612" s="4" t="s">
        <v>647</v>
      </c>
      <c r="D612" s="3">
        <v>31</v>
      </c>
      <c r="E612" s="4"/>
    </row>
    <row r="613" spans="2:5" ht="20.100000000000001">
      <c r="B613" s="3">
        <v>710</v>
      </c>
      <c r="C613" s="4" t="s">
        <v>648</v>
      </c>
      <c r="D613" s="3">
        <v>31</v>
      </c>
      <c r="E613" s="4"/>
    </row>
    <row r="614" spans="2:5" ht="20.100000000000001">
      <c r="B614" s="3">
        <v>711</v>
      </c>
      <c r="C614" s="4">
        <v>17</v>
      </c>
      <c r="D614" s="3">
        <v>30</v>
      </c>
      <c r="E614" s="4"/>
    </row>
    <row r="615" spans="2:5" ht="20.100000000000001">
      <c r="B615" s="3">
        <v>712</v>
      </c>
      <c r="C615" s="4">
        <v>2020</v>
      </c>
      <c r="D615" s="3">
        <v>30</v>
      </c>
      <c r="E615" s="4"/>
    </row>
    <row r="616" spans="2:5" ht="20.100000000000001">
      <c r="B616" s="3">
        <v>713</v>
      </c>
      <c r="C616" s="4" t="s">
        <v>649</v>
      </c>
      <c r="D616" s="3">
        <v>30</v>
      </c>
      <c r="E616" s="4"/>
    </row>
    <row r="617" spans="2:5" ht="20.100000000000001">
      <c r="B617" s="3">
        <v>714</v>
      </c>
      <c r="C617" s="4" t="s">
        <v>650</v>
      </c>
      <c r="D617" s="3">
        <v>30</v>
      </c>
      <c r="E617" s="3"/>
    </row>
    <row r="618" spans="2:5" ht="20.100000000000001">
      <c r="B618" s="3">
        <v>715</v>
      </c>
      <c r="C618" s="4" t="s">
        <v>651</v>
      </c>
      <c r="D618" s="3">
        <v>30</v>
      </c>
      <c r="E618" s="4"/>
    </row>
    <row r="619" spans="2:5" ht="20.100000000000001">
      <c r="B619" s="3">
        <v>716</v>
      </c>
      <c r="C619" s="4" t="s">
        <v>652</v>
      </c>
      <c r="D619" s="3">
        <v>30</v>
      </c>
      <c r="E619" s="4"/>
    </row>
    <row r="620" spans="2:5" ht="20.100000000000001">
      <c r="B620" s="3">
        <v>717</v>
      </c>
      <c r="C620" s="4" t="s">
        <v>653</v>
      </c>
      <c r="D620" s="3">
        <v>30</v>
      </c>
      <c r="E620" s="4"/>
    </row>
    <row r="621" spans="2:5" ht="20.100000000000001">
      <c r="B621" s="3">
        <v>718</v>
      </c>
      <c r="C621" s="4" t="s">
        <v>654</v>
      </c>
      <c r="D621" s="3">
        <v>30</v>
      </c>
      <c r="E621" s="4"/>
    </row>
    <row r="622" spans="2:5" ht="20.100000000000001">
      <c r="B622" s="3">
        <v>719</v>
      </c>
      <c r="C622" s="4" t="s">
        <v>655</v>
      </c>
      <c r="D622" s="3">
        <v>30</v>
      </c>
      <c r="E622" s="4"/>
    </row>
    <row r="623" spans="2:5" ht="20.100000000000001">
      <c r="B623" s="3">
        <v>720</v>
      </c>
      <c r="C623" s="4" t="s">
        <v>656</v>
      </c>
      <c r="D623" s="3">
        <v>30</v>
      </c>
      <c r="E623" s="3"/>
    </row>
    <row r="624" spans="2:5" ht="20.100000000000001">
      <c r="B624" s="3">
        <v>721</v>
      </c>
      <c r="C624" s="4" t="s">
        <v>657</v>
      </c>
      <c r="D624" s="3">
        <v>30</v>
      </c>
      <c r="E624" s="4"/>
    </row>
    <row r="625" spans="2:5" ht="20.100000000000001">
      <c r="B625" s="3">
        <v>722</v>
      </c>
      <c r="C625" s="4" t="s">
        <v>658</v>
      </c>
      <c r="D625" s="3">
        <v>30</v>
      </c>
      <c r="E625" s="4"/>
    </row>
    <row r="626" spans="2:5" ht="20.100000000000001">
      <c r="B626" s="3">
        <v>723</v>
      </c>
      <c r="C626" s="4" t="s">
        <v>659</v>
      </c>
      <c r="D626" s="3">
        <v>30</v>
      </c>
      <c r="E626" s="4"/>
    </row>
    <row r="627" spans="2:5" ht="20.100000000000001">
      <c r="B627" s="3">
        <v>724</v>
      </c>
      <c r="C627" s="4" t="s">
        <v>660</v>
      </c>
      <c r="D627" s="3">
        <v>30</v>
      </c>
      <c r="E627" s="4"/>
    </row>
    <row r="628" spans="2:5" ht="20.100000000000001">
      <c r="B628" s="3">
        <v>725</v>
      </c>
      <c r="C628" s="4" t="s">
        <v>661</v>
      </c>
      <c r="D628" s="3">
        <v>30</v>
      </c>
      <c r="E628" s="4"/>
    </row>
    <row r="629" spans="2:5" ht="20.100000000000001">
      <c r="B629" s="3">
        <v>726</v>
      </c>
      <c r="C629" s="4" t="s">
        <v>662</v>
      </c>
      <c r="D629" s="3">
        <v>30</v>
      </c>
      <c r="E629" s="4"/>
    </row>
    <row r="630" spans="2:5" ht="20.100000000000001">
      <c r="B630" s="3">
        <v>727</v>
      </c>
      <c r="C630" s="4" t="s">
        <v>663</v>
      </c>
      <c r="D630" s="3">
        <v>30</v>
      </c>
      <c r="E630" s="4"/>
    </row>
    <row r="631" spans="2:5" ht="20.100000000000001">
      <c r="B631" s="3">
        <v>728</v>
      </c>
      <c r="C631" s="4" t="s">
        <v>664</v>
      </c>
      <c r="D631" s="3">
        <v>30</v>
      </c>
      <c r="E631" s="4"/>
    </row>
    <row r="632" spans="2:5" ht="20.100000000000001">
      <c r="B632" s="3">
        <v>729</v>
      </c>
      <c r="C632" s="4" t="s">
        <v>665</v>
      </c>
      <c r="D632" s="3">
        <v>30</v>
      </c>
      <c r="E632" s="3"/>
    </row>
    <row r="633" spans="2:5" ht="20.100000000000001">
      <c r="B633" s="3">
        <v>730</v>
      </c>
      <c r="C633" s="4" t="s">
        <v>666</v>
      </c>
      <c r="D633" s="3">
        <v>30</v>
      </c>
      <c r="E633" s="4"/>
    </row>
    <row r="634" spans="2:5" ht="20.100000000000001">
      <c r="B634" s="3">
        <v>731</v>
      </c>
      <c r="C634" s="4" t="s">
        <v>667</v>
      </c>
      <c r="D634" s="3">
        <v>30</v>
      </c>
      <c r="E634" s="4"/>
    </row>
    <row r="635" spans="2:5" ht="20.100000000000001">
      <c r="B635" s="3">
        <v>732</v>
      </c>
      <c r="C635" s="4" t="s">
        <v>668</v>
      </c>
      <c r="D635" s="3">
        <v>30</v>
      </c>
      <c r="E635" s="3"/>
    </row>
    <row r="636" spans="2:5" ht="20.100000000000001">
      <c r="B636" s="3">
        <v>733</v>
      </c>
      <c r="C636" s="4" t="s">
        <v>669</v>
      </c>
      <c r="D636" s="3">
        <v>30</v>
      </c>
      <c r="E636" s="4"/>
    </row>
    <row r="637" spans="2:5" ht="20.100000000000001">
      <c r="B637" s="3">
        <v>734</v>
      </c>
      <c r="C637" s="4" t="s">
        <v>670</v>
      </c>
      <c r="D637" s="3">
        <v>30</v>
      </c>
      <c r="E637" s="4"/>
    </row>
    <row r="638" spans="2:5" ht="20.100000000000001">
      <c r="B638" s="3">
        <v>735</v>
      </c>
      <c r="C638" s="4" t="s">
        <v>671</v>
      </c>
      <c r="D638" s="3">
        <v>30</v>
      </c>
      <c r="E638" s="3"/>
    </row>
    <row r="639" spans="2:5" ht="20.100000000000001">
      <c r="B639" s="3">
        <v>736</v>
      </c>
      <c r="C639" s="4" t="s">
        <v>672</v>
      </c>
      <c r="D639" s="3">
        <v>30</v>
      </c>
      <c r="E639" s="4"/>
    </row>
    <row r="640" spans="2:5" ht="20.100000000000001">
      <c r="B640" s="3">
        <v>737</v>
      </c>
      <c r="C640" s="4" t="s">
        <v>673</v>
      </c>
      <c r="D640" s="3">
        <v>30</v>
      </c>
      <c r="E640" s="3"/>
    </row>
    <row r="641" spans="2:5" ht="20.100000000000001">
      <c r="B641" s="3">
        <v>738</v>
      </c>
      <c r="C641" s="4" t="s">
        <v>674</v>
      </c>
      <c r="D641" s="3">
        <v>30</v>
      </c>
      <c r="E641" s="4"/>
    </row>
    <row r="642" spans="2:5" ht="20.100000000000001">
      <c r="B642" s="3">
        <v>739</v>
      </c>
      <c r="C642" s="4">
        <v>7</v>
      </c>
      <c r="D642" s="3">
        <v>29</v>
      </c>
      <c r="E642" s="4"/>
    </row>
    <row r="643" spans="2:5" ht="20.100000000000001">
      <c r="B643" s="3">
        <v>740</v>
      </c>
      <c r="C643" s="4" t="s">
        <v>675</v>
      </c>
      <c r="D643" s="3">
        <v>29</v>
      </c>
      <c r="E643" s="4"/>
    </row>
    <row r="644" spans="2:5" ht="20.100000000000001">
      <c r="B644" s="3">
        <v>741</v>
      </c>
      <c r="C644" s="4" t="s">
        <v>676</v>
      </c>
      <c r="D644" s="3">
        <v>29</v>
      </c>
      <c r="E644" s="4"/>
    </row>
    <row r="645" spans="2:5" ht="20.100000000000001">
      <c r="B645" s="3">
        <v>742</v>
      </c>
      <c r="C645" s="4" t="s">
        <v>677</v>
      </c>
      <c r="D645" s="3">
        <v>29</v>
      </c>
      <c r="E645" s="4"/>
    </row>
    <row r="646" spans="2:5" ht="20.100000000000001">
      <c r="B646" s="3">
        <v>743</v>
      </c>
      <c r="C646" s="4" t="s">
        <v>678</v>
      </c>
      <c r="D646" s="3">
        <v>29</v>
      </c>
      <c r="E646" s="4"/>
    </row>
    <row r="647" spans="2:5" ht="20.100000000000001">
      <c r="B647" s="3">
        <v>744</v>
      </c>
      <c r="C647" s="4" t="s">
        <v>679</v>
      </c>
      <c r="D647" s="3">
        <v>29</v>
      </c>
      <c r="E647" s="4"/>
    </row>
    <row r="648" spans="2:5" ht="20.100000000000001">
      <c r="B648" s="3">
        <v>745</v>
      </c>
      <c r="C648" s="4" t="s">
        <v>680</v>
      </c>
      <c r="D648" s="3">
        <v>29</v>
      </c>
      <c r="E648" s="4"/>
    </row>
    <row r="649" spans="2:5" ht="20.100000000000001">
      <c r="B649" s="3">
        <v>746</v>
      </c>
      <c r="C649" s="4" t="s">
        <v>681</v>
      </c>
      <c r="D649" s="3">
        <v>29</v>
      </c>
      <c r="E649" s="4"/>
    </row>
    <row r="650" spans="2:5" ht="20.100000000000001">
      <c r="B650" s="3">
        <v>747</v>
      </c>
      <c r="C650" s="4" t="s">
        <v>682</v>
      </c>
      <c r="D650" s="3">
        <v>29</v>
      </c>
      <c r="E650" s="4"/>
    </row>
    <row r="651" spans="2:5" ht="20.100000000000001">
      <c r="B651" s="3">
        <v>748</v>
      </c>
      <c r="C651" s="4" t="s">
        <v>683</v>
      </c>
      <c r="D651" s="3">
        <v>29</v>
      </c>
      <c r="E651" s="4"/>
    </row>
    <row r="652" spans="2:5" ht="20.100000000000001">
      <c r="B652" s="3">
        <v>749</v>
      </c>
      <c r="C652" s="4" t="s">
        <v>684</v>
      </c>
      <c r="D652" s="3">
        <v>29</v>
      </c>
      <c r="E652" s="4"/>
    </row>
    <row r="653" spans="2:5" ht="20.100000000000001">
      <c r="B653" s="3">
        <v>750</v>
      </c>
      <c r="C653" s="4" t="s">
        <v>685</v>
      </c>
      <c r="D653" s="3">
        <v>29</v>
      </c>
      <c r="E653" s="4"/>
    </row>
    <row r="654" spans="2:5" ht="20.100000000000001">
      <c r="B654" s="3">
        <v>751</v>
      </c>
      <c r="C654" s="4" t="s">
        <v>686</v>
      </c>
      <c r="D654" s="3">
        <v>29</v>
      </c>
      <c r="E654" s="3"/>
    </row>
    <row r="655" spans="2:5" ht="20.100000000000001">
      <c r="B655" s="3">
        <v>752</v>
      </c>
      <c r="C655" s="4" t="s">
        <v>687</v>
      </c>
      <c r="D655" s="3">
        <v>29</v>
      </c>
      <c r="E655" s="3"/>
    </row>
    <row r="656" spans="2:5" ht="20.100000000000001">
      <c r="B656" s="3">
        <v>753</v>
      </c>
      <c r="C656" s="4" t="s">
        <v>688</v>
      </c>
      <c r="D656" s="3">
        <v>29</v>
      </c>
      <c r="E656" s="4"/>
    </row>
    <row r="657" spans="2:5" ht="20.100000000000001">
      <c r="B657" s="3">
        <v>754</v>
      </c>
      <c r="C657" s="4" t="s">
        <v>689</v>
      </c>
      <c r="D657" s="3">
        <v>29</v>
      </c>
      <c r="E657" s="4"/>
    </row>
    <row r="658" spans="2:5" ht="20.100000000000001">
      <c r="B658" s="3">
        <v>755</v>
      </c>
      <c r="C658" s="4" t="s">
        <v>690</v>
      </c>
      <c r="D658" s="3">
        <v>29</v>
      </c>
      <c r="E658" s="4"/>
    </row>
    <row r="659" spans="2:5" ht="20.100000000000001">
      <c r="B659" s="3">
        <v>756</v>
      </c>
      <c r="C659" s="4" t="s">
        <v>691</v>
      </c>
      <c r="D659" s="3">
        <v>29</v>
      </c>
      <c r="E659" s="3"/>
    </row>
    <row r="660" spans="2:5" ht="20.100000000000001">
      <c r="B660" s="3">
        <v>757</v>
      </c>
      <c r="C660" s="4" t="s">
        <v>692</v>
      </c>
      <c r="D660" s="3">
        <v>29</v>
      </c>
      <c r="E660" s="4"/>
    </row>
    <row r="661" spans="2:5" ht="20.100000000000001">
      <c r="B661" s="3">
        <v>758</v>
      </c>
      <c r="C661" s="4" t="s">
        <v>693</v>
      </c>
      <c r="D661" s="3">
        <v>29</v>
      </c>
      <c r="E661" s="4"/>
    </row>
    <row r="662" spans="2:5" ht="20.100000000000001">
      <c r="B662" s="3">
        <v>759</v>
      </c>
      <c r="C662" s="4" t="s">
        <v>694</v>
      </c>
      <c r="D662" s="3">
        <v>29</v>
      </c>
      <c r="E662" s="4"/>
    </row>
    <row r="663" spans="2:5" ht="20.100000000000001">
      <c r="B663" s="3">
        <v>760</v>
      </c>
      <c r="C663" s="4" t="s">
        <v>695</v>
      </c>
      <c r="D663" s="3">
        <v>29</v>
      </c>
      <c r="E663" s="4"/>
    </row>
    <row r="664" spans="2:5" ht="20.100000000000001">
      <c r="B664" s="3">
        <v>761</v>
      </c>
      <c r="C664" s="4" t="s">
        <v>696</v>
      </c>
      <c r="D664" s="3">
        <v>29</v>
      </c>
      <c r="E664" s="3"/>
    </row>
    <row r="665" spans="2:5" ht="20.100000000000001">
      <c r="B665" s="3">
        <v>762</v>
      </c>
      <c r="C665" s="4" t="s">
        <v>697</v>
      </c>
      <c r="D665" s="3">
        <v>29</v>
      </c>
      <c r="E665" s="4"/>
    </row>
    <row r="666" spans="2:5" ht="20.100000000000001">
      <c r="B666" s="3">
        <v>763</v>
      </c>
      <c r="C666" s="4" t="s">
        <v>698</v>
      </c>
      <c r="D666" s="3">
        <v>29</v>
      </c>
      <c r="E666" s="4"/>
    </row>
    <row r="667" spans="2:5" ht="20.100000000000001">
      <c r="B667" s="3">
        <v>764</v>
      </c>
      <c r="C667" s="4" t="s">
        <v>699</v>
      </c>
      <c r="D667" s="3">
        <v>29</v>
      </c>
      <c r="E667" s="4"/>
    </row>
    <row r="668" spans="2:5" ht="20.100000000000001">
      <c r="B668" s="3">
        <v>765</v>
      </c>
      <c r="C668" s="4" t="s">
        <v>700</v>
      </c>
      <c r="D668" s="3">
        <v>29</v>
      </c>
      <c r="E668" s="3"/>
    </row>
    <row r="669" spans="2:5" ht="20.100000000000001">
      <c r="B669" s="3">
        <v>766</v>
      </c>
      <c r="C669" s="4" t="s">
        <v>701</v>
      </c>
      <c r="D669" s="3">
        <v>29</v>
      </c>
      <c r="E669" s="3"/>
    </row>
    <row r="670" spans="2:5" ht="20.100000000000001">
      <c r="B670" s="3">
        <v>767</v>
      </c>
      <c r="C670" s="4" t="s">
        <v>702</v>
      </c>
      <c r="D670" s="3">
        <v>29</v>
      </c>
      <c r="E670" s="3"/>
    </row>
    <row r="671" spans="2:5" ht="20.100000000000001">
      <c r="B671" s="3">
        <v>768</v>
      </c>
      <c r="C671" s="4" t="s">
        <v>703</v>
      </c>
      <c r="D671" s="3">
        <v>29</v>
      </c>
      <c r="E671" s="3"/>
    </row>
    <row r="672" spans="2:5" ht="20.100000000000001">
      <c r="B672" s="3">
        <v>769</v>
      </c>
      <c r="C672" s="4" t="s">
        <v>704</v>
      </c>
      <c r="D672" s="3">
        <v>29</v>
      </c>
      <c r="E672" s="4"/>
    </row>
    <row r="673" spans="2:5" ht="20.100000000000001">
      <c r="B673" s="3">
        <v>770</v>
      </c>
      <c r="C673" s="4" t="s">
        <v>705</v>
      </c>
      <c r="D673" s="3">
        <v>29</v>
      </c>
      <c r="E673" s="4"/>
    </row>
    <row r="674" spans="2:5" ht="20.100000000000001">
      <c r="B674" s="3">
        <v>771</v>
      </c>
      <c r="C674" s="4" t="s">
        <v>706</v>
      </c>
      <c r="D674" s="3">
        <v>29</v>
      </c>
      <c r="E674" s="4"/>
    </row>
    <row r="675" spans="2:5" ht="20.100000000000001">
      <c r="B675" s="3">
        <v>772</v>
      </c>
      <c r="C675" s="4" t="s">
        <v>707</v>
      </c>
      <c r="D675" s="3">
        <v>29</v>
      </c>
      <c r="E675" s="4"/>
    </row>
    <row r="676" spans="2:5" ht="20.100000000000001">
      <c r="B676" s="3">
        <v>773</v>
      </c>
      <c r="C676" s="4" t="s">
        <v>708</v>
      </c>
      <c r="D676" s="3">
        <v>29</v>
      </c>
      <c r="E676" s="4"/>
    </row>
    <row r="677" spans="2:5" ht="20.100000000000001">
      <c r="B677" s="3">
        <v>774</v>
      </c>
      <c r="C677" s="4" t="s">
        <v>709</v>
      </c>
      <c r="D677" s="3">
        <v>29</v>
      </c>
      <c r="E677" s="3"/>
    </row>
    <row r="678" spans="2:5" ht="20.100000000000001">
      <c r="B678" s="3">
        <v>775</v>
      </c>
      <c r="C678" s="4" t="s">
        <v>710</v>
      </c>
      <c r="D678" s="3">
        <v>29</v>
      </c>
      <c r="E678" s="4"/>
    </row>
    <row r="679" spans="2:5" ht="20.100000000000001">
      <c r="B679" s="3">
        <v>776</v>
      </c>
      <c r="C679" s="4" t="s">
        <v>711</v>
      </c>
      <c r="D679" s="3">
        <v>28</v>
      </c>
      <c r="E679" s="4"/>
    </row>
    <row r="680" spans="2:5" ht="20.100000000000001">
      <c r="B680" s="3">
        <v>777</v>
      </c>
      <c r="C680" s="4">
        <v>26</v>
      </c>
      <c r="D680" s="3">
        <v>28</v>
      </c>
      <c r="E680" s="4"/>
    </row>
    <row r="681" spans="2:5" ht="20.100000000000001">
      <c r="B681" s="3">
        <v>778</v>
      </c>
      <c r="C681" s="4">
        <v>50</v>
      </c>
      <c r="D681" s="3">
        <v>28</v>
      </c>
      <c r="E681" s="4"/>
    </row>
    <row r="682" spans="2:5" ht="20.100000000000001">
      <c r="B682" s="3">
        <v>779</v>
      </c>
      <c r="C682" s="4">
        <v>6</v>
      </c>
      <c r="D682" s="3">
        <v>28</v>
      </c>
      <c r="E682" s="4"/>
    </row>
    <row r="683" spans="2:5" ht="20.100000000000001">
      <c r="B683" s="3">
        <v>780</v>
      </c>
      <c r="C683" s="4" t="s">
        <v>712</v>
      </c>
      <c r="D683" s="3">
        <v>28</v>
      </c>
      <c r="E683" s="4"/>
    </row>
    <row r="684" spans="2:5" ht="20.100000000000001">
      <c r="B684" s="3">
        <v>781</v>
      </c>
      <c r="C684" s="4" t="s">
        <v>713</v>
      </c>
      <c r="D684" s="3">
        <v>28</v>
      </c>
      <c r="E684" s="4"/>
    </row>
    <row r="685" spans="2:5" ht="20.100000000000001">
      <c r="B685" s="3">
        <v>782</v>
      </c>
      <c r="C685" s="4" t="s">
        <v>714</v>
      </c>
      <c r="D685" s="3">
        <v>28</v>
      </c>
      <c r="E685" s="4"/>
    </row>
    <row r="686" spans="2:5" ht="20.100000000000001">
      <c r="B686" s="3">
        <v>783</v>
      </c>
      <c r="C686" s="4" t="s">
        <v>715</v>
      </c>
      <c r="D686" s="3">
        <v>28</v>
      </c>
      <c r="E686" s="4"/>
    </row>
    <row r="687" spans="2:5" ht="20.100000000000001">
      <c r="B687" s="3">
        <v>784</v>
      </c>
      <c r="C687" s="4" t="s">
        <v>716</v>
      </c>
      <c r="D687" s="3">
        <v>28</v>
      </c>
      <c r="E687" s="3"/>
    </row>
    <row r="688" spans="2:5" ht="20.100000000000001">
      <c r="B688" s="3">
        <v>785</v>
      </c>
      <c r="C688" s="4" t="s">
        <v>717</v>
      </c>
      <c r="D688" s="3">
        <v>28</v>
      </c>
      <c r="E688" s="4"/>
    </row>
    <row r="689" spans="2:5" ht="20.100000000000001">
      <c r="B689" s="3">
        <v>786</v>
      </c>
      <c r="C689" s="4" t="s">
        <v>718</v>
      </c>
      <c r="D689" s="3">
        <v>28</v>
      </c>
      <c r="E689" s="3"/>
    </row>
    <row r="690" spans="2:5" ht="20.100000000000001">
      <c r="B690" s="3">
        <v>787</v>
      </c>
      <c r="C690" s="4" t="s">
        <v>719</v>
      </c>
      <c r="D690" s="3">
        <v>28</v>
      </c>
      <c r="E690" s="4"/>
    </row>
    <row r="691" spans="2:5" ht="20.100000000000001">
      <c r="B691" s="3">
        <v>788</v>
      </c>
      <c r="C691" s="4" t="s">
        <v>720</v>
      </c>
      <c r="D691" s="3">
        <v>28</v>
      </c>
      <c r="E691" s="4"/>
    </row>
    <row r="692" spans="2:5" ht="20.100000000000001">
      <c r="B692" s="3">
        <v>789</v>
      </c>
      <c r="C692" s="4" t="s">
        <v>721</v>
      </c>
      <c r="D692" s="3">
        <v>28</v>
      </c>
      <c r="E692" s="4"/>
    </row>
    <row r="693" spans="2:5" ht="20.100000000000001">
      <c r="B693" s="3">
        <v>790</v>
      </c>
      <c r="C693" s="4" t="s">
        <v>722</v>
      </c>
      <c r="D693" s="3">
        <v>28</v>
      </c>
      <c r="E693" s="3"/>
    </row>
    <row r="694" spans="2:5" ht="20.100000000000001">
      <c r="B694" s="3">
        <v>791</v>
      </c>
      <c r="C694" s="4" t="s">
        <v>723</v>
      </c>
      <c r="D694" s="3">
        <v>28</v>
      </c>
      <c r="E694" s="4"/>
    </row>
    <row r="695" spans="2:5" ht="20.100000000000001">
      <c r="B695" s="3">
        <v>792</v>
      </c>
      <c r="C695" s="4" t="s">
        <v>724</v>
      </c>
      <c r="D695" s="3">
        <v>28</v>
      </c>
      <c r="E695" s="4"/>
    </row>
    <row r="696" spans="2:5" ht="20.100000000000001">
      <c r="B696" s="3">
        <v>793</v>
      </c>
      <c r="C696" s="4" t="s">
        <v>725</v>
      </c>
      <c r="D696" s="3">
        <v>28</v>
      </c>
      <c r="E696" s="4"/>
    </row>
    <row r="697" spans="2:5" ht="20.100000000000001">
      <c r="B697" s="3">
        <v>794</v>
      </c>
      <c r="C697" s="4" t="s">
        <v>726</v>
      </c>
      <c r="D697" s="3">
        <v>28</v>
      </c>
      <c r="E697" s="3"/>
    </row>
    <row r="698" spans="2:5" ht="20.100000000000001">
      <c r="B698" s="3">
        <v>795</v>
      </c>
      <c r="C698" s="4" t="s">
        <v>727</v>
      </c>
      <c r="D698" s="3">
        <v>28</v>
      </c>
      <c r="E698" s="4"/>
    </row>
    <row r="699" spans="2:5" ht="20.100000000000001">
      <c r="B699" s="3">
        <v>796</v>
      </c>
      <c r="C699" s="4" t="s">
        <v>728</v>
      </c>
      <c r="D699" s="3">
        <v>28</v>
      </c>
      <c r="E699" s="4"/>
    </row>
    <row r="700" spans="2:5" ht="20.100000000000001">
      <c r="B700" s="3">
        <v>797</v>
      </c>
      <c r="C700" s="4" t="s">
        <v>729</v>
      </c>
      <c r="D700" s="3">
        <v>28</v>
      </c>
      <c r="E700" s="4"/>
    </row>
    <row r="701" spans="2:5" ht="20.100000000000001">
      <c r="B701" s="3">
        <v>798</v>
      </c>
      <c r="C701" s="4" t="s">
        <v>730</v>
      </c>
      <c r="D701" s="3">
        <v>28</v>
      </c>
      <c r="E701" s="4"/>
    </row>
    <row r="702" spans="2:5" ht="20.100000000000001">
      <c r="B702" s="3">
        <v>799</v>
      </c>
      <c r="C702" s="4" t="s">
        <v>731</v>
      </c>
      <c r="D702" s="3">
        <v>28</v>
      </c>
      <c r="E702" s="3"/>
    </row>
    <row r="703" spans="2:5" ht="20.100000000000001">
      <c r="B703" s="3">
        <v>800</v>
      </c>
      <c r="C703" s="4" t="s">
        <v>732</v>
      </c>
      <c r="D703" s="3">
        <v>28</v>
      </c>
      <c r="E703" s="3"/>
    </row>
    <row r="704" spans="2:5" ht="20.100000000000001">
      <c r="B704" s="3">
        <v>801</v>
      </c>
      <c r="C704" s="4" t="s">
        <v>733</v>
      </c>
      <c r="D704" s="3">
        <v>28</v>
      </c>
      <c r="E704" s="4"/>
    </row>
    <row r="705" spans="2:5" ht="20.100000000000001">
      <c r="B705" s="3">
        <v>802</v>
      </c>
      <c r="C705" s="4" t="s">
        <v>734</v>
      </c>
      <c r="D705" s="3">
        <v>28</v>
      </c>
      <c r="E705" s="3"/>
    </row>
    <row r="706" spans="2:5" ht="20.100000000000001">
      <c r="B706" s="3">
        <v>803</v>
      </c>
      <c r="C706" s="4" t="s">
        <v>735</v>
      </c>
      <c r="D706" s="3">
        <v>28</v>
      </c>
      <c r="E706" s="4"/>
    </row>
    <row r="707" spans="2:5" ht="20.100000000000001">
      <c r="B707" s="3">
        <v>804</v>
      </c>
      <c r="C707" s="4" t="s">
        <v>736</v>
      </c>
      <c r="D707" s="3">
        <v>28</v>
      </c>
      <c r="E707" s="4"/>
    </row>
    <row r="708" spans="2:5" ht="20.100000000000001">
      <c r="B708" s="3">
        <v>805</v>
      </c>
      <c r="C708" s="4">
        <v>22</v>
      </c>
      <c r="D708" s="3">
        <v>27</v>
      </c>
      <c r="E708" s="3"/>
    </row>
    <row r="709" spans="2:5" ht="20.100000000000001">
      <c r="B709" s="3">
        <v>806</v>
      </c>
      <c r="C709" s="4" t="s">
        <v>737</v>
      </c>
      <c r="D709" s="3">
        <v>27</v>
      </c>
      <c r="E709" s="4"/>
    </row>
    <row r="710" spans="2:5" ht="20.100000000000001">
      <c r="B710" s="3">
        <v>807</v>
      </c>
      <c r="C710" s="4" t="s">
        <v>738</v>
      </c>
      <c r="D710" s="3">
        <v>27</v>
      </c>
      <c r="E710" s="4"/>
    </row>
    <row r="711" spans="2:5" ht="20.100000000000001">
      <c r="B711" s="3">
        <v>808</v>
      </c>
      <c r="C711" s="4" t="s">
        <v>739</v>
      </c>
      <c r="D711" s="3">
        <v>27</v>
      </c>
      <c r="E711" s="4"/>
    </row>
    <row r="712" spans="2:5" ht="20.100000000000001">
      <c r="B712" s="3">
        <v>809</v>
      </c>
      <c r="C712" s="4" t="s">
        <v>740</v>
      </c>
      <c r="D712" s="3">
        <v>27</v>
      </c>
      <c r="E712" s="4"/>
    </row>
    <row r="713" spans="2:5" ht="20.100000000000001">
      <c r="B713" s="3">
        <v>810</v>
      </c>
      <c r="C713" s="4" t="s">
        <v>741</v>
      </c>
      <c r="D713" s="3">
        <v>27</v>
      </c>
      <c r="E713" s="4"/>
    </row>
    <row r="714" spans="2:5" ht="20.100000000000001">
      <c r="B714" s="3">
        <v>811</v>
      </c>
      <c r="C714" s="4" t="s">
        <v>742</v>
      </c>
      <c r="D714" s="3">
        <v>27</v>
      </c>
      <c r="E714" s="4"/>
    </row>
    <row r="715" spans="2:5" ht="20.100000000000001">
      <c r="B715" s="3">
        <v>812</v>
      </c>
      <c r="C715" s="4" t="s">
        <v>743</v>
      </c>
      <c r="D715" s="3">
        <v>27</v>
      </c>
      <c r="E715" s="4"/>
    </row>
    <row r="716" spans="2:5" ht="20.100000000000001">
      <c r="B716" s="3">
        <v>813</v>
      </c>
      <c r="C716" s="4" t="s">
        <v>744</v>
      </c>
      <c r="D716" s="3">
        <v>27</v>
      </c>
      <c r="E716" s="4"/>
    </row>
    <row r="717" spans="2:5" ht="20.100000000000001">
      <c r="B717" s="3">
        <v>814</v>
      </c>
      <c r="C717" s="4" t="s">
        <v>745</v>
      </c>
      <c r="D717" s="3">
        <v>27</v>
      </c>
      <c r="E717" s="4"/>
    </row>
    <row r="718" spans="2:5" ht="20.100000000000001">
      <c r="B718" s="3">
        <v>815</v>
      </c>
      <c r="C718" s="4" t="s">
        <v>746</v>
      </c>
      <c r="D718" s="3">
        <v>27</v>
      </c>
      <c r="E718" s="4"/>
    </row>
    <row r="719" spans="2:5" ht="20.100000000000001">
      <c r="B719" s="3">
        <v>816</v>
      </c>
      <c r="C719" s="4" t="s">
        <v>747</v>
      </c>
      <c r="D719" s="3">
        <v>27</v>
      </c>
      <c r="E719" s="4"/>
    </row>
    <row r="720" spans="2:5" ht="20.100000000000001">
      <c r="B720" s="3">
        <v>817</v>
      </c>
      <c r="C720" s="4" t="s">
        <v>748</v>
      </c>
      <c r="D720" s="3">
        <v>27</v>
      </c>
      <c r="E720" s="4"/>
    </row>
    <row r="721" spans="2:5" ht="20.100000000000001">
      <c r="B721" s="3">
        <v>818</v>
      </c>
      <c r="C721" s="4" t="s">
        <v>749</v>
      </c>
      <c r="D721" s="3">
        <v>27</v>
      </c>
      <c r="E721" s="4"/>
    </row>
    <row r="722" spans="2:5" ht="20.100000000000001">
      <c r="B722" s="3">
        <v>819</v>
      </c>
      <c r="C722" s="4" t="s">
        <v>750</v>
      </c>
      <c r="D722" s="3">
        <v>27</v>
      </c>
      <c r="E722" s="4"/>
    </row>
    <row r="723" spans="2:5" ht="20.100000000000001">
      <c r="B723" s="3">
        <v>820</v>
      </c>
      <c r="C723" s="4" t="s">
        <v>751</v>
      </c>
      <c r="D723" s="3">
        <v>27</v>
      </c>
      <c r="E723" s="4"/>
    </row>
    <row r="724" spans="2:5" ht="20.100000000000001">
      <c r="B724" s="3">
        <v>821</v>
      </c>
      <c r="C724" s="4" t="s">
        <v>752</v>
      </c>
      <c r="D724" s="3">
        <v>27</v>
      </c>
      <c r="E724" s="4"/>
    </row>
    <row r="725" spans="2:5" ht="20.100000000000001">
      <c r="B725" s="3">
        <v>822</v>
      </c>
      <c r="C725" s="4" t="s">
        <v>753</v>
      </c>
      <c r="D725" s="3">
        <v>27</v>
      </c>
      <c r="E725" s="4"/>
    </row>
    <row r="726" spans="2:5" ht="20.100000000000001">
      <c r="B726" s="3">
        <v>823</v>
      </c>
      <c r="C726" s="4" t="s">
        <v>754</v>
      </c>
      <c r="D726" s="3">
        <v>27</v>
      </c>
      <c r="E726" s="4"/>
    </row>
    <row r="727" spans="2:5" ht="20.100000000000001">
      <c r="B727" s="3">
        <v>824</v>
      </c>
      <c r="C727" s="4" t="s">
        <v>755</v>
      </c>
      <c r="D727" s="3">
        <v>27</v>
      </c>
      <c r="E727" s="4"/>
    </row>
    <row r="728" spans="2:5" ht="20.100000000000001">
      <c r="B728" s="3">
        <v>825</v>
      </c>
      <c r="C728" s="4" t="s">
        <v>756</v>
      </c>
      <c r="D728" s="3">
        <v>27</v>
      </c>
      <c r="E728" s="4"/>
    </row>
    <row r="729" spans="2:5" ht="20.100000000000001">
      <c r="B729" s="3">
        <v>826</v>
      </c>
      <c r="C729" s="4" t="s">
        <v>757</v>
      </c>
      <c r="D729" s="3">
        <v>27</v>
      </c>
      <c r="E729" s="4"/>
    </row>
    <row r="730" spans="2:5" ht="20.100000000000001">
      <c r="B730" s="3">
        <v>827</v>
      </c>
      <c r="C730" s="4" t="s">
        <v>758</v>
      </c>
      <c r="D730" s="3">
        <v>27</v>
      </c>
      <c r="E730" s="3"/>
    </row>
    <row r="731" spans="2:5" ht="20.100000000000001">
      <c r="B731" s="3">
        <v>828</v>
      </c>
      <c r="C731" s="4" t="s">
        <v>759</v>
      </c>
      <c r="D731" s="3">
        <v>27</v>
      </c>
      <c r="E731" s="4"/>
    </row>
    <row r="732" spans="2:5" ht="20.100000000000001">
      <c r="B732" s="3">
        <v>829</v>
      </c>
      <c r="C732" s="4" t="s">
        <v>760</v>
      </c>
      <c r="D732" s="3">
        <v>27</v>
      </c>
      <c r="E732" s="4"/>
    </row>
    <row r="733" spans="2:5" ht="20.100000000000001">
      <c r="B733" s="3">
        <v>830</v>
      </c>
      <c r="C733" s="4" t="s">
        <v>761</v>
      </c>
      <c r="D733" s="3">
        <v>27</v>
      </c>
      <c r="E733" s="4"/>
    </row>
    <row r="734" spans="2:5" ht="20.100000000000001">
      <c r="B734" s="3">
        <v>831</v>
      </c>
      <c r="C734" s="4" t="s">
        <v>762</v>
      </c>
      <c r="D734" s="3">
        <v>27</v>
      </c>
      <c r="E734" s="4"/>
    </row>
    <row r="735" spans="2:5" ht="20.100000000000001">
      <c r="B735" s="3">
        <v>832</v>
      </c>
      <c r="C735" s="4" t="s">
        <v>763</v>
      </c>
      <c r="D735" s="3">
        <v>27</v>
      </c>
      <c r="E735" s="4"/>
    </row>
    <row r="736" spans="2:5" ht="20.100000000000001">
      <c r="B736" s="3">
        <v>833</v>
      </c>
      <c r="C736" s="4" t="s">
        <v>764</v>
      </c>
      <c r="D736" s="3">
        <v>27</v>
      </c>
      <c r="E736" s="4"/>
    </row>
    <row r="737" spans="2:5" ht="20.100000000000001">
      <c r="B737" s="3">
        <v>834</v>
      </c>
      <c r="C737" s="4" t="s">
        <v>765</v>
      </c>
      <c r="D737" s="3">
        <v>27</v>
      </c>
      <c r="E737" s="4"/>
    </row>
    <row r="738" spans="2:5" ht="20.100000000000001">
      <c r="B738" s="3">
        <v>835</v>
      </c>
      <c r="C738" s="4" t="s">
        <v>766</v>
      </c>
      <c r="D738" s="3">
        <v>27</v>
      </c>
      <c r="E738" s="4"/>
    </row>
    <row r="739" spans="2:5" ht="20.100000000000001">
      <c r="B739" s="3">
        <v>836</v>
      </c>
      <c r="C739" s="4" t="s">
        <v>767</v>
      </c>
      <c r="D739" s="3">
        <v>27</v>
      </c>
      <c r="E739" s="3"/>
    </row>
    <row r="740" spans="2:5" ht="20.100000000000001">
      <c r="B740" s="3">
        <v>837</v>
      </c>
      <c r="C740" s="4" t="s">
        <v>768</v>
      </c>
      <c r="D740" s="3">
        <v>27</v>
      </c>
      <c r="E740" s="4"/>
    </row>
    <row r="741" spans="2:5" ht="20.100000000000001">
      <c r="B741" s="3">
        <v>838</v>
      </c>
      <c r="C741" s="4" t="s">
        <v>769</v>
      </c>
      <c r="D741" s="3">
        <v>27</v>
      </c>
      <c r="E741" s="4"/>
    </row>
    <row r="742" spans="2:5" ht="20.100000000000001">
      <c r="B742" s="3">
        <v>839</v>
      </c>
      <c r="C742" s="4" t="s">
        <v>770</v>
      </c>
      <c r="D742" s="3">
        <v>27</v>
      </c>
      <c r="E742" s="4"/>
    </row>
    <row r="743" spans="2:5" ht="20.100000000000001">
      <c r="B743" s="3">
        <v>840</v>
      </c>
      <c r="C743" s="4" t="s">
        <v>771</v>
      </c>
      <c r="D743" s="3">
        <v>26</v>
      </c>
      <c r="E743" s="4"/>
    </row>
    <row r="744" spans="2:5" ht="20.100000000000001">
      <c r="B744" s="3">
        <v>841</v>
      </c>
      <c r="C744" s="4" t="s">
        <v>772</v>
      </c>
      <c r="D744" s="3">
        <v>26</v>
      </c>
      <c r="E744" s="4"/>
    </row>
    <row r="745" spans="2:5" ht="20.100000000000001">
      <c r="B745" s="3">
        <v>842</v>
      </c>
      <c r="C745" s="4" t="s">
        <v>773</v>
      </c>
      <c r="D745" s="3">
        <v>26</v>
      </c>
      <c r="E745" s="4"/>
    </row>
    <row r="746" spans="2:5" ht="20.100000000000001">
      <c r="B746" s="3">
        <v>843</v>
      </c>
      <c r="C746" s="4" t="s">
        <v>774</v>
      </c>
      <c r="D746" s="3">
        <v>26</v>
      </c>
      <c r="E746" s="3"/>
    </row>
    <row r="747" spans="2:5" ht="20.100000000000001">
      <c r="B747" s="3">
        <v>844</v>
      </c>
      <c r="C747" s="4" t="s">
        <v>775</v>
      </c>
      <c r="D747" s="3">
        <v>26</v>
      </c>
      <c r="E747" s="4"/>
    </row>
    <row r="748" spans="2:5" ht="20.100000000000001">
      <c r="B748" s="3">
        <v>845</v>
      </c>
      <c r="C748" s="4" t="s">
        <v>776</v>
      </c>
      <c r="D748" s="3">
        <v>26</v>
      </c>
      <c r="E748" s="4"/>
    </row>
    <row r="749" spans="2:5" ht="20.100000000000001">
      <c r="B749" s="3">
        <v>846</v>
      </c>
      <c r="C749" s="4" t="s">
        <v>777</v>
      </c>
      <c r="D749" s="3">
        <v>26</v>
      </c>
      <c r="E749" s="4"/>
    </row>
    <row r="750" spans="2:5" ht="20.100000000000001">
      <c r="B750" s="3">
        <v>847</v>
      </c>
      <c r="C750" s="4" t="s">
        <v>778</v>
      </c>
      <c r="D750" s="3">
        <v>26</v>
      </c>
      <c r="E750" s="4"/>
    </row>
    <row r="751" spans="2:5" ht="20.100000000000001">
      <c r="B751" s="3">
        <v>848</v>
      </c>
      <c r="C751" s="4" t="s">
        <v>779</v>
      </c>
      <c r="D751" s="3">
        <v>26</v>
      </c>
      <c r="E751" s="4"/>
    </row>
    <row r="752" spans="2:5" ht="20.100000000000001">
      <c r="B752" s="3">
        <v>849</v>
      </c>
      <c r="C752" s="4" t="s">
        <v>780</v>
      </c>
      <c r="D752" s="3">
        <v>26</v>
      </c>
      <c r="E752" s="4"/>
    </row>
    <row r="753" spans="2:5" ht="20.100000000000001">
      <c r="B753" s="3">
        <v>850</v>
      </c>
      <c r="C753" s="4" t="s">
        <v>781</v>
      </c>
      <c r="D753" s="3">
        <v>26</v>
      </c>
      <c r="E753" s="4"/>
    </row>
    <row r="754" spans="2:5" ht="20.100000000000001">
      <c r="B754" s="3">
        <v>851</v>
      </c>
      <c r="C754" s="4" t="s">
        <v>782</v>
      </c>
      <c r="D754" s="3">
        <v>26</v>
      </c>
      <c r="E754" s="4"/>
    </row>
    <row r="755" spans="2:5" ht="20.100000000000001">
      <c r="B755" s="3">
        <v>852</v>
      </c>
      <c r="C755" s="4" t="s">
        <v>783</v>
      </c>
      <c r="D755" s="3">
        <v>26</v>
      </c>
      <c r="E755" s="4"/>
    </row>
    <row r="756" spans="2:5" ht="20.100000000000001">
      <c r="B756" s="3">
        <v>853</v>
      </c>
      <c r="C756" s="4" t="s">
        <v>784</v>
      </c>
      <c r="D756" s="3">
        <v>26</v>
      </c>
      <c r="E756" s="4"/>
    </row>
    <row r="757" spans="2:5" ht="20.100000000000001">
      <c r="B757" s="3">
        <v>854</v>
      </c>
      <c r="C757" s="4" t="s">
        <v>785</v>
      </c>
      <c r="D757" s="3">
        <v>26</v>
      </c>
      <c r="E757" s="4"/>
    </row>
    <row r="758" spans="2:5" ht="20.100000000000001">
      <c r="B758" s="3">
        <v>855</v>
      </c>
      <c r="C758" s="4" t="s">
        <v>786</v>
      </c>
      <c r="D758" s="3">
        <v>26</v>
      </c>
      <c r="E758" s="4"/>
    </row>
    <row r="759" spans="2:5" ht="20.100000000000001">
      <c r="B759" s="3">
        <v>856</v>
      </c>
      <c r="C759" s="4" t="s">
        <v>787</v>
      </c>
      <c r="D759" s="3">
        <v>26</v>
      </c>
      <c r="E759" s="4"/>
    </row>
    <row r="760" spans="2:5" ht="20.100000000000001">
      <c r="B760" s="3">
        <v>857</v>
      </c>
      <c r="C760" s="4" t="s">
        <v>788</v>
      </c>
      <c r="D760" s="3">
        <v>26</v>
      </c>
      <c r="E760" s="4"/>
    </row>
    <row r="761" spans="2:5" ht="20.100000000000001">
      <c r="B761" s="3">
        <v>858</v>
      </c>
      <c r="C761" s="4" t="s">
        <v>789</v>
      </c>
      <c r="D761" s="3">
        <v>26</v>
      </c>
      <c r="E761" s="4"/>
    </row>
    <row r="762" spans="2:5" ht="20.100000000000001">
      <c r="B762" s="3">
        <v>859</v>
      </c>
      <c r="C762" s="4" t="s">
        <v>790</v>
      </c>
      <c r="D762" s="3">
        <v>26</v>
      </c>
      <c r="E762" s="4"/>
    </row>
    <row r="763" spans="2:5" ht="20.100000000000001">
      <c r="B763" s="3">
        <v>860</v>
      </c>
      <c r="C763" s="4" t="s">
        <v>791</v>
      </c>
      <c r="D763" s="3">
        <v>26</v>
      </c>
      <c r="E763" s="4"/>
    </row>
    <row r="764" spans="2:5" ht="20.100000000000001">
      <c r="B764" s="3">
        <v>861</v>
      </c>
      <c r="C764" s="4" t="s">
        <v>792</v>
      </c>
      <c r="D764" s="3">
        <v>26</v>
      </c>
      <c r="E764" s="4"/>
    </row>
    <row r="765" spans="2:5" ht="20.100000000000001">
      <c r="B765" s="3">
        <v>862</v>
      </c>
      <c r="C765" s="4" t="s">
        <v>793</v>
      </c>
      <c r="D765" s="3">
        <v>26</v>
      </c>
      <c r="E765" s="4"/>
    </row>
    <row r="766" spans="2:5" ht="20.100000000000001">
      <c r="B766" s="3">
        <v>863</v>
      </c>
      <c r="C766" s="4" t="s">
        <v>794</v>
      </c>
      <c r="D766" s="3">
        <v>26</v>
      </c>
      <c r="E766" s="4"/>
    </row>
    <row r="767" spans="2:5" ht="20.100000000000001">
      <c r="B767" s="3">
        <v>864</v>
      </c>
      <c r="C767" s="4" t="s">
        <v>795</v>
      </c>
      <c r="D767" s="3">
        <v>26</v>
      </c>
      <c r="E767" s="3"/>
    </row>
    <row r="768" spans="2:5" ht="20.100000000000001">
      <c r="B768" s="3">
        <v>865</v>
      </c>
      <c r="C768" s="4" t="s">
        <v>796</v>
      </c>
      <c r="D768" s="3">
        <v>26</v>
      </c>
      <c r="E768" s="4"/>
    </row>
    <row r="769" spans="2:5" ht="20.100000000000001">
      <c r="B769" s="3">
        <v>866</v>
      </c>
      <c r="C769" s="4" t="s">
        <v>797</v>
      </c>
      <c r="D769" s="3">
        <v>26</v>
      </c>
      <c r="E769" s="4"/>
    </row>
    <row r="770" spans="2:5" ht="20.100000000000001">
      <c r="B770" s="3">
        <v>867</v>
      </c>
      <c r="C770" s="4" t="s">
        <v>798</v>
      </c>
      <c r="D770" s="3">
        <v>26</v>
      </c>
      <c r="E770" s="4"/>
    </row>
    <row r="771" spans="2:5" ht="20.100000000000001">
      <c r="B771" s="3">
        <v>868</v>
      </c>
      <c r="C771" s="4" t="s">
        <v>799</v>
      </c>
      <c r="D771" s="3">
        <v>26</v>
      </c>
      <c r="E771" s="3"/>
    </row>
    <row r="772" spans="2:5" ht="20.100000000000001">
      <c r="B772" s="3">
        <v>869</v>
      </c>
      <c r="C772" s="4" t="s">
        <v>800</v>
      </c>
      <c r="D772" s="3">
        <v>26</v>
      </c>
      <c r="E772" s="4"/>
    </row>
    <row r="773" spans="2:5" ht="20.100000000000001">
      <c r="B773" s="3">
        <v>870</v>
      </c>
      <c r="C773" s="4" t="s">
        <v>801</v>
      </c>
      <c r="D773" s="3">
        <v>26</v>
      </c>
      <c r="E773" s="4"/>
    </row>
    <row r="774" spans="2:5" ht="20.100000000000001">
      <c r="B774" s="3">
        <v>871</v>
      </c>
      <c r="C774" s="4" t="s">
        <v>802</v>
      </c>
      <c r="D774" s="3">
        <v>26</v>
      </c>
      <c r="E774" s="4"/>
    </row>
    <row r="775" spans="2:5" ht="20.100000000000001">
      <c r="B775" s="3">
        <v>872</v>
      </c>
      <c r="C775" s="4" t="s">
        <v>803</v>
      </c>
      <c r="D775" s="3">
        <v>26</v>
      </c>
      <c r="E775" s="3"/>
    </row>
    <row r="776" spans="2:5" ht="20.100000000000001">
      <c r="B776" s="3">
        <v>873</v>
      </c>
      <c r="C776" s="4" t="s">
        <v>804</v>
      </c>
      <c r="D776" s="3">
        <v>26</v>
      </c>
      <c r="E776" s="4"/>
    </row>
    <row r="777" spans="2:5" ht="20.100000000000001">
      <c r="B777" s="3">
        <v>874</v>
      </c>
      <c r="C777" s="4" t="s">
        <v>805</v>
      </c>
      <c r="D777" s="3">
        <v>26</v>
      </c>
      <c r="E777" s="4"/>
    </row>
    <row r="778" spans="2:5" ht="20.100000000000001">
      <c r="B778" s="3">
        <v>875</v>
      </c>
      <c r="C778" s="4" t="s">
        <v>806</v>
      </c>
      <c r="D778" s="3">
        <v>26</v>
      </c>
      <c r="E778" s="3"/>
    </row>
    <row r="779" spans="2:5" ht="20.100000000000001">
      <c r="B779" s="3">
        <v>876</v>
      </c>
      <c r="C779" s="4" t="s">
        <v>807</v>
      </c>
      <c r="D779" s="3">
        <v>25</v>
      </c>
      <c r="E779" s="3"/>
    </row>
    <row r="780" spans="2:5" ht="20.100000000000001">
      <c r="B780" s="3">
        <v>877</v>
      </c>
      <c r="C780" s="4" t="s">
        <v>808</v>
      </c>
      <c r="D780" s="3">
        <v>25</v>
      </c>
      <c r="E780" s="4"/>
    </row>
    <row r="781" spans="2:5" ht="20.100000000000001">
      <c r="B781" s="3">
        <v>878</v>
      </c>
      <c r="C781" s="4" t="s">
        <v>809</v>
      </c>
      <c r="D781" s="3">
        <v>25</v>
      </c>
      <c r="E781" s="3"/>
    </row>
    <row r="782" spans="2:5" ht="20.100000000000001">
      <c r="B782" s="3">
        <v>879</v>
      </c>
      <c r="C782" s="4" t="s">
        <v>810</v>
      </c>
      <c r="D782" s="3">
        <v>25</v>
      </c>
      <c r="E782" s="4"/>
    </row>
    <row r="783" spans="2:5" ht="20.100000000000001">
      <c r="B783" s="3">
        <v>880</v>
      </c>
      <c r="C783" s="4" t="s">
        <v>811</v>
      </c>
      <c r="D783" s="3">
        <v>25</v>
      </c>
      <c r="E783" s="4"/>
    </row>
    <row r="784" spans="2:5" ht="20.100000000000001">
      <c r="B784" s="3">
        <v>881</v>
      </c>
      <c r="C784" s="4" t="s">
        <v>812</v>
      </c>
      <c r="D784" s="3">
        <v>25</v>
      </c>
      <c r="E784" s="4"/>
    </row>
    <row r="785" spans="2:5" ht="20.100000000000001">
      <c r="B785" s="3">
        <v>882</v>
      </c>
      <c r="C785" s="4" t="s">
        <v>813</v>
      </c>
      <c r="D785" s="3">
        <v>25</v>
      </c>
      <c r="E785" s="4"/>
    </row>
    <row r="786" spans="2:5" ht="20.100000000000001">
      <c r="B786" s="3">
        <v>883</v>
      </c>
      <c r="C786" s="4" t="s">
        <v>814</v>
      </c>
      <c r="D786" s="3">
        <v>25</v>
      </c>
      <c r="E786" s="3"/>
    </row>
    <row r="787" spans="2:5" ht="20.100000000000001">
      <c r="B787" s="3">
        <v>884</v>
      </c>
      <c r="C787" s="4" t="s">
        <v>815</v>
      </c>
      <c r="D787" s="3">
        <v>25</v>
      </c>
      <c r="E787" s="4"/>
    </row>
    <row r="788" spans="2:5" ht="20.100000000000001">
      <c r="B788" s="3">
        <v>885</v>
      </c>
      <c r="C788" s="4" t="s">
        <v>816</v>
      </c>
      <c r="D788" s="3">
        <v>25</v>
      </c>
      <c r="E788" s="4"/>
    </row>
    <row r="789" spans="2:5" ht="20.100000000000001">
      <c r="B789" s="3">
        <v>886</v>
      </c>
      <c r="C789" s="4" t="s">
        <v>817</v>
      </c>
      <c r="D789" s="3">
        <v>25</v>
      </c>
      <c r="E789" s="4"/>
    </row>
    <row r="790" spans="2:5" ht="20.100000000000001">
      <c r="B790" s="3">
        <v>887</v>
      </c>
      <c r="C790" s="4" t="s">
        <v>818</v>
      </c>
      <c r="D790" s="3">
        <v>25</v>
      </c>
      <c r="E790" s="4"/>
    </row>
    <row r="791" spans="2:5" ht="20.100000000000001">
      <c r="B791" s="3">
        <v>888</v>
      </c>
      <c r="C791" s="4" t="s">
        <v>819</v>
      </c>
      <c r="D791" s="3">
        <v>25</v>
      </c>
      <c r="E791" s="4"/>
    </row>
    <row r="792" spans="2:5" ht="20.100000000000001">
      <c r="B792" s="3">
        <v>889</v>
      </c>
      <c r="C792" s="4" t="s">
        <v>820</v>
      </c>
      <c r="D792" s="3">
        <v>25</v>
      </c>
      <c r="E792" s="4"/>
    </row>
    <row r="793" spans="2:5" ht="20.100000000000001">
      <c r="B793" s="3">
        <v>890</v>
      </c>
      <c r="C793" s="4" t="s">
        <v>821</v>
      </c>
      <c r="D793" s="3">
        <v>25</v>
      </c>
      <c r="E793" s="4"/>
    </row>
    <row r="794" spans="2:5" ht="20.100000000000001">
      <c r="B794" s="3">
        <v>891</v>
      </c>
      <c r="C794" s="4" t="s">
        <v>822</v>
      </c>
      <c r="D794" s="3">
        <v>25</v>
      </c>
      <c r="E794" s="4"/>
    </row>
    <row r="795" spans="2:5" ht="20.100000000000001">
      <c r="B795" s="3">
        <v>892</v>
      </c>
      <c r="C795" s="4" t="s">
        <v>823</v>
      </c>
      <c r="D795" s="3">
        <v>25</v>
      </c>
      <c r="E795" s="4"/>
    </row>
    <row r="796" spans="2:5" ht="20.100000000000001">
      <c r="B796" s="3">
        <v>893</v>
      </c>
      <c r="C796" s="4" t="s">
        <v>824</v>
      </c>
      <c r="D796" s="3">
        <v>25</v>
      </c>
      <c r="E796" s="4"/>
    </row>
    <row r="797" spans="2:5" ht="20.100000000000001">
      <c r="B797" s="3">
        <v>894</v>
      </c>
      <c r="C797" s="4" t="s">
        <v>825</v>
      </c>
      <c r="D797" s="3">
        <v>25</v>
      </c>
      <c r="E797" s="4"/>
    </row>
    <row r="798" spans="2:5" ht="20.100000000000001">
      <c r="B798" s="3">
        <v>895</v>
      </c>
      <c r="C798" s="4" t="s">
        <v>826</v>
      </c>
      <c r="D798" s="3">
        <v>25</v>
      </c>
      <c r="E798" s="4"/>
    </row>
    <row r="799" spans="2:5" ht="20.100000000000001">
      <c r="B799" s="3">
        <v>896</v>
      </c>
      <c r="C799" s="4" t="s">
        <v>827</v>
      </c>
      <c r="D799" s="3">
        <v>25</v>
      </c>
      <c r="E799" s="4"/>
    </row>
    <row r="800" spans="2:5" ht="20.100000000000001">
      <c r="B800" s="3">
        <v>897</v>
      </c>
      <c r="C800" s="4" t="s">
        <v>828</v>
      </c>
      <c r="D800" s="3">
        <v>25</v>
      </c>
      <c r="E800" s="4"/>
    </row>
    <row r="801" spans="2:5" ht="20.100000000000001">
      <c r="B801" s="3">
        <v>898</v>
      </c>
      <c r="C801" s="4" t="s">
        <v>829</v>
      </c>
      <c r="D801" s="3">
        <v>25</v>
      </c>
      <c r="E801" s="4"/>
    </row>
    <row r="802" spans="2:5" ht="20.100000000000001">
      <c r="B802" s="3">
        <v>899</v>
      </c>
      <c r="C802" s="4" t="s">
        <v>830</v>
      </c>
      <c r="D802" s="3">
        <v>25</v>
      </c>
      <c r="E802" s="4"/>
    </row>
    <row r="803" spans="2:5" ht="20.100000000000001">
      <c r="B803" s="3">
        <v>900</v>
      </c>
      <c r="C803" s="4" t="s">
        <v>831</v>
      </c>
      <c r="D803" s="3">
        <v>25</v>
      </c>
      <c r="E803" s="4"/>
    </row>
    <row r="804" spans="2:5" ht="20.100000000000001">
      <c r="B804" s="3">
        <v>901</v>
      </c>
      <c r="C804" s="4" t="s">
        <v>832</v>
      </c>
      <c r="D804" s="3">
        <v>25</v>
      </c>
      <c r="E804" s="4"/>
    </row>
    <row r="805" spans="2:5" ht="20.100000000000001">
      <c r="B805" s="3">
        <v>902</v>
      </c>
      <c r="C805" s="4" t="s">
        <v>833</v>
      </c>
      <c r="D805" s="3">
        <v>25</v>
      </c>
      <c r="E805" s="4"/>
    </row>
    <row r="806" spans="2:5" ht="20.100000000000001">
      <c r="B806" s="3">
        <v>903</v>
      </c>
      <c r="C806" s="4" t="s">
        <v>834</v>
      </c>
      <c r="D806" s="3">
        <v>25</v>
      </c>
      <c r="E806" s="4"/>
    </row>
    <row r="807" spans="2:5" ht="20.100000000000001">
      <c r="B807" s="3">
        <v>904</v>
      </c>
      <c r="C807" s="4" t="s">
        <v>835</v>
      </c>
      <c r="D807" s="3">
        <v>25</v>
      </c>
      <c r="E807" s="4"/>
    </row>
    <row r="808" spans="2:5" ht="20.100000000000001">
      <c r="B808" s="3">
        <v>905</v>
      </c>
      <c r="C808" s="4" t="s">
        <v>836</v>
      </c>
      <c r="D808" s="3">
        <v>25</v>
      </c>
      <c r="E808" s="3"/>
    </row>
    <row r="809" spans="2:5" ht="20.100000000000001">
      <c r="B809" s="3">
        <v>906</v>
      </c>
      <c r="C809" s="4" t="s">
        <v>837</v>
      </c>
      <c r="D809" s="3">
        <v>25</v>
      </c>
      <c r="E809" s="4"/>
    </row>
    <row r="810" spans="2:5" ht="20.100000000000001">
      <c r="B810" s="3">
        <v>907</v>
      </c>
      <c r="C810" s="4" t="s">
        <v>838</v>
      </c>
      <c r="D810" s="3">
        <v>25</v>
      </c>
      <c r="E810" s="4"/>
    </row>
    <row r="811" spans="2:5" ht="20.100000000000001">
      <c r="B811" s="3">
        <v>908</v>
      </c>
      <c r="C811" s="4" t="s">
        <v>839</v>
      </c>
      <c r="D811" s="3">
        <v>25</v>
      </c>
      <c r="E811" s="4"/>
    </row>
    <row r="812" spans="2:5" ht="20.100000000000001">
      <c r="B812" s="3">
        <v>909</v>
      </c>
      <c r="C812" s="4" t="s">
        <v>840</v>
      </c>
      <c r="D812" s="3">
        <v>25</v>
      </c>
      <c r="E812" s="4"/>
    </row>
    <row r="813" spans="2:5" ht="20.100000000000001">
      <c r="B813" s="3">
        <v>910</v>
      </c>
      <c r="C813" s="4" t="s">
        <v>841</v>
      </c>
      <c r="D813" s="3">
        <v>25</v>
      </c>
      <c r="E813" s="4"/>
    </row>
    <row r="814" spans="2:5" ht="20.100000000000001">
      <c r="B814" s="3">
        <v>911</v>
      </c>
      <c r="C814" s="4" t="s">
        <v>842</v>
      </c>
      <c r="D814" s="3">
        <v>25</v>
      </c>
      <c r="E814" s="4"/>
    </row>
    <row r="815" spans="2:5" ht="20.100000000000001">
      <c r="B815" s="3">
        <v>912</v>
      </c>
      <c r="C815" s="4">
        <v>19</v>
      </c>
      <c r="D815" s="3">
        <v>24</v>
      </c>
      <c r="E815" s="4"/>
    </row>
    <row r="816" spans="2:5" ht="20.100000000000001">
      <c r="B816" s="3">
        <v>913</v>
      </c>
      <c r="C816" s="4">
        <v>1996</v>
      </c>
      <c r="D816" s="3">
        <v>24</v>
      </c>
      <c r="E816" s="4"/>
    </row>
    <row r="817" spans="2:5" ht="20.100000000000001">
      <c r="B817" s="3">
        <v>914</v>
      </c>
      <c r="C817" s="4">
        <v>1999</v>
      </c>
      <c r="D817" s="3">
        <v>24</v>
      </c>
      <c r="E817" s="4"/>
    </row>
    <row r="818" spans="2:5" ht="20.100000000000001">
      <c r="B818" s="3">
        <v>915</v>
      </c>
      <c r="C818" s="4" t="s">
        <v>843</v>
      </c>
      <c r="D818" s="3">
        <v>24</v>
      </c>
      <c r="E818" s="4"/>
    </row>
    <row r="819" spans="2:5" ht="20.100000000000001">
      <c r="B819" s="3">
        <v>916</v>
      </c>
      <c r="C819" s="4" t="s">
        <v>844</v>
      </c>
      <c r="D819" s="3">
        <v>24</v>
      </c>
      <c r="E819" s="3"/>
    </row>
    <row r="820" spans="2:5" ht="20.100000000000001">
      <c r="B820" s="3">
        <v>917</v>
      </c>
      <c r="C820" s="4" t="s">
        <v>845</v>
      </c>
      <c r="D820" s="3">
        <v>24</v>
      </c>
      <c r="E820" s="4"/>
    </row>
    <row r="821" spans="2:5" ht="20.100000000000001">
      <c r="B821" s="3">
        <v>918</v>
      </c>
      <c r="C821" s="4" t="s">
        <v>846</v>
      </c>
      <c r="D821" s="3">
        <v>24</v>
      </c>
      <c r="E821" s="4"/>
    </row>
    <row r="822" spans="2:5" ht="20.100000000000001">
      <c r="B822" s="3">
        <v>919</v>
      </c>
      <c r="C822" s="4" t="s">
        <v>847</v>
      </c>
      <c r="D822" s="3">
        <v>24</v>
      </c>
      <c r="E822" s="4"/>
    </row>
    <row r="823" spans="2:5" ht="20.100000000000001">
      <c r="B823" s="3">
        <v>920</v>
      </c>
      <c r="C823" s="4" t="s">
        <v>848</v>
      </c>
      <c r="D823" s="3">
        <v>24</v>
      </c>
      <c r="E823" s="4"/>
    </row>
    <row r="824" spans="2:5" ht="20.100000000000001">
      <c r="B824" s="3">
        <v>921</v>
      </c>
      <c r="C824" s="4" t="s">
        <v>849</v>
      </c>
      <c r="D824" s="3">
        <v>24</v>
      </c>
      <c r="E824" s="4"/>
    </row>
    <row r="825" spans="2:5" ht="20.100000000000001">
      <c r="B825" s="3">
        <v>922</v>
      </c>
      <c r="C825" s="4" t="s">
        <v>850</v>
      </c>
      <c r="D825" s="3">
        <v>24</v>
      </c>
      <c r="E825" s="4"/>
    </row>
    <row r="826" spans="2:5" ht="20.100000000000001">
      <c r="B826" s="3">
        <v>923</v>
      </c>
      <c r="C826" s="4" t="s">
        <v>851</v>
      </c>
      <c r="D826" s="3">
        <v>24</v>
      </c>
      <c r="E826" s="4"/>
    </row>
    <row r="827" spans="2:5" ht="20.100000000000001">
      <c r="B827" s="3">
        <v>924</v>
      </c>
      <c r="C827" s="4" t="s">
        <v>852</v>
      </c>
      <c r="D827" s="3">
        <v>24</v>
      </c>
      <c r="E827" s="4"/>
    </row>
    <row r="828" spans="2:5" ht="20.100000000000001">
      <c r="B828" s="3">
        <v>925</v>
      </c>
      <c r="C828" s="4" t="s">
        <v>853</v>
      </c>
      <c r="D828" s="3">
        <v>24</v>
      </c>
      <c r="E828" s="4"/>
    </row>
    <row r="829" spans="2:5" ht="20.100000000000001">
      <c r="B829" s="3">
        <v>926</v>
      </c>
      <c r="C829" s="4" t="s">
        <v>854</v>
      </c>
      <c r="D829" s="3">
        <v>24</v>
      </c>
      <c r="E829" s="4"/>
    </row>
    <row r="830" spans="2:5" ht="20.100000000000001">
      <c r="B830" s="3">
        <v>927</v>
      </c>
      <c r="C830" s="4" t="s">
        <v>855</v>
      </c>
      <c r="D830" s="3">
        <v>24</v>
      </c>
      <c r="E830" s="4"/>
    </row>
    <row r="831" spans="2:5" ht="20.100000000000001">
      <c r="B831" s="3">
        <v>928</v>
      </c>
      <c r="C831" s="4" t="s">
        <v>856</v>
      </c>
      <c r="D831" s="3">
        <v>24</v>
      </c>
      <c r="E831" s="4"/>
    </row>
    <row r="832" spans="2:5" ht="20.100000000000001">
      <c r="B832" s="3">
        <v>929</v>
      </c>
      <c r="C832" s="4" t="s">
        <v>857</v>
      </c>
      <c r="D832" s="3">
        <v>24</v>
      </c>
      <c r="E832" s="4"/>
    </row>
    <row r="833" spans="2:5" ht="20.100000000000001">
      <c r="B833" s="3">
        <v>930</v>
      </c>
      <c r="C833" s="4" t="s">
        <v>858</v>
      </c>
      <c r="D833" s="3">
        <v>24</v>
      </c>
      <c r="E833" s="4"/>
    </row>
    <row r="834" spans="2:5" ht="20.100000000000001">
      <c r="B834" s="3">
        <v>931</v>
      </c>
      <c r="C834" s="4" t="s">
        <v>859</v>
      </c>
      <c r="D834" s="3">
        <v>24</v>
      </c>
      <c r="E834" s="4"/>
    </row>
    <row r="835" spans="2:5" ht="20.100000000000001">
      <c r="B835" s="3">
        <v>932</v>
      </c>
      <c r="C835" s="4" t="s">
        <v>860</v>
      </c>
      <c r="D835" s="3">
        <v>24</v>
      </c>
      <c r="E835" s="4"/>
    </row>
    <row r="836" spans="2:5" ht="20.100000000000001">
      <c r="B836" s="3">
        <v>933</v>
      </c>
      <c r="C836" s="4" t="s">
        <v>861</v>
      </c>
      <c r="D836" s="3">
        <v>24</v>
      </c>
      <c r="E836" s="4"/>
    </row>
    <row r="837" spans="2:5" ht="20.100000000000001">
      <c r="B837" s="3">
        <v>934</v>
      </c>
      <c r="C837" s="4" t="s">
        <v>862</v>
      </c>
      <c r="D837" s="3">
        <v>24</v>
      </c>
      <c r="E837" s="4"/>
    </row>
    <row r="838" spans="2:5" ht="20.100000000000001">
      <c r="B838" s="3">
        <v>935</v>
      </c>
      <c r="C838" s="4" t="s">
        <v>863</v>
      </c>
      <c r="D838" s="3">
        <v>24</v>
      </c>
      <c r="E838" s="4"/>
    </row>
    <row r="839" spans="2:5" ht="20.100000000000001">
      <c r="B839" s="3">
        <v>936</v>
      </c>
      <c r="C839" s="4" t="s">
        <v>864</v>
      </c>
      <c r="D839" s="3">
        <v>24</v>
      </c>
      <c r="E839" s="4"/>
    </row>
    <row r="840" spans="2:5" ht="20.100000000000001">
      <c r="B840" s="3">
        <v>937</v>
      </c>
      <c r="C840" s="4" t="s">
        <v>865</v>
      </c>
      <c r="D840" s="3">
        <v>24</v>
      </c>
      <c r="E840" s="4"/>
    </row>
    <row r="841" spans="2:5" ht="20.100000000000001">
      <c r="B841" s="3">
        <v>938</v>
      </c>
      <c r="C841" s="4" t="s">
        <v>866</v>
      </c>
      <c r="D841" s="3">
        <v>24</v>
      </c>
      <c r="E841" s="3"/>
    </row>
    <row r="842" spans="2:5" ht="20.100000000000001">
      <c r="B842" s="3">
        <v>939</v>
      </c>
      <c r="C842" s="4" t="s">
        <v>867</v>
      </c>
      <c r="D842" s="3">
        <v>24</v>
      </c>
      <c r="E842" s="3"/>
    </row>
    <row r="843" spans="2:5" ht="20.100000000000001">
      <c r="B843" s="3">
        <v>940</v>
      </c>
      <c r="C843" s="4" t="s">
        <v>868</v>
      </c>
      <c r="D843" s="3">
        <v>24</v>
      </c>
      <c r="E843" s="4"/>
    </row>
    <row r="844" spans="2:5" ht="20.100000000000001">
      <c r="B844" s="3">
        <v>941</v>
      </c>
      <c r="C844" s="4" t="s">
        <v>869</v>
      </c>
      <c r="D844" s="3">
        <v>24</v>
      </c>
      <c r="E844" s="4"/>
    </row>
    <row r="845" spans="2:5" ht="20.100000000000001">
      <c r="B845" s="3">
        <v>942</v>
      </c>
      <c r="C845" s="4" t="s">
        <v>870</v>
      </c>
      <c r="D845" s="3">
        <v>24</v>
      </c>
      <c r="E845" s="4"/>
    </row>
    <row r="846" spans="2:5" ht="20.100000000000001">
      <c r="B846" s="3">
        <v>943</v>
      </c>
      <c r="C846" s="4" t="s">
        <v>871</v>
      </c>
      <c r="D846" s="3">
        <v>24</v>
      </c>
      <c r="E846" s="4"/>
    </row>
    <row r="847" spans="2:5" ht="20.100000000000001">
      <c r="B847" s="3">
        <v>944</v>
      </c>
      <c r="C847" s="4" t="s">
        <v>872</v>
      </c>
      <c r="D847" s="3">
        <v>24</v>
      </c>
      <c r="E847" s="4"/>
    </row>
    <row r="848" spans="2:5" ht="20.100000000000001">
      <c r="B848" s="3">
        <v>945</v>
      </c>
      <c r="C848" s="4" t="s">
        <v>873</v>
      </c>
      <c r="D848" s="3">
        <v>24</v>
      </c>
      <c r="E848" s="4"/>
    </row>
    <row r="849" spans="2:5" ht="20.100000000000001">
      <c r="B849" s="3">
        <v>946</v>
      </c>
      <c r="C849" s="4" t="s">
        <v>874</v>
      </c>
      <c r="D849" s="3">
        <v>24</v>
      </c>
      <c r="E849" s="3"/>
    </row>
    <row r="850" spans="2:5" ht="20.100000000000001">
      <c r="B850" s="3">
        <v>947</v>
      </c>
      <c r="C850" s="4" t="s">
        <v>875</v>
      </c>
      <c r="D850" s="3">
        <v>24</v>
      </c>
      <c r="E850" s="4"/>
    </row>
    <row r="851" spans="2:5" ht="20.100000000000001">
      <c r="B851" s="3">
        <v>948</v>
      </c>
      <c r="C851" s="4" t="s">
        <v>876</v>
      </c>
      <c r="D851" s="3">
        <v>24</v>
      </c>
      <c r="E851" s="4"/>
    </row>
    <row r="852" spans="2:5" ht="20.100000000000001">
      <c r="B852" s="3">
        <v>949</v>
      </c>
      <c r="C852" s="4" t="s">
        <v>877</v>
      </c>
      <c r="D852" s="3">
        <v>24</v>
      </c>
      <c r="E852" s="4"/>
    </row>
    <row r="853" spans="2:5" ht="20.100000000000001">
      <c r="B853" s="3">
        <v>950</v>
      </c>
      <c r="C853" s="4" t="s">
        <v>878</v>
      </c>
      <c r="D853" s="3">
        <v>24</v>
      </c>
      <c r="E853" s="4"/>
    </row>
    <row r="854" spans="2:5" ht="20.100000000000001">
      <c r="B854" s="3">
        <v>951</v>
      </c>
      <c r="C854" s="4">
        <v>23</v>
      </c>
      <c r="D854" s="3">
        <v>23</v>
      </c>
      <c r="E854" s="4"/>
    </row>
    <row r="855" spans="2:5" ht="20.100000000000001">
      <c r="B855" s="3">
        <v>952</v>
      </c>
      <c r="C855" s="4">
        <v>24</v>
      </c>
      <c r="D855" s="3">
        <v>23</v>
      </c>
      <c r="E855" s="4"/>
    </row>
    <row r="856" spans="2:5" ht="20.100000000000001">
      <c r="B856" s="3">
        <v>953</v>
      </c>
      <c r="C856" s="4" t="s">
        <v>879</v>
      </c>
      <c r="D856" s="3">
        <v>23</v>
      </c>
      <c r="E856" s="4"/>
    </row>
    <row r="857" spans="2:5" ht="20.100000000000001">
      <c r="B857" s="3">
        <v>954</v>
      </c>
      <c r="C857" s="4" t="s">
        <v>880</v>
      </c>
      <c r="D857" s="3">
        <v>23</v>
      </c>
      <c r="E857" s="4"/>
    </row>
    <row r="858" spans="2:5" ht="20.100000000000001">
      <c r="B858" s="3">
        <v>955</v>
      </c>
      <c r="C858" s="4" t="s">
        <v>881</v>
      </c>
      <c r="D858" s="3">
        <v>23</v>
      </c>
      <c r="E858" s="4"/>
    </row>
    <row r="859" spans="2:5" ht="20.100000000000001">
      <c r="B859" s="3">
        <v>956</v>
      </c>
      <c r="C859" s="4" t="s">
        <v>882</v>
      </c>
      <c r="D859" s="3">
        <v>23</v>
      </c>
      <c r="E859" s="4"/>
    </row>
    <row r="860" spans="2:5" ht="20.100000000000001">
      <c r="B860" s="3">
        <v>957</v>
      </c>
      <c r="C860" s="4" t="s">
        <v>883</v>
      </c>
      <c r="D860" s="3">
        <v>23</v>
      </c>
      <c r="E860" s="4"/>
    </row>
    <row r="861" spans="2:5" ht="20.100000000000001">
      <c r="B861" s="3">
        <v>958</v>
      </c>
      <c r="C861" s="4" t="s">
        <v>884</v>
      </c>
      <c r="D861" s="3">
        <v>23</v>
      </c>
      <c r="E861" s="4"/>
    </row>
    <row r="862" spans="2:5" ht="20.100000000000001">
      <c r="B862" s="3">
        <v>959</v>
      </c>
      <c r="C862" s="4" t="s">
        <v>885</v>
      </c>
      <c r="D862" s="3">
        <v>23</v>
      </c>
      <c r="E862" s="4"/>
    </row>
    <row r="863" spans="2:5" ht="20.100000000000001">
      <c r="B863" s="3">
        <v>960</v>
      </c>
      <c r="C863" s="4" t="s">
        <v>886</v>
      </c>
      <c r="D863" s="3">
        <v>23</v>
      </c>
      <c r="E863" s="4"/>
    </row>
    <row r="864" spans="2:5" ht="20.100000000000001">
      <c r="B864" s="3">
        <v>961</v>
      </c>
      <c r="C864" s="4" t="s">
        <v>887</v>
      </c>
      <c r="D864" s="3">
        <v>23</v>
      </c>
      <c r="E864" s="4"/>
    </row>
    <row r="865" spans="2:5" ht="20.100000000000001">
      <c r="B865" s="3">
        <v>962</v>
      </c>
      <c r="C865" s="4" t="s">
        <v>888</v>
      </c>
      <c r="D865" s="3">
        <v>23</v>
      </c>
      <c r="E865" s="3"/>
    </row>
    <row r="866" spans="2:5" ht="20.100000000000001">
      <c r="B866" s="3">
        <v>963</v>
      </c>
      <c r="C866" s="4" t="s">
        <v>889</v>
      </c>
      <c r="D866" s="3">
        <v>23</v>
      </c>
      <c r="E866" s="4"/>
    </row>
    <row r="867" spans="2:5" ht="20.100000000000001">
      <c r="B867" s="3">
        <v>964</v>
      </c>
      <c r="C867" s="4" t="s">
        <v>890</v>
      </c>
      <c r="D867" s="3">
        <v>23</v>
      </c>
      <c r="E867" s="4"/>
    </row>
    <row r="868" spans="2:5" ht="20.100000000000001">
      <c r="B868" s="3">
        <v>965</v>
      </c>
      <c r="C868" s="4" t="s">
        <v>891</v>
      </c>
      <c r="D868" s="3">
        <v>23</v>
      </c>
      <c r="E868" s="3"/>
    </row>
    <row r="869" spans="2:5" ht="20.100000000000001">
      <c r="B869" s="3">
        <v>966</v>
      </c>
      <c r="C869" s="4" t="s">
        <v>892</v>
      </c>
      <c r="D869" s="3">
        <v>23</v>
      </c>
      <c r="E869" s="4"/>
    </row>
    <row r="870" spans="2:5" ht="20.100000000000001">
      <c r="B870" s="3">
        <v>967</v>
      </c>
      <c r="C870" s="4" t="s">
        <v>893</v>
      </c>
      <c r="D870" s="3">
        <v>23</v>
      </c>
      <c r="E870" s="4"/>
    </row>
    <row r="871" spans="2:5" ht="20.100000000000001">
      <c r="B871" s="3">
        <v>968</v>
      </c>
      <c r="C871" s="4" t="s">
        <v>894</v>
      </c>
      <c r="D871" s="3">
        <v>23</v>
      </c>
      <c r="E871" s="4"/>
    </row>
    <row r="872" spans="2:5" ht="20.100000000000001">
      <c r="B872" s="3">
        <v>969</v>
      </c>
      <c r="C872" s="4" t="s">
        <v>895</v>
      </c>
      <c r="D872" s="3">
        <v>23</v>
      </c>
      <c r="E872" s="4"/>
    </row>
    <row r="873" spans="2:5" ht="20.100000000000001">
      <c r="B873" s="3">
        <v>970</v>
      </c>
      <c r="C873" s="4" t="s">
        <v>896</v>
      </c>
      <c r="D873" s="3">
        <v>23</v>
      </c>
      <c r="E873" s="3"/>
    </row>
    <row r="874" spans="2:5" ht="20.100000000000001">
      <c r="B874" s="3">
        <v>971</v>
      </c>
      <c r="C874" s="4" t="s">
        <v>897</v>
      </c>
      <c r="D874" s="3">
        <v>23</v>
      </c>
      <c r="E874" s="4"/>
    </row>
    <row r="875" spans="2:5" ht="20.100000000000001">
      <c r="B875" s="3">
        <v>972</v>
      </c>
      <c r="C875" s="4" t="s">
        <v>898</v>
      </c>
      <c r="D875" s="3">
        <v>23</v>
      </c>
      <c r="E875" s="3"/>
    </row>
    <row r="876" spans="2:5" ht="20.100000000000001">
      <c r="B876" s="3">
        <v>973</v>
      </c>
      <c r="C876" s="4" t="s">
        <v>899</v>
      </c>
      <c r="D876" s="3">
        <v>23</v>
      </c>
      <c r="E876" s="3"/>
    </row>
    <row r="877" spans="2:5" ht="20.100000000000001">
      <c r="B877" s="3">
        <v>974</v>
      </c>
      <c r="C877" s="4" t="s">
        <v>900</v>
      </c>
      <c r="D877" s="3">
        <v>23</v>
      </c>
      <c r="E877" s="4"/>
    </row>
    <row r="878" spans="2:5" ht="20.100000000000001">
      <c r="B878" s="3">
        <v>975</v>
      </c>
      <c r="C878" s="4" t="s">
        <v>901</v>
      </c>
      <c r="D878" s="3">
        <v>23</v>
      </c>
      <c r="E878" s="4"/>
    </row>
    <row r="879" spans="2:5" ht="20.100000000000001">
      <c r="B879" s="3">
        <v>976</v>
      </c>
      <c r="C879" s="4" t="s">
        <v>902</v>
      </c>
      <c r="D879" s="3">
        <v>23</v>
      </c>
      <c r="E879" s="4"/>
    </row>
    <row r="880" spans="2:5" ht="20.100000000000001">
      <c r="B880" s="3">
        <v>977</v>
      </c>
      <c r="C880" s="4" t="s">
        <v>903</v>
      </c>
      <c r="D880" s="3">
        <v>23</v>
      </c>
      <c r="E880" s="3"/>
    </row>
    <row r="881" spans="2:5" ht="20.100000000000001">
      <c r="B881" s="3">
        <v>978</v>
      </c>
      <c r="C881" s="4" t="s">
        <v>904</v>
      </c>
      <c r="D881" s="3">
        <v>23</v>
      </c>
      <c r="E881" s="4"/>
    </row>
    <row r="882" spans="2:5" ht="20.100000000000001">
      <c r="B882" s="3">
        <v>979</v>
      </c>
      <c r="C882" s="4" t="s">
        <v>905</v>
      </c>
      <c r="D882" s="3">
        <v>23</v>
      </c>
      <c r="E882" s="4"/>
    </row>
    <row r="883" spans="2:5" ht="20.100000000000001">
      <c r="B883" s="3">
        <v>980</v>
      </c>
      <c r="C883" s="4" t="s">
        <v>906</v>
      </c>
      <c r="D883" s="3">
        <v>23</v>
      </c>
      <c r="E883" s="3"/>
    </row>
    <row r="884" spans="2:5" ht="20.100000000000001">
      <c r="B884" s="3">
        <v>981</v>
      </c>
      <c r="C884" s="4" t="s">
        <v>907</v>
      </c>
      <c r="D884" s="3">
        <v>23</v>
      </c>
      <c r="E884" s="4"/>
    </row>
    <row r="885" spans="2:5" ht="20.100000000000001">
      <c r="B885" s="3">
        <v>982</v>
      </c>
      <c r="C885" s="4" t="s">
        <v>908</v>
      </c>
      <c r="D885" s="3">
        <v>23</v>
      </c>
      <c r="E885" s="4"/>
    </row>
    <row r="886" spans="2:5" ht="20.100000000000001">
      <c r="B886" s="3">
        <v>983</v>
      </c>
      <c r="C886" s="4" t="s">
        <v>909</v>
      </c>
      <c r="D886" s="3">
        <v>23</v>
      </c>
      <c r="E886" s="4"/>
    </row>
    <row r="887" spans="2:5" ht="20.100000000000001">
      <c r="B887" s="3">
        <v>984</v>
      </c>
      <c r="C887" s="4" t="s">
        <v>910</v>
      </c>
      <c r="D887" s="3">
        <v>23</v>
      </c>
      <c r="E887" s="4"/>
    </row>
    <row r="888" spans="2:5" ht="20.100000000000001">
      <c r="B888" s="3">
        <v>985</v>
      </c>
      <c r="C888" s="4" t="s">
        <v>911</v>
      </c>
      <c r="D888" s="3">
        <v>23</v>
      </c>
      <c r="E888" s="4"/>
    </row>
    <row r="889" spans="2:5" ht="20.100000000000001">
      <c r="B889" s="3">
        <v>986</v>
      </c>
      <c r="C889" s="4" t="s">
        <v>912</v>
      </c>
      <c r="D889" s="3">
        <v>23</v>
      </c>
      <c r="E889" s="3"/>
    </row>
    <row r="890" spans="2:5" ht="20.100000000000001">
      <c r="B890" s="3">
        <v>987</v>
      </c>
      <c r="C890" s="4" t="s">
        <v>913</v>
      </c>
      <c r="D890" s="3">
        <v>23</v>
      </c>
      <c r="E890" s="3"/>
    </row>
    <row r="891" spans="2:5" ht="20.100000000000001">
      <c r="B891" s="3">
        <v>988</v>
      </c>
      <c r="C891" s="4" t="s">
        <v>914</v>
      </c>
      <c r="D891" s="3">
        <v>23</v>
      </c>
      <c r="E891" s="4"/>
    </row>
    <row r="892" spans="2:5" ht="20.100000000000001">
      <c r="B892" s="3">
        <v>989</v>
      </c>
      <c r="C892" s="4" t="s">
        <v>915</v>
      </c>
      <c r="D892" s="3">
        <v>23</v>
      </c>
      <c r="E892" s="4"/>
    </row>
    <row r="893" spans="2:5" ht="20.100000000000001">
      <c r="B893" s="3">
        <v>990</v>
      </c>
      <c r="C893" s="4" t="s">
        <v>916</v>
      </c>
      <c r="D893" s="3">
        <v>23</v>
      </c>
      <c r="E893" s="3"/>
    </row>
    <row r="894" spans="2:5" ht="20.100000000000001">
      <c r="B894" s="3">
        <v>991</v>
      </c>
      <c r="C894" s="4" t="s">
        <v>917</v>
      </c>
      <c r="D894" s="3">
        <v>23</v>
      </c>
      <c r="E894" s="4"/>
    </row>
    <row r="895" spans="2:5" ht="20.100000000000001">
      <c r="B895" s="3">
        <v>992</v>
      </c>
      <c r="C895" s="4" t="s">
        <v>918</v>
      </c>
      <c r="D895" s="3">
        <v>23</v>
      </c>
      <c r="E895" s="4"/>
    </row>
    <row r="896" spans="2:5" ht="20.100000000000001">
      <c r="B896" s="3">
        <v>993</v>
      </c>
      <c r="C896" s="4" t="s">
        <v>919</v>
      </c>
      <c r="D896" s="3">
        <v>23</v>
      </c>
      <c r="E896" s="4"/>
    </row>
    <row r="897" spans="2:5" ht="20.100000000000001">
      <c r="B897" s="3">
        <v>994</v>
      </c>
      <c r="C897" s="4" t="s">
        <v>920</v>
      </c>
      <c r="D897" s="3">
        <v>23</v>
      </c>
      <c r="E897" s="3"/>
    </row>
    <row r="898" spans="2:5" ht="20.100000000000001">
      <c r="B898" s="3">
        <v>995</v>
      </c>
      <c r="C898" s="4" t="s">
        <v>921</v>
      </c>
      <c r="D898" s="3">
        <v>23</v>
      </c>
      <c r="E898" s="4"/>
    </row>
    <row r="899" spans="2:5" ht="20.100000000000001">
      <c r="B899" s="3">
        <v>996</v>
      </c>
      <c r="C899" s="4" t="s">
        <v>922</v>
      </c>
      <c r="D899" s="3">
        <v>23</v>
      </c>
      <c r="E899" s="4"/>
    </row>
    <row r="900" spans="2:5" ht="20.100000000000001">
      <c r="B900" s="3">
        <v>997</v>
      </c>
      <c r="C900" s="4" t="s">
        <v>923</v>
      </c>
      <c r="D900" s="3">
        <v>23</v>
      </c>
      <c r="E900" s="4"/>
    </row>
    <row r="901" spans="2:5" ht="20.100000000000001">
      <c r="B901" s="3">
        <v>998</v>
      </c>
      <c r="C901" s="4" t="s">
        <v>924</v>
      </c>
      <c r="D901" s="3">
        <v>23</v>
      </c>
      <c r="E901" s="3"/>
    </row>
    <row r="902" spans="2:5" ht="20.100000000000001">
      <c r="B902" s="3">
        <v>999</v>
      </c>
      <c r="C902" s="4" t="s">
        <v>925</v>
      </c>
      <c r="D902" s="3">
        <v>23</v>
      </c>
      <c r="E902" s="4"/>
    </row>
    <row r="903" spans="2:5" ht="20.100000000000001">
      <c r="B903" s="3">
        <v>1000</v>
      </c>
      <c r="C903" s="4" t="s">
        <v>926</v>
      </c>
      <c r="D903" s="3">
        <v>23</v>
      </c>
      <c r="E903" s="4"/>
    </row>
    <row r="904" spans="2:5" ht="20.100000000000001">
      <c r="B904" s="3">
        <v>1001</v>
      </c>
      <c r="C904" s="4">
        <v>2001</v>
      </c>
      <c r="D904" s="3">
        <v>22</v>
      </c>
      <c r="E904" s="3"/>
    </row>
    <row r="905" spans="2:5" ht="20.100000000000001">
      <c r="B905" s="3">
        <v>1002</v>
      </c>
      <c r="C905" s="4">
        <v>2004</v>
      </c>
      <c r="D905" s="3">
        <v>22</v>
      </c>
      <c r="E905" s="4"/>
    </row>
    <row r="906" spans="2:5" ht="20.100000000000001">
      <c r="B906" s="3">
        <v>1003</v>
      </c>
      <c r="C906" s="4">
        <v>21</v>
      </c>
      <c r="D906" s="3">
        <v>22</v>
      </c>
      <c r="E906" s="4"/>
    </row>
    <row r="907" spans="2:5" ht="20.100000000000001">
      <c r="B907" s="3">
        <v>1004</v>
      </c>
      <c r="C907" s="4" t="s">
        <v>927</v>
      </c>
      <c r="D907" s="3">
        <v>22</v>
      </c>
      <c r="E907" s="4"/>
    </row>
    <row r="908" spans="2:5" ht="20.100000000000001">
      <c r="B908" s="3">
        <v>1005</v>
      </c>
      <c r="C908" s="4" t="s">
        <v>928</v>
      </c>
      <c r="D908" s="3">
        <v>22</v>
      </c>
      <c r="E908" s="3"/>
    </row>
    <row r="909" spans="2:5" ht="20.100000000000001">
      <c r="B909" s="3">
        <v>1006</v>
      </c>
      <c r="C909" s="4" t="s">
        <v>929</v>
      </c>
      <c r="D909" s="3">
        <v>22</v>
      </c>
      <c r="E909" s="4"/>
    </row>
    <row r="910" spans="2:5" ht="20.100000000000001">
      <c r="B910" s="3">
        <v>1007</v>
      </c>
      <c r="C910" s="4" t="s">
        <v>930</v>
      </c>
      <c r="D910" s="3">
        <v>22</v>
      </c>
      <c r="E910" s="4"/>
    </row>
    <row r="911" spans="2:5" ht="20.100000000000001">
      <c r="B911" s="3">
        <v>1008</v>
      </c>
      <c r="C911" s="4" t="s">
        <v>931</v>
      </c>
      <c r="D911" s="3">
        <v>22</v>
      </c>
      <c r="E911" s="4"/>
    </row>
    <row r="912" spans="2:5" ht="20.100000000000001">
      <c r="B912" s="3">
        <v>1009</v>
      </c>
      <c r="C912" s="4" t="s">
        <v>932</v>
      </c>
      <c r="D912" s="3">
        <v>22</v>
      </c>
      <c r="E912" s="4"/>
    </row>
    <row r="913" spans="2:5" ht="20.100000000000001">
      <c r="B913" s="3">
        <v>1010</v>
      </c>
      <c r="C913" s="4" t="s">
        <v>933</v>
      </c>
      <c r="D913" s="3">
        <v>22</v>
      </c>
      <c r="E913" s="4"/>
    </row>
    <row r="914" spans="2:5" ht="20.100000000000001">
      <c r="B914" s="3">
        <v>1011</v>
      </c>
      <c r="C914" s="4" t="s">
        <v>934</v>
      </c>
      <c r="D914" s="3">
        <v>22</v>
      </c>
      <c r="E914" s="4"/>
    </row>
    <row r="915" spans="2:5" ht="20.100000000000001">
      <c r="B915" s="3">
        <v>1012</v>
      </c>
      <c r="C915" s="4" t="s">
        <v>935</v>
      </c>
      <c r="D915" s="3">
        <v>22</v>
      </c>
      <c r="E915" s="4"/>
    </row>
    <row r="916" spans="2:5" ht="20.100000000000001">
      <c r="B916" s="3">
        <v>1013</v>
      </c>
      <c r="C916" s="4" t="s">
        <v>936</v>
      </c>
      <c r="D916" s="3">
        <v>22</v>
      </c>
      <c r="E916" s="4"/>
    </row>
    <row r="917" spans="2:5" ht="20.100000000000001">
      <c r="B917" s="3">
        <v>1014</v>
      </c>
      <c r="C917" s="4" t="s">
        <v>937</v>
      </c>
      <c r="D917" s="3">
        <v>22</v>
      </c>
      <c r="E917" s="4"/>
    </row>
    <row r="918" spans="2:5" ht="20.100000000000001">
      <c r="B918" s="3">
        <v>1015</v>
      </c>
      <c r="C918" s="4" t="s">
        <v>938</v>
      </c>
      <c r="D918" s="3">
        <v>22</v>
      </c>
      <c r="E918" s="4"/>
    </row>
    <row r="919" spans="2:5" ht="20.100000000000001">
      <c r="B919" s="3">
        <v>1016</v>
      </c>
      <c r="C919" s="4" t="s">
        <v>939</v>
      </c>
      <c r="D919" s="3">
        <v>22</v>
      </c>
      <c r="E919" s="4"/>
    </row>
    <row r="920" spans="2:5" ht="20.100000000000001">
      <c r="B920" s="3">
        <v>1017</v>
      </c>
      <c r="C920" s="4" t="s">
        <v>940</v>
      </c>
      <c r="D920" s="3">
        <v>22</v>
      </c>
      <c r="E920" s="4"/>
    </row>
    <row r="921" spans="2:5" ht="20.100000000000001">
      <c r="B921" s="3">
        <v>1018</v>
      </c>
      <c r="C921" s="4" t="s">
        <v>941</v>
      </c>
      <c r="D921" s="3">
        <v>22</v>
      </c>
      <c r="E921" s="4"/>
    </row>
    <row r="922" spans="2:5" ht="20.100000000000001">
      <c r="B922" s="3">
        <v>1019</v>
      </c>
      <c r="C922" s="4" t="s">
        <v>942</v>
      </c>
      <c r="D922" s="3">
        <v>22</v>
      </c>
      <c r="E922" s="4"/>
    </row>
    <row r="923" spans="2:5" ht="20.100000000000001">
      <c r="B923" s="3">
        <v>1020</v>
      </c>
      <c r="C923" s="4" t="s">
        <v>943</v>
      </c>
      <c r="D923" s="3">
        <v>22</v>
      </c>
      <c r="E923" s="4"/>
    </row>
    <row r="924" spans="2:5" ht="20.100000000000001">
      <c r="B924" s="3">
        <v>1021</v>
      </c>
      <c r="C924" s="4" t="s">
        <v>944</v>
      </c>
      <c r="D924" s="3">
        <v>22</v>
      </c>
      <c r="E924" s="4"/>
    </row>
    <row r="925" spans="2:5" ht="20.100000000000001">
      <c r="B925" s="3">
        <v>1022</v>
      </c>
      <c r="C925" s="4" t="s">
        <v>945</v>
      </c>
      <c r="D925" s="3">
        <v>22</v>
      </c>
      <c r="E925" s="4"/>
    </row>
    <row r="926" spans="2:5" ht="20.100000000000001">
      <c r="B926" s="3">
        <v>1023</v>
      </c>
      <c r="C926" s="4" t="s">
        <v>946</v>
      </c>
      <c r="D926" s="3">
        <v>22</v>
      </c>
      <c r="E926" s="4"/>
    </row>
    <row r="927" spans="2:5" ht="20.100000000000001">
      <c r="B927" s="3">
        <v>1024</v>
      </c>
      <c r="C927" s="4" t="s">
        <v>947</v>
      </c>
      <c r="D927" s="3">
        <v>22</v>
      </c>
      <c r="E927" s="4"/>
    </row>
    <row r="928" spans="2:5" ht="20.100000000000001">
      <c r="B928" s="3">
        <v>1025</v>
      </c>
      <c r="C928" s="4" t="s">
        <v>948</v>
      </c>
      <c r="D928" s="3">
        <v>22</v>
      </c>
      <c r="E928" s="4"/>
    </row>
    <row r="929" spans="2:5" ht="20.100000000000001">
      <c r="B929" s="3">
        <v>1026</v>
      </c>
      <c r="C929" s="4" t="s">
        <v>949</v>
      </c>
      <c r="D929" s="3">
        <v>22</v>
      </c>
      <c r="E929" s="4"/>
    </row>
    <row r="930" spans="2:5" ht="20.100000000000001">
      <c r="B930" s="3">
        <v>1027</v>
      </c>
      <c r="C930" s="4" t="s">
        <v>950</v>
      </c>
      <c r="D930" s="3">
        <v>22</v>
      </c>
      <c r="E930" s="3"/>
    </row>
    <row r="931" spans="2:5" ht="20.100000000000001">
      <c r="B931" s="3">
        <v>1028</v>
      </c>
      <c r="C931" s="4" t="s">
        <v>951</v>
      </c>
      <c r="D931" s="3">
        <v>22</v>
      </c>
      <c r="E931" s="4"/>
    </row>
    <row r="932" spans="2:5" ht="20.100000000000001">
      <c r="B932" s="3">
        <v>1029</v>
      </c>
      <c r="C932" s="4" t="s">
        <v>952</v>
      </c>
      <c r="D932" s="3">
        <v>22</v>
      </c>
      <c r="E932" s="4"/>
    </row>
    <row r="933" spans="2:5" ht="20.100000000000001">
      <c r="B933" s="3">
        <v>1030</v>
      </c>
      <c r="C933" s="4" t="s">
        <v>953</v>
      </c>
      <c r="D933" s="3">
        <v>22</v>
      </c>
      <c r="E933" s="3"/>
    </row>
    <row r="934" spans="2:5" ht="20.100000000000001">
      <c r="B934" s="3">
        <v>1031</v>
      </c>
      <c r="C934" s="4" t="s">
        <v>954</v>
      </c>
      <c r="D934" s="3">
        <v>22</v>
      </c>
      <c r="E934" s="3"/>
    </row>
    <row r="935" spans="2:5" ht="20.100000000000001">
      <c r="B935" s="3">
        <v>1032</v>
      </c>
      <c r="C935" s="4" t="s">
        <v>955</v>
      </c>
      <c r="D935" s="3">
        <v>22</v>
      </c>
      <c r="E935" s="4"/>
    </row>
    <row r="936" spans="2:5" ht="20.100000000000001">
      <c r="B936" s="3">
        <v>1033</v>
      </c>
      <c r="C936" s="4" t="s">
        <v>956</v>
      </c>
      <c r="D936" s="3">
        <v>22</v>
      </c>
      <c r="E936" s="4"/>
    </row>
    <row r="937" spans="2:5" ht="20.100000000000001">
      <c r="B937" s="3">
        <v>1034</v>
      </c>
      <c r="C937" s="4" t="s">
        <v>957</v>
      </c>
      <c r="D937" s="3">
        <v>22</v>
      </c>
      <c r="E937" s="4"/>
    </row>
    <row r="938" spans="2:5" ht="20.100000000000001">
      <c r="B938" s="3">
        <v>1035</v>
      </c>
      <c r="C938" s="4" t="s">
        <v>958</v>
      </c>
      <c r="D938" s="3">
        <v>22</v>
      </c>
      <c r="E938" s="3"/>
    </row>
    <row r="939" spans="2:5" ht="20.100000000000001">
      <c r="B939" s="3">
        <v>1036</v>
      </c>
      <c r="C939" s="4" t="s">
        <v>959</v>
      </c>
      <c r="D939" s="3">
        <v>22</v>
      </c>
      <c r="E939" s="4"/>
    </row>
    <row r="940" spans="2:5" ht="20.100000000000001">
      <c r="B940" s="3">
        <v>1037</v>
      </c>
      <c r="C940" s="4" t="s">
        <v>960</v>
      </c>
      <c r="D940" s="3">
        <v>22</v>
      </c>
      <c r="E940" s="4"/>
    </row>
    <row r="941" spans="2:5" ht="20.100000000000001">
      <c r="B941" s="3">
        <v>1038</v>
      </c>
      <c r="C941" s="4" t="s">
        <v>961</v>
      </c>
      <c r="D941" s="3">
        <v>22</v>
      </c>
      <c r="E941" s="4"/>
    </row>
    <row r="942" spans="2:5" ht="20.100000000000001">
      <c r="B942" s="3">
        <v>1039</v>
      </c>
      <c r="C942" s="4" t="s">
        <v>962</v>
      </c>
      <c r="D942" s="3">
        <v>22</v>
      </c>
      <c r="E942" s="4"/>
    </row>
    <row r="943" spans="2:5" ht="20.100000000000001">
      <c r="B943" s="3">
        <v>1040</v>
      </c>
      <c r="C943" s="4" t="s">
        <v>963</v>
      </c>
      <c r="D943" s="3">
        <v>22</v>
      </c>
      <c r="E943" s="4"/>
    </row>
    <row r="944" spans="2:5" ht="20.100000000000001">
      <c r="B944" s="3">
        <v>1041</v>
      </c>
      <c r="C944" s="4" t="s">
        <v>964</v>
      </c>
      <c r="D944" s="3">
        <v>22</v>
      </c>
      <c r="E944" s="4"/>
    </row>
    <row r="945" spans="2:5" ht="20.100000000000001">
      <c r="B945" s="3">
        <v>1042</v>
      </c>
      <c r="C945" s="4" t="s">
        <v>965</v>
      </c>
      <c r="D945" s="3">
        <v>22</v>
      </c>
      <c r="E945" s="4"/>
    </row>
    <row r="946" spans="2:5" ht="20.100000000000001">
      <c r="B946" s="3">
        <v>1043</v>
      </c>
      <c r="C946" s="4" t="s">
        <v>966</v>
      </c>
      <c r="D946" s="3">
        <v>22</v>
      </c>
      <c r="E946" s="3"/>
    </row>
    <row r="947" spans="2:5" ht="20.100000000000001">
      <c r="B947" s="3">
        <v>1044</v>
      </c>
      <c r="C947" s="4" t="s">
        <v>967</v>
      </c>
      <c r="D947" s="3">
        <v>22</v>
      </c>
      <c r="E947" s="4"/>
    </row>
    <row r="948" spans="2:5" ht="20.100000000000001">
      <c r="B948" s="3">
        <v>1045</v>
      </c>
      <c r="C948" s="4" t="s">
        <v>968</v>
      </c>
      <c r="D948" s="3">
        <v>22</v>
      </c>
      <c r="E948" s="4"/>
    </row>
    <row r="949" spans="2:5" ht="20.100000000000001">
      <c r="B949" s="3">
        <v>1046</v>
      </c>
      <c r="C949" s="4" t="s">
        <v>969</v>
      </c>
      <c r="D949" s="3">
        <v>22</v>
      </c>
      <c r="E949" s="4"/>
    </row>
    <row r="950" spans="2:5" ht="20.100000000000001">
      <c r="B950" s="3">
        <v>1047</v>
      </c>
      <c r="C950" s="4" t="s">
        <v>970</v>
      </c>
      <c r="D950" s="3">
        <v>22</v>
      </c>
      <c r="E950" s="4"/>
    </row>
    <row r="951" spans="2:5" ht="20.100000000000001">
      <c r="B951" s="3">
        <v>1048</v>
      </c>
      <c r="C951" s="4" t="s">
        <v>971</v>
      </c>
      <c r="D951" s="3">
        <v>22</v>
      </c>
      <c r="E951" s="4"/>
    </row>
    <row r="952" spans="2:5" ht="20.100000000000001">
      <c r="B952" s="3">
        <v>1049</v>
      </c>
      <c r="C952" s="4" t="s">
        <v>972</v>
      </c>
      <c r="D952" s="3">
        <v>22</v>
      </c>
      <c r="E952" s="3"/>
    </row>
    <row r="953" spans="2:5" ht="20.100000000000001">
      <c r="B953" s="3">
        <v>1050</v>
      </c>
      <c r="C953" s="4" t="s">
        <v>973</v>
      </c>
      <c r="D953" s="3">
        <v>22</v>
      </c>
      <c r="E953" s="4"/>
    </row>
    <row r="954" spans="2:5" ht="20.100000000000001">
      <c r="B954" s="3">
        <v>1051</v>
      </c>
      <c r="C954" s="4" t="s">
        <v>974</v>
      </c>
      <c r="D954" s="3">
        <v>22</v>
      </c>
      <c r="E954" s="4"/>
    </row>
    <row r="955" spans="2:5" ht="20.100000000000001">
      <c r="B955" s="3">
        <v>1052</v>
      </c>
      <c r="C955" s="4">
        <v>27</v>
      </c>
      <c r="D955" s="3">
        <v>21</v>
      </c>
      <c r="E955" s="4"/>
    </row>
    <row r="956" spans="2:5" ht="20.100000000000001">
      <c r="B956" s="3">
        <v>1053</v>
      </c>
      <c r="C956" s="4">
        <v>80</v>
      </c>
      <c r="D956" s="3">
        <v>21</v>
      </c>
      <c r="E956" s="4"/>
    </row>
    <row r="957" spans="2:5" ht="20.100000000000001">
      <c r="B957" s="3">
        <v>1054</v>
      </c>
      <c r="C957" s="4" t="s">
        <v>975</v>
      </c>
      <c r="D957" s="3">
        <v>21</v>
      </c>
      <c r="E957" s="4"/>
    </row>
    <row r="958" spans="2:5" ht="20.100000000000001">
      <c r="B958" s="3">
        <v>1055</v>
      </c>
      <c r="C958" s="4" t="s">
        <v>976</v>
      </c>
      <c r="D958" s="3">
        <v>21</v>
      </c>
      <c r="E958" s="4"/>
    </row>
    <row r="959" spans="2:5" ht="20.100000000000001">
      <c r="B959" s="3">
        <v>1056</v>
      </c>
      <c r="C959" s="4" t="s">
        <v>977</v>
      </c>
      <c r="D959" s="3">
        <v>21</v>
      </c>
      <c r="E959" s="4"/>
    </row>
    <row r="960" spans="2:5" ht="20.100000000000001">
      <c r="B960" s="3">
        <v>1057</v>
      </c>
      <c r="C960" s="4" t="s">
        <v>978</v>
      </c>
      <c r="D960" s="3">
        <v>21</v>
      </c>
      <c r="E960" s="4"/>
    </row>
    <row r="961" spans="2:5" ht="20.100000000000001">
      <c r="B961" s="3">
        <v>1058</v>
      </c>
      <c r="C961" s="4" t="s">
        <v>979</v>
      </c>
      <c r="D961" s="3">
        <v>21</v>
      </c>
      <c r="E961" s="4"/>
    </row>
    <row r="962" spans="2:5" ht="20.100000000000001">
      <c r="B962" s="3">
        <v>1059</v>
      </c>
      <c r="C962" s="4" t="s">
        <v>980</v>
      </c>
      <c r="D962" s="3">
        <v>21</v>
      </c>
      <c r="E962" s="4"/>
    </row>
    <row r="963" spans="2:5" ht="20.100000000000001">
      <c r="B963" s="3">
        <v>1060</v>
      </c>
      <c r="C963" s="4" t="s">
        <v>981</v>
      </c>
      <c r="D963" s="3">
        <v>21</v>
      </c>
      <c r="E963" s="4"/>
    </row>
    <row r="964" spans="2:5" ht="20.100000000000001">
      <c r="B964" s="3">
        <v>1061</v>
      </c>
      <c r="C964" s="4" t="s">
        <v>982</v>
      </c>
      <c r="D964" s="3">
        <v>21</v>
      </c>
      <c r="E964" s="4"/>
    </row>
    <row r="965" spans="2:5" ht="20.100000000000001">
      <c r="B965" s="3">
        <v>1062</v>
      </c>
      <c r="C965" s="4" t="s">
        <v>983</v>
      </c>
      <c r="D965" s="3">
        <v>21</v>
      </c>
      <c r="E965" s="4"/>
    </row>
    <row r="966" spans="2:5" ht="20.100000000000001">
      <c r="B966" s="3">
        <v>1063</v>
      </c>
      <c r="C966" s="4" t="s">
        <v>984</v>
      </c>
      <c r="D966" s="3">
        <v>21</v>
      </c>
      <c r="E966" s="4"/>
    </row>
    <row r="967" spans="2:5" ht="20.100000000000001">
      <c r="B967" s="3">
        <v>1064</v>
      </c>
      <c r="C967" s="4" t="s">
        <v>985</v>
      </c>
      <c r="D967" s="3">
        <v>21</v>
      </c>
      <c r="E967" s="4"/>
    </row>
    <row r="968" spans="2:5" ht="20.100000000000001">
      <c r="B968" s="3">
        <v>1065</v>
      </c>
      <c r="C968" s="4" t="s">
        <v>986</v>
      </c>
      <c r="D968" s="3">
        <v>21</v>
      </c>
      <c r="E968" s="4"/>
    </row>
    <row r="969" spans="2:5" ht="20.100000000000001">
      <c r="B969" s="3">
        <v>1066</v>
      </c>
      <c r="C969" s="4" t="s">
        <v>987</v>
      </c>
      <c r="D969" s="3">
        <v>21</v>
      </c>
      <c r="E969" s="4"/>
    </row>
    <row r="970" spans="2:5" ht="20.100000000000001">
      <c r="B970" s="3">
        <v>1067</v>
      </c>
      <c r="C970" s="4" t="s">
        <v>988</v>
      </c>
      <c r="D970" s="3">
        <v>21</v>
      </c>
      <c r="E970" s="4"/>
    </row>
    <row r="971" spans="2:5" ht="20.100000000000001">
      <c r="B971" s="3">
        <v>1068</v>
      </c>
      <c r="C971" s="4" t="s">
        <v>989</v>
      </c>
      <c r="D971" s="3">
        <v>21</v>
      </c>
      <c r="E971" s="4"/>
    </row>
    <row r="972" spans="2:5" ht="20.100000000000001">
      <c r="B972" s="3">
        <v>1069</v>
      </c>
      <c r="C972" s="4" t="s">
        <v>990</v>
      </c>
      <c r="D972" s="3">
        <v>21</v>
      </c>
      <c r="E972" s="4"/>
    </row>
    <row r="973" spans="2:5" ht="20.100000000000001">
      <c r="B973" s="3">
        <v>1070</v>
      </c>
      <c r="C973" s="4" t="s">
        <v>991</v>
      </c>
      <c r="D973" s="3">
        <v>21</v>
      </c>
      <c r="E973" s="4"/>
    </row>
    <row r="974" spans="2:5" ht="20.100000000000001">
      <c r="B974" s="3">
        <v>1071</v>
      </c>
      <c r="C974" s="4" t="s">
        <v>992</v>
      </c>
      <c r="D974" s="3">
        <v>21</v>
      </c>
      <c r="E974" s="4"/>
    </row>
    <row r="975" spans="2:5" ht="20.100000000000001">
      <c r="B975" s="3">
        <v>1072</v>
      </c>
      <c r="C975" s="4" t="s">
        <v>993</v>
      </c>
      <c r="D975" s="3">
        <v>21</v>
      </c>
      <c r="E975" s="4"/>
    </row>
    <row r="976" spans="2:5" ht="20.100000000000001">
      <c r="B976" s="3">
        <v>1073</v>
      </c>
      <c r="C976" s="4" t="s">
        <v>994</v>
      </c>
      <c r="D976" s="3">
        <v>21</v>
      </c>
      <c r="E976" s="4"/>
    </row>
    <row r="977" spans="2:5" ht="20.100000000000001">
      <c r="B977" s="3">
        <v>1074</v>
      </c>
      <c r="C977" s="4" t="s">
        <v>995</v>
      </c>
      <c r="D977" s="3">
        <v>21</v>
      </c>
      <c r="E977" s="4"/>
    </row>
    <row r="978" spans="2:5" ht="20.100000000000001">
      <c r="B978" s="3">
        <v>1075</v>
      </c>
      <c r="C978" s="4" t="s">
        <v>996</v>
      </c>
      <c r="D978" s="3">
        <v>21</v>
      </c>
      <c r="E978" s="4"/>
    </row>
    <row r="979" spans="2:5" ht="20.100000000000001">
      <c r="B979" s="3">
        <v>1076</v>
      </c>
      <c r="C979" s="4" t="s">
        <v>997</v>
      </c>
      <c r="D979" s="3">
        <v>21</v>
      </c>
      <c r="E979" s="4"/>
    </row>
    <row r="980" spans="2:5" ht="20.100000000000001">
      <c r="B980" s="3">
        <v>1077</v>
      </c>
      <c r="C980" s="4" t="s">
        <v>998</v>
      </c>
      <c r="D980" s="3">
        <v>21</v>
      </c>
      <c r="E980" s="4"/>
    </row>
    <row r="981" spans="2:5" ht="20.100000000000001">
      <c r="B981" s="3">
        <v>1078</v>
      </c>
      <c r="C981" s="4" t="s">
        <v>999</v>
      </c>
      <c r="D981" s="3">
        <v>21</v>
      </c>
      <c r="E981" s="4"/>
    </row>
    <row r="982" spans="2:5" ht="20.100000000000001">
      <c r="B982" s="3">
        <v>1079</v>
      </c>
      <c r="C982" s="4" t="s">
        <v>1000</v>
      </c>
      <c r="D982" s="3">
        <v>21</v>
      </c>
      <c r="E982" s="4"/>
    </row>
    <row r="983" spans="2:5" ht="20.100000000000001">
      <c r="B983" s="3">
        <v>1080</v>
      </c>
      <c r="C983" s="4" t="s">
        <v>1001</v>
      </c>
      <c r="D983" s="3">
        <v>21</v>
      </c>
      <c r="E983" s="4"/>
    </row>
    <row r="984" spans="2:5" ht="20.100000000000001">
      <c r="B984" s="3">
        <v>1081</v>
      </c>
      <c r="C984" s="4" t="s">
        <v>1002</v>
      </c>
      <c r="D984" s="3">
        <v>21</v>
      </c>
      <c r="E984" s="4"/>
    </row>
    <row r="985" spans="2:5" ht="20.100000000000001">
      <c r="B985" s="3">
        <v>1082</v>
      </c>
      <c r="C985" s="4" t="s">
        <v>1003</v>
      </c>
      <c r="D985" s="3">
        <v>21</v>
      </c>
      <c r="E985" s="4"/>
    </row>
    <row r="986" spans="2:5" ht="20.100000000000001">
      <c r="B986" s="3">
        <v>1083</v>
      </c>
      <c r="C986" s="4" t="s">
        <v>1004</v>
      </c>
      <c r="D986" s="3">
        <v>21</v>
      </c>
      <c r="E986" s="4"/>
    </row>
    <row r="987" spans="2:5" ht="20.100000000000001">
      <c r="B987" s="3">
        <v>1084</v>
      </c>
      <c r="C987" s="4" t="s">
        <v>1005</v>
      </c>
      <c r="D987" s="3">
        <v>21</v>
      </c>
      <c r="E987" s="4"/>
    </row>
    <row r="988" spans="2:5" ht="20.100000000000001">
      <c r="B988" s="3">
        <v>1085</v>
      </c>
      <c r="C988" s="4" t="s">
        <v>1006</v>
      </c>
      <c r="D988" s="3">
        <v>21</v>
      </c>
      <c r="E988" s="4"/>
    </row>
    <row r="989" spans="2:5" ht="20.100000000000001">
      <c r="B989" s="3">
        <v>1086</v>
      </c>
      <c r="C989" s="4" t="s">
        <v>1007</v>
      </c>
      <c r="D989" s="3">
        <v>21</v>
      </c>
      <c r="E989" s="4"/>
    </row>
    <row r="990" spans="2:5" ht="20.100000000000001">
      <c r="B990" s="3">
        <v>1087</v>
      </c>
      <c r="C990" s="4" t="s">
        <v>1008</v>
      </c>
      <c r="D990" s="3">
        <v>21</v>
      </c>
      <c r="E990" s="4"/>
    </row>
    <row r="991" spans="2:5" ht="20.100000000000001">
      <c r="B991" s="3">
        <v>1088</v>
      </c>
      <c r="C991" s="4" t="s">
        <v>1009</v>
      </c>
      <c r="D991" s="3">
        <v>21</v>
      </c>
      <c r="E991" s="3"/>
    </row>
    <row r="992" spans="2:5" ht="20.100000000000001">
      <c r="B992" s="3">
        <v>1089</v>
      </c>
      <c r="C992" s="4" t="s">
        <v>1010</v>
      </c>
      <c r="D992" s="3">
        <v>21</v>
      </c>
      <c r="E992" s="4"/>
    </row>
    <row r="993" spans="2:5" ht="20.100000000000001">
      <c r="B993" s="3">
        <v>1090</v>
      </c>
      <c r="C993" s="4" t="s">
        <v>1011</v>
      </c>
      <c r="D993" s="3">
        <v>21</v>
      </c>
      <c r="E993" s="4"/>
    </row>
    <row r="994" spans="2:5" ht="20.100000000000001">
      <c r="B994" s="3">
        <v>1091</v>
      </c>
      <c r="C994" s="4" t="s">
        <v>1012</v>
      </c>
      <c r="D994" s="3">
        <v>21</v>
      </c>
      <c r="E994" s="4"/>
    </row>
    <row r="995" spans="2:5" ht="20.100000000000001">
      <c r="B995" s="3">
        <v>1092</v>
      </c>
      <c r="C995" s="4" t="s">
        <v>1013</v>
      </c>
      <c r="D995" s="3">
        <v>21</v>
      </c>
      <c r="E995" s="4"/>
    </row>
    <row r="996" spans="2:5" ht="20.100000000000001">
      <c r="B996" s="3">
        <v>1093</v>
      </c>
      <c r="C996" s="4" t="s">
        <v>1014</v>
      </c>
      <c r="D996" s="3">
        <v>21</v>
      </c>
      <c r="E996" s="3"/>
    </row>
    <row r="997" spans="2:5" ht="20.100000000000001">
      <c r="B997" s="3">
        <v>1094</v>
      </c>
      <c r="C997" s="4" t="s">
        <v>1015</v>
      </c>
      <c r="D997" s="3">
        <v>21</v>
      </c>
      <c r="E997" s="4"/>
    </row>
    <row r="998" spans="2:5" ht="20.100000000000001">
      <c r="B998" s="3">
        <v>1095</v>
      </c>
      <c r="C998" s="4" t="s">
        <v>1016</v>
      </c>
      <c r="D998" s="3">
        <v>21</v>
      </c>
      <c r="E998" s="4"/>
    </row>
    <row r="999" spans="2:5" ht="20.100000000000001">
      <c r="B999" s="3">
        <v>1096</v>
      </c>
      <c r="C999" s="4" t="s">
        <v>1017</v>
      </c>
      <c r="D999" s="3">
        <v>21</v>
      </c>
      <c r="E999" s="4"/>
    </row>
    <row r="1000" spans="2:5" ht="20.100000000000001">
      <c r="B1000" s="3">
        <v>1097</v>
      </c>
      <c r="C1000" s="4" t="s">
        <v>1018</v>
      </c>
      <c r="D1000" s="3">
        <v>21</v>
      </c>
      <c r="E1000" s="4"/>
    </row>
    <row r="1001" spans="2:5" ht="20.100000000000001">
      <c r="B1001" s="3">
        <v>1098</v>
      </c>
      <c r="C1001" s="4" t="s">
        <v>1019</v>
      </c>
      <c r="D1001" s="3">
        <v>21</v>
      </c>
      <c r="E1001" s="4"/>
    </row>
    <row r="1002" spans="2:5" ht="20.100000000000001">
      <c r="B1002" s="3">
        <v>1099</v>
      </c>
      <c r="C1002" s="4" t="s">
        <v>1020</v>
      </c>
      <c r="D1002" s="3">
        <v>21</v>
      </c>
      <c r="E1002" s="4"/>
    </row>
    <row r="1003" spans="2:5">
      <c r="B1003">
        <v>1100</v>
      </c>
      <c r="C1003" t="s">
        <v>1021</v>
      </c>
      <c r="D1003">
        <v>21</v>
      </c>
    </row>
    <row r="1004" spans="2:5">
      <c r="B1004">
        <v>1101</v>
      </c>
      <c r="C1004">
        <v>1988</v>
      </c>
      <c r="D1004">
        <v>20</v>
      </c>
    </row>
    <row r="1005" spans="2:5">
      <c r="B1005">
        <v>1102</v>
      </c>
      <c r="C1005">
        <v>1990</v>
      </c>
      <c r="D1005">
        <v>20</v>
      </c>
    </row>
    <row r="1006" spans="2:5">
      <c r="B1006">
        <v>1103</v>
      </c>
      <c r="C1006">
        <v>1997</v>
      </c>
      <c r="D1006">
        <v>20</v>
      </c>
    </row>
    <row r="1007" spans="2:5">
      <c r="B1007">
        <v>1104</v>
      </c>
      <c r="C1007">
        <v>40</v>
      </c>
      <c r="D1007">
        <v>20</v>
      </c>
    </row>
    <row r="1008" spans="2:5">
      <c r="B1008">
        <v>1105</v>
      </c>
      <c r="C1008" t="s">
        <v>1022</v>
      </c>
      <c r="D1008">
        <v>20</v>
      </c>
    </row>
    <row r="1009" spans="2:4">
      <c r="B1009">
        <v>1106</v>
      </c>
      <c r="C1009" t="s">
        <v>1023</v>
      </c>
      <c r="D1009">
        <v>20</v>
      </c>
    </row>
    <row r="1010" spans="2:4">
      <c r="B1010">
        <v>1107</v>
      </c>
      <c r="C1010" t="s">
        <v>1024</v>
      </c>
      <c r="D1010">
        <v>20</v>
      </c>
    </row>
    <row r="1011" spans="2:4">
      <c r="B1011">
        <v>1108</v>
      </c>
      <c r="C1011" t="s">
        <v>1025</v>
      </c>
      <c r="D1011">
        <v>20</v>
      </c>
    </row>
    <row r="1012" spans="2:4">
      <c r="B1012">
        <v>1109</v>
      </c>
      <c r="C1012" t="s">
        <v>1026</v>
      </c>
      <c r="D1012">
        <v>20</v>
      </c>
    </row>
    <row r="1013" spans="2:4">
      <c r="B1013">
        <v>1110</v>
      </c>
      <c r="C1013" t="s">
        <v>1027</v>
      </c>
      <c r="D1013">
        <v>20</v>
      </c>
    </row>
    <row r="1014" spans="2:4">
      <c r="B1014">
        <v>1111</v>
      </c>
      <c r="C1014" t="s">
        <v>1028</v>
      </c>
      <c r="D1014">
        <v>20</v>
      </c>
    </row>
    <row r="1015" spans="2:4">
      <c r="B1015">
        <v>1112</v>
      </c>
      <c r="C1015" t="s">
        <v>1029</v>
      </c>
      <c r="D1015">
        <v>20</v>
      </c>
    </row>
    <row r="1016" spans="2:4">
      <c r="B1016">
        <v>1113</v>
      </c>
      <c r="C1016" t="s">
        <v>1030</v>
      </c>
      <c r="D1016">
        <v>20</v>
      </c>
    </row>
    <row r="1017" spans="2:4">
      <c r="B1017">
        <v>1114</v>
      </c>
      <c r="C1017" t="s">
        <v>1031</v>
      </c>
      <c r="D1017">
        <v>20</v>
      </c>
    </row>
    <row r="1018" spans="2:4">
      <c r="B1018">
        <v>1115</v>
      </c>
      <c r="C1018" t="s">
        <v>1032</v>
      </c>
      <c r="D1018">
        <v>20</v>
      </c>
    </row>
    <row r="1019" spans="2:4">
      <c r="B1019">
        <v>1116</v>
      </c>
      <c r="C1019" t="s">
        <v>1033</v>
      </c>
      <c r="D1019">
        <v>20</v>
      </c>
    </row>
    <row r="1020" spans="2:4">
      <c r="B1020">
        <v>1117</v>
      </c>
      <c r="C1020" t="s">
        <v>1034</v>
      </c>
      <c r="D1020">
        <v>20</v>
      </c>
    </row>
    <row r="1021" spans="2:4">
      <c r="B1021">
        <v>1118</v>
      </c>
      <c r="C1021" t="s">
        <v>1035</v>
      </c>
      <c r="D1021">
        <v>20</v>
      </c>
    </row>
    <row r="1022" spans="2:4">
      <c r="B1022">
        <v>1119</v>
      </c>
      <c r="C1022" t="s">
        <v>1036</v>
      </c>
      <c r="D1022">
        <v>20</v>
      </c>
    </row>
    <row r="1023" spans="2:4">
      <c r="B1023">
        <v>1120</v>
      </c>
      <c r="C1023" t="s">
        <v>1037</v>
      </c>
      <c r="D1023">
        <v>20</v>
      </c>
    </row>
    <row r="1024" spans="2:4">
      <c r="B1024">
        <v>1121</v>
      </c>
      <c r="C1024" t="s">
        <v>1038</v>
      </c>
      <c r="D1024">
        <v>20</v>
      </c>
    </row>
    <row r="1025" spans="2:4">
      <c r="B1025">
        <v>1122</v>
      </c>
      <c r="C1025" t="s">
        <v>1039</v>
      </c>
      <c r="D1025">
        <v>20</v>
      </c>
    </row>
    <row r="1026" spans="2:4">
      <c r="B1026">
        <v>1123</v>
      </c>
      <c r="C1026" t="s">
        <v>1040</v>
      </c>
      <c r="D1026">
        <v>20</v>
      </c>
    </row>
    <row r="1027" spans="2:4">
      <c r="B1027">
        <v>1124</v>
      </c>
      <c r="C1027" t="s">
        <v>1041</v>
      </c>
      <c r="D1027">
        <v>20</v>
      </c>
    </row>
    <row r="1028" spans="2:4">
      <c r="B1028">
        <v>1125</v>
      </c>
      <c r="C1028" t="s">
        <v>1042</v>
      </c>
      <c r="D1028">
        <v>20</v>
      </c>
    </row>
    <row r="1029" spans="2:4">
      <c r="B1029">
        <v>1126</v>
      </c>
      <c r="C1029" t="s">
        <v>1043</v>
      </c>
      <c r="D1029">
        <v>20</v>
      </c>
    </row>
    <row r="1030" spans="2:4">
      <c r="B1030">
        <v>1127</v>
      </c>
      <c r="C1030" t="s">
        <v>1044</v>
      </c>
      <c r="D1030">
        <v>20</v>
      </c>
    </row>
    <row r="1031" spans="2:4">
      <c r="B1031">
        <v>1128</v>
      </c>
      <c r="C1031" t="s">
        <v>1045</v>
      </c>
      <c r="D1031">
        <v>20</v>
      </c>
    </row>
    <row r="1032" spans="2:4">
      <c r="B1032">
        <v>1129</v>
      </c>
      <c r="C1032" t="s">
        <v>1046</v>
      </c>
      <c r="D1032">
        <v>20</v>
      </c>
    </row>
    <row r="1033" spans="2:4">
      <c r="B1033">
        <v>1130</v>
      </c>
      <c r="C1033" t="s">
        <v>1047</v>
      </c>
      <c r="D1033">
        <v>20</v>
      </c>
    </row>
    <row r="1034" spans="2:4">
      <c r="B1034">
        <v>1131</v>
      </c>
      <c r="C1034" t="s">
        <v>1048</v>
      </c>
      <c r="D1034">
        <v>20</v>
      </c>
    </row>
    <row r="1035" spans="2:4">
      <c r="B1035">
        <v>1132</v>
      </c>
      <c r="C1035" t="s">
        <v>1049</v>
      </c>
      <c r="D1035">
        <v>20</v>
      </c>
    </row>
    <row r="1036" spans="2:4">
      <c r="B1036">
        <v>1133</v>
      </c>
      <c r="C1036" t="s">
        <v>1050</v>
      </c>
      <c r="D1036">
        <v>20</v>
      </c>
    </row>
    <row r="1037" spans="2:4">
      <c r="B1037">
        <v>1134</v>
      </c>
      <c r="C1037" t="s">
        <v>1051</v>
      </c>
      <c r="D1037">
        <v>20</v>
      </c>
    </row>
    <row r="1038" spans="2:4">
      <c r="B1038">
        <v>1135</v>
      </c>
      <c r="C1038" t="s">
        <v>1052</v>
      </c>
      <c r="D1038">
        <v>20</v>
      </c>
    </row>
    <row r="1039" spans="2:4">
      <c r="B1039">
        <v>1136</v>
      </c>
      <c r="C1039" t="s">
        <v>1053</v>
      </c>
      <c r="D1039">
        <v>20</v>
      </c>
    </row>
    <row r="1040" spans="2:4">
      <c r="B1040">
        <v>1137</v>
      </c>
      <c r="C1040" t="s">
        <v>1054</v>
      </c>
      <c r="D1040">
        <v>20</v>
      </c>
    </row>
    <row r="1041" spans="2:4">
      <c r="B1041">
        <v>1138</v>
      </c>
      <c r="C1041" t="s">
        <v>1055</v>
      </c>
      <c r="D1041">
        <v>20</v>
      </c>
    </row>
    <row r="1042" spans="2:4">
      <c r="B1042">
        <v>1139</v>
      </c>
      <c r="C1042" t="s">
        <v>1056</v>
      </c>
      <c r="D1042">
        <v>20</v>
      </c>
    </row>
    <row r="1043" spans="2:4">
      <c r="B1043">
        <v>1140</v>
      </c>
      <c r="C1043" t="s">
        <v>1057</v>
      </c>
      <c r="D1043">
        <v>20</v>
      </c>
    </row>
    <row r="1044" spans="2:4">
      <c r="B1044">
        <v>1141</v>
      </c>
      <c r="C1044" t="s">
        <v>1058</v>
      </c>
      <c r="D1044">
        <v>20</v>
      </c>
    </row>
    <row r="1045" spans="2:4">
      <c r="B1045">
        <v>1142</v>
      </c>
      <c r="C1045" t="s">
        <v>1059</v>
      </c>
      <c r="D1045">
        <v>20</v>
      </c>
    </row>
    <row r="1046" spans="2:4">
      <c r="B1046">
        <v>1143</v>
      </c>
      <c r="C1046" t="s">
        <v>1060</v>
      </c>
      <c r="D1046">
        <v>20</v>
      </c>
    </row>
    <row r="1047" spans="2:4">
      <c r="B1047">
        <v>1144</v>
      </c>
      <c r="C1047">
        <v>1994</v>
      </c>
      <c r="D1047">
        <v>19</v>
      </c>
    </row>
    <row r="1048" spans="2:4">
      <c r="B1048">
        <v>1145</v>
      </c>
      <c r="C1048">
        <v>500</v>
      </c>
      <c r="D1048">
        <v>19</v>
      </c>
    </row>
    <row r="1049" spans="2:4">
      <c r="B1049">
        <v>1146</v>
      </c>
      <c r="C1049" t="s">
        <v>1061</v>
      </c>
      <c r="D1049">
        <v>19</v>
      </c>
    </row>
    <row r="1050" spans="2:4">
      <c r="B1050">
        <v>1147</v>
      </c>
      <c r="C1050" t="s">
        <v>1062</v>
      </c>
      <c r="D1050">
        <v>19</v>
      </c>
    </row>
    <row r="1051" spans="2:4">
      <c r="B1051">
        <v>1148</v>
      </c>
      <c r="C1051" t="s">
        <v>1063</v>
      </c>
      <c r="D1051">
        <v>19</v>
      </c>
    </row>
    <row r="1052" spans="2:4">
      <c r="B1052">
        <v>1149</v>
      </c>
      <c r="C1052" t="s">
        <v>1064</v>
      </c>
      <c r="D1052">
        <v>19</v>
      </c>
    </row>
    <row r="1053" spans="2:4">
      <c r="B1053">
        <v>1150</v>
      </c>
      <c r="C1053" t="s">
        <v>1065</v>
      </c>
      <c r="D1053">
        <v>19</v>
      </c>
    </row>
    <row r="1054" spans="2:4">
      <c r="B1054">
        <v>1151</v>
      </c>
      <c r="C1054" t="s">
        <v>1066</v>
      </c>
      <c r="D1054">
        <v>19</v>
      </c>
    </row>
    <row r="1055" spans="2:4">
      <c r="B1055">
        <v>1152</v>
      </c>
      <c r="C1055" t="s">
        <v>1067</v>
      </c>
      <c r="D1055">
        <v>19</v>
      </c>
    </row>
    <row r="1056" spans="2:4">
      <c r="B1056">
        <v>1153</v>
      </c>
      <c r="C1056" t="s">
        <v>1068</v>
      </c>
      <c r="D1056">
        <v>19</v>
      </c>
    </row>
    <row r="1057" spans="2:4">
      <c r="B1057">
        <v>1154</v>
      </c>
      <c r="C1057" t="s">
        <v>1069</v>
      </c>
      <c r="D1057">
        <v>19</v>
      </c>
    </row>
    <row r="1058" spans="2:4">
      <c r="B1058">
        <v>1155</v>
      </c>
      <c r="C1058" t="s">
        <v>1070</v>
      </c>
      <c r="D1058">
        <v>19</v>
      </c>
    </row>
    <row r="1059" spans="2:4">
      <c r="B1059">
        <v>1156</v>
      </c>
      <c r="C1059" t="s">
        <v>1071</v>
      </c>
      <c r="D1059">
        <v>19</v>
      </c>
    </row>
    <row r="1060" spans="2:4">
      <c r="B1060">
        <v>1157</v>
      </c>
      <c r="C1060" t="s">
        <v>1072</v>
      </c>
      <c r="D1060">
        <v>19</v>
      </c>
    </row>
    <row r="1061" spans="2:4">
      <c r="B1061">
        <v>1158</v>
      </c>
      <c r="C1061" t="s">
        <v>1073</v>
      </c>
      <c r="D1061">
        <v>19</v>
      </c>
    </row>
    <row r="1062" spans="2:4">
      <c r="B1062">
        <v>1159</v>
      </c>
      <c r="C1062" t="s">
        <v>1074</v>
      </c>
      <c r="D1062">
        <v>19</v>
      </c>
    </row>
    <row r="1063" spans="2:4">
      <c r="B1063">
        <v>1160</v>
      </c>
      <c r="C1063" t="s">
        <v>1075</v>
      </c>
      <c r="D1063">
        <v>19</v>
      </c>
    </row>
    <row r="1064" spans="2:4">
      <c r="B1064">
        <v>1161</v>
      </c>
      <c r="C1064" t="s">
        <v>1076</v>
      </c>
      <c r="D1064">
        <v>19</v>
      </c>
    </row>
    <row r="1065" spans="2:4">
      <c r="B1065">
        <v>1162</v>
      </c>
      <c r="C1065" t="s">
        <v>1077</v>
      </c>
      <c r="D1065">
        <v>19</v>
      </c>
    </row>
    <row r="1066" spans="2:4">
      <c r="B1066">
        <v>1163</v>
      </c>
      <c r="C1066" t="s">
        <v>1078</v>
      </c>
      <c r="D1066">
        <v>19</v>
      </c>
    </row>
    <row r="1067" spans="2:4">
      <c r="B1067">
        <v>1164</v>
      </c>
      <c r="C1067" t="s">
        <v>1079</v>
      </c>
      <c r="D1067">
        <v>19</v>
      </c>
    </row>
    <row r="1068" spans="2:4">
      <c r="B1068">
        <v>1165</v>
      </c>
      <c r="C1068" t="s">
        <v>1080</v>
      </c>
      <c r="D1068">
        <v>19</v>
      </c>
    </row>
    <row r="1069" spans="2:4">
      <c r="B1069">
        <v>1166</v>
      </c>
      <c r="C1069" t="s">
        <v>1081</v>
      </c>
      <c r="D1069">
        <v>19</v>
      </c>
    </row>
    <row r="1070" spans="2:4">
      <c r="B1070">
        <v>1167</v>
      </c>
      <c r="C1070" t="s">
        <v>1082</v>
      </c>
      <c r="D1070">
        <v>19</v>
      </c>
    </row>
    <row r="1071" spans="2:4">
      <c r="B1071">
        <v>1168</v>
      </c>
      <c r="C1071" t="s">
        <v>1083</v>
      </c>
      <c r="D1071">
        <v>19</v>
      </c>
    </row>
    <row r="1072" spans="2:4">
      <c r="B1072">
        <v>1169</v>
      </c>
      <c r="C1072" t="s">
        <v>1084</v>
      </c>
      <c r="D1072">
        <v>19</v>
      </c>
    </row>
    <row r="1073" spans="2:4">
      <c r="B1073">
        <v>1170</v>
      </c>
      <c r="C1073" t="s">
        <v>1085</v>
      </c>
      <c r="D1073">
        <v>19</v>
      </c>
    </row>
    <row r="1074" spans="2:4">
      <c r="B1074">
        <v>1171</v>
      </c>
      <c r="C1074" t="s">
        <v>1086</v>
      </c>
      <c r="D1074">
        <v>19</v>
      </c>
    </row>
    <row r="1075" spans="2:4">
      <c r="B1075">
        <v>1172</v>
      </c>
      <c r="C1075" t="s">
        <v>1087</v>
      </c>
      <c r="D1075">
        <v>19</v>
      </c>
    </row>
    <row r="1076" spans="2:4">
      <c r="B1076">
        <v>1173</v>
      </c>
      <c r="C1076" t="s">
        <v>1088</v>
      </c>
      <c r="D1076">
        <v>19</v>
      </c>
    </row>
    <row r="1077" spans="2:4">
      <c r="B1077">
        <v>1174</v>
      </c>
      <c r="C1077" t="s">
        <v>1089</v>
      </c>
      <c r="D1077">
        <v>19</v>
      </c>
    </row>
    <row r="1078" spans="2:4">
      <c r="B1078">
        <v>1175</v>
      </c>
      <c r="C1078" t="s">
        <v>1090</v>
      </c>
      <c r="D1078">
        <v>19</v>
      </c>
    </row>
    <row r="1079" spans="2:4">
      <c r="B1079">
        <v>1176</v>
      </c>
      <c r="C1079" t="s">
        <v>1091</v>
      </c>
      <c r="D1079">
        <v>19</v>
      </c>
    </row>
    <row r="1080" spans="2:4">
      <c r="B1080">
        <v>1177</v>
      </c>
      <c r="C1080" t="s">
        <v>1092</v>
      </c>
      <c r="D1080">
        <v>19</v>
      </c>
    </row>
    <row r="1081" spans="2:4">
      <c r="B1081">
        <v>1178</v>
      </c>
      <c r="C1081" t="s">
        <v>1093</v>
      </c>
      <c r="D1081">
        <v>19</v>
      </c>
    </row>
    <row r="1082" spans="2:4">
      <c r="B1082">
        <v>1179</v>
      </c>
      <c r="C1082" t="s">
        <v>1094</v>
      </c>
      <c r="D1082">
        <v>19</v>
      </c>
    </row>
    <row r="1083" spans="2:4">
      <c r="B1083">
        <v>1180</v>
      </c>
      <c r="C1083" t="s">
        <v>1095</v>
      </c>
      <c r="D1083">
        <v>19</v>
      </c>
    </row>
    <row r="1084" spans="2:4">
      <c r="B1084">
        <v>1181</v>
      </c>
      <c r="C1084" t="s">
        <v>1096</v>
      </c>
      <c r="D1084">
        <v>19</v>
      </c>
    </row>
    <row r="1085" spans="2:4">
      <c r="B1085">
        <v>1182</v>
      </c>
      <c r="C1085" t="s">
        <v>1097</v>
      </c>
      <c r="D1085">
        <v>19</v>
      </c>
    </row>
    <row r="1086" spans="2:4">
      <c r="B1086">
        <v>1183</v>
      </c>
      <c r="C1086" t="s">
        <v>1098</v>
      </c>
      <c r="D1086">
        <v>19</v>
      </c>
    </row>
    <row r="1087" spans="2:4">
      <c r="B1087">
        <v>1184</v>
      </c>
      <c r="C1087" t="s">
        <v>1099</v>
      </c>
      <c r="D1087">
        <v>19</v>
      </c>
    </row>
    <row r="1088" spans="2:4">
      <c r="B1088">
        <v>1185</v>
      </c>
      <c r="C1088" t="s">
        <v>1100</v>
      </c>
      <c r="D1088">
        <v>19</v>
      </c>
    </row>
    <row r="1089" spans="2:4">
      <c r="B1089">
        <v>1186</v>
      </c>
      <c r="C1089" t="s">
        <v>1101</v>
      </c>
      <c r="D1089">
        <v>19</v>
      </c>
    </row>
    <row r="1090" spans="2:4">
      <c r="B1090">
        <v>1187</v>
      </c>
      <c r="C1090" t="s">
        <v>1102</v>
      </c>
      <c r="D1090">
        <v>19</v>
      </c>
    </row>
    <row r="1091" spans="2:4">
      <c r="B1091">
        <v>1188</v>
      </c>
      <c r="C1091" t="s">
        <v>1103</v>
      </c>
      <c r="D1091">
        <v>19</v>
      </c>
    </row>
    <row r="1092" spans="2:4">
      <c r="B1092">
        <v>1189</v>
      </c>
      <c r="C1092" t="s">
        <v>1104</v>
      </c>
      <c r="D1092">
        <v>19</v>
      </c>
    </row>
    <row r="1093" spans="2:4">
      <c r="B1093">
        <v>1190</v>
      </c>
      <c r="C1093" t="s">
        <v>1105</v>
      </c>
      <c r="D1093">
        <v>19</v>
      </c>
    </row>
    <row r="1094" spans="2:4">
      <c r="B1094">
        <v>1191</v>
      </c>
      <c r="C1094" t="s">
        <v>1106</v>
      </c>
      <c r="D1094">
        <v>19</v>
      </c>
    </row>
    <row r="1095" spans="2:4">
      <c r="B1095">
        <v>1192</v>
      </c>
      <c r="C1095" t="s">
        <v>1107</v>
      </c>
      <c r="D1095">
        <v>19</v>
      </c>
    </row>
    <row r="1096" spans="2:4">
      <c r="B1096">
        <v>1193</v>
      </c>
      <c r="C1096" t="s">
        <v>1108</v>
      </c>
      <c r="D1096">
        <v>19</v>
      </c>
    </row>
    <row r="1097" spans="2:4">
      <c r="B1097">
        <v>1194</v>
      </c>
      <c r="C1097" t="s">
        <v>1109</v>
      </c>
      <c r="D1097">
        <v>19</v>
      </c>
    </row>
    <row r="1098" spans="2:4">
      <c r="B1098">
        <v>1195</v>
      </c>
      <c r="C1098" t="s">
        <v>1110</v>
      </c>
      <c r="D1098">
        <v>19</v>
      </c>
    </row>
    <row r="1099" spans="2:4">
      <c r="B1099">
        <v>1196</v>
      </c>
      <c r="C1099" t="s">
        <v>1111</v>
      </c>
      <c r="D1099">
        <v>19</v>
      </c>
    </row>
    <row r="1100" spans="2:4">
      <c r="B1100">
        <v>1197</v>
      </c>
      <c r="C1100" t="s">
        <v>1112</v>
      </c>
      <c r="D1100">
        <v>19</v>
      </c>
    </row>
    <row r="1101" spans="2:4">
      <c r="B1101">
        <v>1198</v>
      </c>
      <c r="C1101" t="s">
        <v>1113</v>
      </c>
      <c r="D1101">
        <v>19</v>
      </c>
    </row>
    <row r="1102" spans="2:4">
      <c r="B1102">
        <v>1199</v>
      </c>
      <c r="C1102" t="s">
        <v>1114</v>
      </c>
      <c r="D1102">
        <v>19</v>
      </c>
    </row>
    <row r="1103" spans="2:4">
      <c r="B1103">
        <v>1200</v>
      </c>
      <c r="C1103" t="s">
        <v>1115</v>
      </c>
      <c r="D1103">
        <v>19</v>
      </c>
    </row>
    <row r="1104" spans="2:4">
      <c r="B1104">
        <v>1201</v>
      </c>
      <c r="C1104" t="s">
        <v>1116</v>
      </c>
      <c r="D1104">
        <v>19</v>
      </c>
    </row>
    <row r="1105" spans="2:4">
      <c r="B1105">
        <v>1202</v>
      </c>
      <c r="C1105">
        <v>1993</v>
      </c>
      <c r="D1105">
        <v>18</v>
      </c>
    </row>
    <row r="1106" spans="2:4">
      <c r="B1106">
        <v>1203</v>
      </c>
      <c r="C1106">
        <v>1998</v>
      </c>
      <c r="D1106">
        <v>18</v>
      </c>
    </row>
    <row r="1107" spans="2:4">
      <c r="B1107">
        <v>1204</v>
      </c>
      <c r="C1107">
        <v>60</v>
      </c>
      <c r="D1107">
        <v>18</v>
      </c>
    </row>
    <row r="1108" spans="2:4">
      <c r="B1108">
        <v>1205</v>
      </c>
      <c r="C1108" t="s">
        <v>1117</v>
      </c>
      <c r="D1108">
        <v>18</v>
      </c>
    </row>
    <row r="1109" spans="2:4">
      <c r="B1109">
        <v>1206</v>
      </c>
      <c r="C1109" t="s">
        <v>1118</v>
      </c>
      <c r="D1109">
        <v>18</v>
      </c>
    </row>
    <row r="1110" spans="2:4">
      <c r="B1110">
        <v>1207</v>
      </c>
      <c r="C1110" t="s">
        <v>1119</v>
      </c>
      <c r="D1110">
        <v>18</v>
      </c>
    </row>
    <row r="1111" spans="2:4">
      <c r="B1111">
        <v>1208</v>
      </c>
      <c r="C1111" t="s">
        <v>1120</v>
      </c>
      <c r="D1111">
        <v>18</v>
      </c>
    </row>
    <row r="1112" spans="2:4">
      <c r="B1112">
        <v>1209</v>
      </c>
      <c r="C1112" t="s">
        <v>1121</v>
      </c>
      <c r="D1112">
        <v>18</v>
      </c>
    </row>
    <row r="1113" spans="2:4">
      <c r="B1113">
        <v>1210</v>
      </c>
      <c r="C1113" t="s">
        <v>1122</v>
      </c>
      <c r="D1113">
        <v>18</v>
      </c>
    </row>
    <row r="1114" spans="2:4">
      <c r="B1114">
        <v>1211</v>
      </c>
      <c r="C1114" t="s">
        <v>1123</v>
      </c>
      <c r="D1114">
        <v>18</v>
      </c>
    </row>
    <row r="1115" spans="2:4">
      <c r="B1115">
        <v>1212</v>
      </c>
      <c r="C1115" t="s">
        <v>1124</v>
      </c>
      <c r="D1115">
        <v>18</v>
      </c>
    </row>
    <row r="1116" spans="2:4">
      <c r="B1116">
        <v>1213</v>
      </c>
      <c r="C1116" t="s">
        <v>1125</v>
      </c>
      <c r="D1116">
        <v>18</v>
      </c>
    </row>
    <row r="1117" spans="2:4">
      <c r="B1117">
        <v>1214</v>
      </c>
      <c r="C1117" t="s">
        <v>1126</v>
      </c>
      <c r="D1117">
        <v>18</v>
      </c>
    </row>
    <row r="1118" spans="2:4">
      <c r="B1118">
        <v>1215</v>
      </c>
      <c r="C1118" t="s">
        <v>1127</v>
      </c>
      <c r="D1118">
        <v>18</v>
      </c>
    </row>
    <row r="1119" spans="2:4">
      <c r="B1119">
        <v>1216</v>
      </c>
      <c r="C1119" t="s">
        <v>1128</v>
      </c>
      <c r="D1119">
        <v>18</v>
      </c>
    </row>
    <row r="1120" spans="2:4">
      <c r="B1120">
        <v>1217</v>
      </c>
      <c r="C1120" t="s">
        <v>1129</v>
      </c>
      <c r="D1120">
        <v>18</v>
      </c>
    </row>
    <row r="1121" spans="2:4">
      <c r="B1121">
        <v>1218</v>
      </c>
      <c r="C1121" t="s">
        <v>1130</v>
      </c>
      <c r="D1121">
        <v>18</v>
      </c>
    </row>
    <row r="1122" spans="2:4">
      <c r="B1122">
        <v>1219</v>
      </c>
      <c r="C1122" t="s">
        <v>1131</v>
      </c>
      <c r="D1122">
        <v>18</v>
      </c>
    </row>
    <row r="1123" spans="2:4">
      <c r="B1123">
        <v>1220</v>
      </c>
      <c r="C1123" t="s">
        <v>1132</v>
      </c>
      <c r="D1123">
        <v>18</v>
      </c>
    </row>
    <row r="1124" spans="2:4">
      <c r="B1124">
        <v>1221</v>
      </c>
      <c r="C1124" t="s">
        <v>1133</v>
      </c>
      <c r="D1124">
        <v>18</v>
      </c>
    </row>
    <row r="1125" spans="2:4">
      <c r="B1125">
        <v>1222</v>
      </c>
      <c r="C1125" t="s">
        <v>1134</v>
      </c>
      <c r="D1125">
        <v>18</v>
      </c>
    </row>
    <row r="1126" spans="2:4">
      <c r="B1126">
        <v>1223</v>
      </c>
      <c r="C1126" t="s">
        <v>1135</v>
      </c>
      <c r="D1126">
        <v>18</v>
      </c>
    </row>
    <row r="1127" spans="2:4">
      <c r="B1127">
        <v>1224</v>
      </c>
      <c r="C1127" t="s">
        <v>1136</v>
      </c>
      <c r="D1127">
        <v>18</v>
      </c>
    </row>
    <row r="1128" spans="2:4">
      <c r="B1128">
        <v>1225</v>
      </c>
      <c r="C1128" t="s">
        <v>1137</v>
      </c>
      <c r="D1128">
        <v>18</v>
      </c>
    </row>
    <row r="1129" spans="2:4">
      <c r="B1129">
        <v>1226</v>
      </c>
      <c r="C1129" t="s">
        <v>1138</v>
      </c>
      <c r="D1129">
        <v>18</v>
      </c>
    </row>
    <row r="1130" spans="2:4">
      <c r="B1130">
        <v>1227</v>
      </c>
      <c r="C1130" t="s">
        <v>1139</v>
      </c>
      <c r="D1130">
        <v>18</v>
      </c>
    </row>
    <row r="1131" spans="2:4">
      <c r="B1131">
        <v>1228</v>
      </c>
      <c r="C1131" t="s">
        <v>1140</v>
      </c>
      <c r="D1131">
        <v>18</v>
      </c>
    </row>
    <row r="1132" spans="2:4">
      <c r="B1132">
        <v>1229</v>
      </c>
      <c r="C1132" t="s">
        <v>1141</v>
      </c>
      <c r="D1132">
        <v>18</v>
      </c>
    </row>
    <row r="1133" spans="2:4">
      <c r="B1133">
        <v>1230</v>
      </c>
      <c r="C1133" t="s">
        <v>1142</v>
      </c>
      <c r="D1133">
        <v>18</v>
      </c>
    </row>
    <row r="1134" spans="2:4">
      <c r="B1134">
        <v>1231</v>
      </c>
      <c r="C1134" t="s">
        <v>1143</v>
      </c>
      <c r="D1134">
        <v>18</v>
      </c>
    </row>
    <row r="1135" spans="2:4">
      <c r="B1135">
        <v>1232</v>
      </c>
      <c r="C1135" t="s">
        <v>1144</v>
      </c>
      <c r="D1135">
        <v>18</v>
      </c>
    </row>
    <row r="1136" spans="2:4">
      <c r="B1136">
        <v>1233</v>
      </c>
      <c r="C1136" t="s">
        <v>1145</v>
      </c>
      <c r="D1136">
        <v>18</v>
      </c>
    </row>
    <row r="1137" spans="2:4">
      <c r="B1137">
        <v>1234</v>
      </c>
      <c r="C1137" t="s">
        <v>1146</v>
      </c>
      <c r="D1137">
        <v>18</v>
      </c>
    </row>
    <row r="1138" spans="2:4">
      <c r="B1138">
        <v>1235</v>
      </c>
      <c r="C1138" t="s">
        <v>1147</v>
      </c>
      <c r="D1138">
        <v>18</v>
      </c>
    </row>
    <row r="1139" spans="2:4">
      <c r="B1139">
        <v>1236</v>
      </c>
      <c r="C1139" t="s">
        <v>1148</v>
      </c>
      <c r="D1139">
        <v>18</v>
      </c>
    </row>
    <row r="1140" spans="2:4">
      <c r="B1140">
        <v>1237</v>
      </c>
      <c r="C1140" t="s">
        <v>1149</v>
      </c>
      <c r="D1140">
        <v>18</v>
      </c>
    </row>
    <row r="1141" spans="2:4">
      <c r="B1141">
        <v>1238</v>
      </c>
      <c r="C1141" t="s">
        <v>1150</v>
      </c>
      <c r="D1141">
        <v>18</v>
      </c>
    </row>
    <row r="1142" spans="2:4">
      <c r="B1142">
        <v>1239</v>
      </c>
      <c r="C1142" t="s">
        <v>1151</v>
      </c>
      <c r="D1142">
        <v>18</v>
      </c>
    </row>
    <row r="1143" spans="2:4">
      <c r="B1143">
        <v>1240</v>
      </c>
      <c r="C1143" t="s">
        <v>1152</v>
      </c>
      <c r="D1143">
        <v>18</v>
      </c>
    </row>
    <row r="1144" spans="2:4">
      <c r="B1144">
        <v>1241</v>
      </c>
      <c r="C1144" t="s">
        <v>1153</v>
      </c>
      <c r="D1144">
        <v>18</v>
      </c>
    </row>
    <row r="1145" spans="2:4">
      <c r="B1145">
        <v>1242</v>
      </c>
      <c r="C1145" t="s">
        <v>1154</v>
      </c>
      <c r="D1145">
        <v>18</v>
      </c>
    </row>
    <row r="1146" spans="2:4">
      <c r="B1146">
        <v>1243</v>
      </c>
      <c r="C1146" t="s">
        <v>1155</v>
      </c>
      <c r="D1146">
        <v>18</v>
      </c>
    </row>
    <row r="1147" spans="2:4">
      <c r="B1147">
        <v>1244</v>
      </c>
      <c r="C1147" t="s">
        <v>1156</v>
      </c>
      <c r="D1147">
        <v>18</v>
      </c>
    </row>
    <row r="1148" spans="2:4">
      <c r="B1148">
        <v>1245</v>
      </c>
      <c r="C1148" t="s">
        <v>1157</v>
      </c>
      <c r="D1148">
        <v>18</v>
      </c>
    </row>
    <row r="1149" spans="2:4">
      <c r="B1149">
        <v>1246</v>
      </c>
      <c r="C1149" t="s">
        <v>1158</v>
      </c>
      <c r="D1149">
        <v>18</v>
      </c>
    </row>
    <row r="1150" spans="2:4">
      <c r="B1150">
        <v>1247</v>
      </c>
      <c r="C1150" t="s">
        <v>1159</v>
      </c>
      <c r="D1150">
        <v>18</v>
      </c>
    </row>
    <row r="1151" spans="2:4">
      <c r="B1151">
        <v>1248</v>
      </c>
      <c r="C1151" t="s">
        <v>1160</v>
      </c>
      <c r="D1151">
        <v>18</v>
      </c>
    </row>
    <row r="1152" spans="2:4">
      <c r="B1152">
        <v>1249</v>
      </c>
      <c r="C1152" t="s">
        <v>1161</v>
      </c>
      <c r="D1152">
        <v>18</v>
      </c>
    </row>
    <row r="1153" spans="2:4">
      <c r="B1153">
        <v>1250</v>
      </c>
      <c r="C1153" t="s">
        <v>1162</v>
      </c>
      <c r="D1153">
        <v>18</v>
      </c>
    </row>
    <row r="1154" spans="2:4">
      <c r="B1154">
        <v>1251</v>
      </c>
      <c r="C1154" t="s">
        <v>1163</v>
      </c>
      <c r="D1154">
        <v>18</v>
      </c>
    </row>
    <row r="1155" spans="2:4">
      <c r="B1155">
        <v>1252</v>
      </c>
      <c r="C1155" t="s">
        <v>1164</v>
      </c>
      <c r="D1155">
        <v>18</v>
      </c>
    </row>
    <row r="1156" spans="2:4">
      <c r="B1156">
        <v>1253</v>
      </c>
      <c r="C1156" t="s">
        <v>1165</v>
      </c>
      <c r="D1156">
        <v>18</v>
      </c>
    </row>
    <row r="1157" spans="2:4">
      <c r="B1157">
        <v>1254</v>
      </c>
      <c r="C1157" t="s">
        <v>1166</v>
      </c>
      <c r="D1157">
        <v>18</v>
      </c>
    </row>
    <row r="1158" spans="2:4">
      <c r="B1158">
        <v>1255</v>
      </c>
      <c r="C1158" t="s">
        <v>1167</v>
      </c>
      <c r="D1158">
        <v>18</v>
      </c>
    </row>
    <row r="1159" spans="2:4">
      <c r="B1159">
        <v>1256</v>
      </c>
      <c r="C1159" t="s">
        <v>1168</v>
      </c>
      <c r="D1159">
        <v>18</v>
      </c>
    </row>
    <row r="1160" spans="2:4">
      <c r="B1160">
        <v>1257</v>
      </c>
      <c r="C1160" t="s">
        <v>1169</v>
      </c>
      <c r="D1160">
        <v>18</v>
      </c>
    </row>
    <row r="1161" spans="2:4">
      <c r="B1161">
        <v>1258</v>
      </c>
      <c r="C1161" t="s">
        <v>1170</v>
      </c>
      <c r="D1161">
        <v>18</v>
      </c>
    </row>
    <row r="1162" spans="2:4">
      <c r="B1162">
        <v>1259</v>
      </c>
      <c r="C1162" t="s">
        <v>1171</v>
      </c>
      <c r="D1162">
        <v>18</v>
      </c>
    </row>
    <row r="1163" spans="2:4">
      <c r="B1163">
        <v>1260</v>
      </c>
      <c r="C1163" t="s">
        <v>1172</v>
      </c>
      <c r="D1163">
        <v>18</v>
      </c>
    </row>
    <row r="1164" spans="2:4">
      <c r="B1164">
        <v>1261</v>
      </c>
      <c r="C1164" t="s">
        <v>1173</v>
      </c>
      <c r="D1164">
        <v>18</v>
      </c>
    </row>
    <row r="1165" spans="2:4">
      <c r="B1165">
        <v>1262</v>
      </c>
      <c r="C1165" t="s">
        <v>1174</v>
      </c>
      <c r="D1165">
        <v>18</v>
      </c>
    </row>
    <row r="1166" spans="2:4">
      <c r="B1166">
        <v>1263</v>
      </c>
      <c r="C1166" t="s">
        <v>1175</v>
      </c>
      <c r="D1166">
        <v>18</v>
      </c>
    </row>
    <row r="1167" spans="2:4">
      <c r="B1167">
        <v>1264</v>
      </c>
      <c r="C1167" t="s">
        <v>1176</v>
      </c>
      <c r="D1167">
        <v>18</v>
      </c>
    </row>
    <row r="1168" spans="2:4">
      <c r="B1168">
        <v>1265</v>
      </c>
      <c r="C1168" t="s">
        <v>1177</v>
      </c>
      <c r="D1168">
        <v>18</v>
      </c>
    </row>
    <row r="1169" spans="2:4">
      <c r="B1169">
        <v>1266</v>
      </c>
      <c r="C1169" t="s">
        <v>1178</v>
      </c>
      <c r="D1169">
        <v>18</v>
      </c>
    </row>
    <row r="1170" spans="2:4">
      <c r="B1170">
        <v>1267</v>
      </c>
      <c r="C1170" t="s">
        <v>1179</v>
      </c>
      <c r="D1170">
        <v>18</v>
      </c>
    </row>
    <row r="1171" spans="2:4">
      <c r="B1171">
        <v>1268</v>
      </c>
      <c r="C1171" t="s">
        <v>1180</v>
      </c>
      <c r="D1171">
        <v>18</v>
      </c>
    </row>
    <row r="1172" spans="2:4">
      <c r="B1172">
        <v>1269</v>
      </c>
      <c r="C1172" t="s">
        <v>1181</v>
      </c>
      <c r="D1172">
        <v>18</v>
      </c>
    </row>
    <row r="1173" spans="2:4">
      <c r="B1173">
        <v>1270</v>
      </c>
      <c r="C1173" t="s">
        <v>1182</v>
      </c>
      <c r="D1173">
        <v>18</v>
      </c>
    </row>
    <row r="1174" spans="2:4">
      <c r="B1174">
        <v>1271</v>
      </c>
      <c r="C1174" t="s">
        <v>1183</v>
      </c>
      <c r="D1174">
        <v>17</v>
      </c>
    </row>
    <row r="1175" spans="2:4">
      <c r="B1175">
        <v>1272</v>
      </c>
      <c r="C1175" t="s">
        <v>1184</v>
      </c>
      <c r="D1175">
        <v>17</v>
      </c>
    </row>
    <row r="1176" spans="2:4">
      <c r="B1176">
        <v>1273</v>
      </c>
      <c r="C1176" t="s">
        <v>1185</v>
      </c>
      <c r="D1176">
        <v>17</v>
      </c>
    </row>
    <row r="1177" spans="2:4">
      <c r="B1177">
        <v>1274</v>
      </c>
      <c r="C1177" t="s">
        <v>1186</v>
      </c>
      <c r="D1177">
        <v>17</v>
      </c>
    </row>
    <row r="1178" spans="2:4">
      <c r="B1178">
        <v>1275</v>
      </c>
      <c r="C1178" t="s">
        <v>1187</v>
      </c>
      <c r="D1178">
        <v>17</v>
      </c>
    </row>
    <row r="1179" spans="2:4">
      <c r="B1179">
        <v>1276</v>
      </c>
      <c r="C1179" t="s">
        <v>1188</v>
      </c>
      <c r="D1179">
        <v>17</v>
      </c>
    </row>
    <row r="1180" spans="2:4">
      <c r="B1180">
        <v>1277</v>
      </c>
      <c r="C1180" t="s">
        <v>1189</v>
      </c>
      <c r="D1180">
        <v>17</v>
      </c>
    </row>
    <row r="1181" spans="2:4">
      <c r="B1181">
        <v>1278</v>
      </c>
      <c r="C1181" t="s">
        <v>1190</v>
      </c>
      <c r="D1181">
        <v>17</v>
      </c>
    </row>
    <row r="1182" spans="2:4">
      <c r="B1182">
        <v>1279</v>
      </c>
      <c r="C1182" t="s">
        <v>1191</v>
      </c>
      <c r="D1182">
        <v>17</v>
      </c>
    </row>
    <row r="1183" spans="2:4">
      <c r="B1183">
        <v>1280</v>
      </c>
      <c r="C1183" t="s">
        <v>1192</v>
      </c>
      <c r="D1183">
        <v>17</v>
      </c>
    </row>
    <row r="1184" spans="2:4">
      <c r="B1184">
        <v>1281</v>
      </c>
      <c r="C1184" t="s">
        <v>1193</v>
      </c>
      <c r="D1184">
        <v>17</v>
      </c>
    </row>
    <row r="1185" spans="2:4">
      <c r="B1185">
        <v>1282</v>
      </c>
      <c r="C1185" t="s">
        <v>1194</v>
      </c>
      <c r="D1185">
        <v>17</v>
      </c>
    </row>
    <row r="1186" spans="2:4">
      <c r="B1186">
        <v>1283</v>
      </c>
      <c r="C1186" t="s">
        <v>1195</v>
      </c>
      <c r="D1186">
        <v>17</v>
      </c>
    </row>
    <row r="1187" spans="2:4">
      <c r="B1187">
        <v>1284</v>
      </c>
      <c r="C1187" t="s">
        <v>1196</v>
      </c>
      <c r="D1187">
        <v>17</v>
      </c>
    </row>
    <row r="1188" spans="2:4">
      <c r="B1188">
        <v>1285</v>
      </c>
      <c r="C1188" t="s">
        <v>1197</v>
      </c>
      <c r="D1188">
        <v>17</v>
      </c>
    </row>
    <row r="1189" spans="2:4">
      <c r="B1189">
        <v>1286</v>
      </c>
      <c r="C1189" t="s">
        <v>1198</v>
      </c>
      <c r="D1189">
        <v>17</v>
      </c>
    </row>
    <row r="1190" spans="2:4">
      <c r="B1190">
        <v>1287</v>
      </c>
      <c r="C1190" t="s">
        <v>1199</v>
      </c>
      <c r="D1190">
        <v>17</v>
      </c>
    </row>
    <row r="1191" spans="2:4">
      <c r="B1191">
        <v>1288</v>
      </c>
      <c r="C1191" t="s">
        <v>1200</v>
      </c>
      <c r="D1191">
        <v>17</v>
      </c>
    </row>
    <row r="1192" spans="2:4">
      <c r="B1192">
        <v>1289</v>
      </c>
      <c r="C1192" t="s">
        <v>1201</v>
      </c>
      <c r="D1192">
        <v>17</v>
      </c>
    </row>
    <row r="1193" spans="2:4">
      <c r="B1193">
        <v>1290</v>
      </c>
      <c r="C1193" t="s">
        <v>1202</v>
      </c>
      <c r="D1193">
        <v>17</v>
      </c>
    </row>
    <row r="1194" spans="2:4">
      <c r="B1194">
        <v>1291</v>
      </c>
      <c r="C1194" t="s">
        <v>1203</v>
      </c>
      <c r="D1194">
        <v>17</v>
      </c>
    </row>
    <row r="1195" spans="2:4">
      <c r="B1195">
        <v>1292</v>
      </c>
      <c r="C1195" t="s">
        <v>1204</v>
      </c>
      <c r="D1195">
        <v>17</v>
      </c>
    </row>
    <row r="1196" spans="2:4">
      <c r="B1196">
        <v>1293</v>
      </c>
      <c r="C1196" t="s">
        <v>1205</v>
      </c>
      <c r="D1196">
        <v>17</v>
      </c>
    </row>
    <row r="1197" spans="2:4">
      <c r="B1197">
        <v>1294</v>
      </c>
      <c r="C1197" t="s">
        <v>1206</v>
      </c>
      <c r="D1197">
        <v>17</v>
      </c>
    </row>
    <row r="1198" spans="2:4">
      <c r="B1198">
        <v>1295</v>
      </c>
      <c r="C1198" t="s">
        <v>1207</v>
      </c>
      <c r="D1198">
        <v>17</v>
      </c>
    </row>
    <row r="1199" spans="2:4">
      <c r="B1199">
        <v>1296</v>
      </c>
      <c r="C1199" t="s">
        <v>1208</v>
      </c>
      <c r="D1199">
        <v>17</v>
      </c>
    </row>
    <row r="1200" spans="2:4">
      <c r="B1200">
        <v>1297</v>
      </c>
      <c r="C1200" t="s">
        <v>1209</v>
      </c>
      <c r="D1200">
        <v>17</v>
      </c>
    </row>
    <row r="1201" spans="2:4">
      <c r="B1201">
        <v>1298</v>
      </c>
      <c r="C1201" t="s">
        <v>1210</v>
      </c>
      <c r="D1201">
        <v>17</v>
      </c>
    </row>
    <row r="1202" spans="2:4">
      <c r="B1202">
        <v>1299</v>
      </c>
      <c r="C1202" t="s">
        <v>1211</v>
      </c>
      <c r="D1202">
        <v>17</v>
      </c>
    </row>
    <row r="1203" spans="2:4">
      <c r="B1203">
        <v>1300</v>
      </c>
      <c r="C1203" t="s">
        <v>1212</v>
      </c>
      <c r="D1203">
        <v>17</v>
      </c>
    </row>
    <row r="1204" spans="2:4">
      <c r="B1204">
        <v>1301</v>
      </c>
      <c r="C1204" t="s">
        <v>1213</v>
      </c>
      <c r="D1204">
        <v>17</v>
      </c>
    </row>
    <row r="1205" spans="2:4">
      <c r="B1205">
        <v>1302</v>
      </c>
      <c r="C1205" t="s">
        <v>1214</v>
      </c>
      <c r="D1205">
        <v>17</v>
      </c>
    </row>
    <row r="1206" spans="2:4">
      <c r="B1206">
        <v>1303</v>
      </c>
      <c r="C1206" t="s">
        <v>1215</v>
      </c>
      <c r="D1206">
        <v>17</v>
      </c>
    </row>
    <row r="1207" spans="2:4">
      <c r="B1207">
        <v>1304</v>
      </c>
      <c r="C1207" t="s">
        <v>1216</v>
      </c>
      <c r="D1207">
        <v>17</v>
      </c>
    </row>
    <row r="1208" spans="2:4">
      <c r="B1208">
        <v>1305</v>
      </c>
      <c r="C1208" t="s">
        <v>1217</v>
      </c>
      <c r="D1208">
        <v>17</v>
      </c>
    </row>
    <row r="1209" spans="2:4">
      <c r="B1209">
        <v>1306</v>
      </c>
      <c r="C1209" t="s">
        <v>1218</v>
      </c>
      <c r="D1209">
        <v>17</v>
      </c>
    </row>
    <row r="1210" spans="2:4">
      <c r="B1210">
        <v>1307</v>
      </c>
      <c r="C1210" t="s">
        <v>1219</v>
      </c>
      <c r="D1210">
        <v>17</v>
      </c>
    </row>
    <row r="1211" spans="2:4">
      <c r="B1211">
        <v>1308</v>
      </c>
      <c r="C1211" t="s">
        <v>1220</v>
      </c>
      <c r="D1211">
        <v>17</v>
      </c>
    </row>
    <row r="1212" spans="2:4">
      <c r="B1212">
        <v>1309</v>
      </c>
      <c r="C1212" t="s">
        <v>1221</v>
      </c>
      <c r="D1212">
        <v>17</v>
      </c>
    </row>
    <row r="1213" spans="2:4">
      <c r="B1213">
        <v>1310</v>
      </c>
      <c r="C1213" t="s">
        <v>1222</v>
      </c>
      <c r="D1213">
        <v>17</v>
      </c>
    </row>
    <row r="1214" spans="2:4">
      <c r="B1214">
        <v>1311</v>
      </c>
      <c r="C1214" t="s">
        <v>1223</v>
      </c>
      <c r="D1214">
        <v>17</v>
      </c>
    </row>
    <row r="1215" spans="2:4">
      <c r="B1215">
        <v>1312</v>
      </c>
      <c r="C1215" t="s">
        <v>1224</v>
      </c>
      <c r="D1215">
        <v>17</v>
      </c>
    </row>
    <row r="1216" spans="2:4">
      <c r="B1216">
        <v>1313</v>
      </c>
      <c r="C1216" t="s">
        <v>1225</v>
      </c>
      <c r="D1216">
        <v>17</v>
      </c>
    </row>
    <row r="1217" spans="2:4">
      <c r="B1217">
        <v>1314</v>
      </c>
      <c r="C1217" t="s">
        <v>1226</v>
      </c>
      <c r="D1217">
        <v>17</v>
      </c>
    </row>
    <row r="1218" spans="2:4">
      <c r="B1218">
        <v>1315</v>
      </c>
      <c r="C1218" t="s">
        <v>1227</v>
      </c>
      <c r="D1218">
        <v>17</v>
      </c>
    </row>
    <row r="1219" spans="2:4">
      <c r="B1219">
        <v>1316</v>
      </c>
      <c r="C1219" t="s">
        <v>1228</v>
      </c>
      <c r="D1219">
        <v>17</v>
      </c>
    </row>
    <row r="1220" spans="2:4">
      <c r="B1220">
        <v>1317</v>
      </c>
      <c r="C1220" t="s">
        <v>1229</v>
      </c>
      <c r="D1220">
        <v>17</v>
      </c>
    </row>
    <row r="1221" spans="2:4">
      <c r="B1221">
        <v>1318</v>
      </c>
      <c r="C1221" t="s">
        <v>1230</v>
      </c>
      <c r="D1221">
        <v>17</v>
      </c>
    </row>
    <row r="1222" spans="2:4">
      <c r="B1222">
        <v>1319</v>
      </c>
      <c r="C1222" t="s">
        <v>1231</v>
      </c>
      <c r="D1222">
        <v>17</v>
      </c>
    </row>
    <row r="1223" spans="2:4">
      <c r="B1223">
        <v>1320</v>
      </c>
      <c r="C1223" t="s">
        <v>1232</v>
      </c>
      <c r="D1223">
        <v>17</v>
      </c>
    </row>
    <row r="1224" spans="2:4">
      <c r="B1224">
        <v>1321</v>
      </c>
      <c r="C1224" t="s">
        <v>1233</v>
      </c>
      <c r="D1224">
        <v>17</v>
      </c>
    </row>
    <row r="1225" spans="2:4">
      <c r="B1225">
        <v>1322</v>
      </c>
      <c r="C1225" t="s">
        <v>1234</v>
      </c>
      <c r="D1225">
        <v>17</v>
      </c>
    </row>
    <row r="1226" spans="2:4">
      <c r="B1226">
        <v>1323</v>
      </c>
      <c r="C1226" t="s">
        <v>1235</v>
      </c>
      <c r="D1226">
        <v>17</v>
      </c>
    </row>
    <row r="1227" spans="2:4">
      <c r="B1227">
        <v>1324</v>
      </c>
      <c r="C1227" t="s">
        <v>1236</v>
      </c>
      <c r="D1227">
        <v>17</v>
      </c>
    </row>
    <row r="1228" spans="2:4">
      <c r="B1228">
        <v>1325</v>
      </c>
      <c r="C1228" t="s">
        <v>1237</v>
      </c>
      <c r="D1228">
        <v>17</v>
      </c>
    </row>
    <row r="1229" spans="2:4">
      <c r="B1229">
        <v>1326</v>
      </c>
      <c r="C1229" t="s">
        <v>1238</v>
      </c>
      <c r="D1229">
        <v>17</v>
      </c>
    </row>
    <row r="1230" spans="2:4">
      <c r="B1230">
        <v>1327</v>
      </c>
      <c r="C1230" t="s">
        <v>1239</v>
      </c>
      <c r="D1230">
        <v>17</v>
      </c>
    </row>
    <row r="1231" spans="2:4">
      <c r="B1231">
        <v>1328</v>
      </c>
      <c r="C1231" t="s">
        <v>1240</v>
      </c>
      <c r="D1231">
        <v>17</v>
      </c>
    </row>
    <row r="1232" spans="2:4">
      <c r="B1232">
        <v>1329</v>
      </c>
      <c r="C1232" t="s">
        <v>1241</v>
      </c>
      <c r="D1232">
        <v>17</v>
      </c>
    </row>
    <row r="1233" spans="2:4">
      <c r="B1233">
        <v>1330</v>
      </c>
      <c r="C1233" t="s">
        <v>1242</v>
      </c>
      <c r="D1233">
        <v>17</v>
      </c>
    </row>
    <row r="1234" spans="2:4">
      <c r="B1234">
        <v>1331</v>
      </c>
      <c r="C1234" t="s">
        <v>1243</v>
      </c>
      <c r="D1234">
        <v>17</v>
      </c>
    </row>
    <row r="1235" spans="2:4">
      <c r="B1235">
        <v>1332</v>
      </c>
      <c r="C1235" t="s">
        <v>1244</v>
      </c>
      <c r="D1235">
        <v>17</v>
      </c>
    </row>
    <row r="1236" spans="2:4">
      <c r="B1236">
        <v>1333</v>
      </c>
      <c r="C1236" t="s">
        <v>1245</v>
      </c>
      <c r="D1236">
        <v>17</v>
      </c>
    </row>
    <row r="1237" spans="2:4">
      <c r="B1237">
        <v>1334</v>
      </c>
      <c r="C1237" t="s">
        <v>1246</v>
      </c>
      <c r="D1237">
        <v>17</v>
      </c>
    </row>
    <row r="1238" spans="2:4">
      <c r="B1238">
        <v>1335</v>
      </c>
      <c r="C1238" t="s">
        <v>1247</v>
      </c>
      <c r="D1238">
        <v>17</v>
      </c>
    </row>
    <row r="1239" spans="2:4">
      <c r="B1239">
        <v>1336</v>
      </c>
      <c r="C1239" t="s">
        <v>1248</v>
      </c>
      <c r="D1239">
        <v>17</v>
      </c>
    </row>
    <row r="1240" spans="2:4">
      <c r="B1240">
        <v>1337</v>
      </c>
      <c r="C1240" t="s">
        <v>1249</v>
      </c>
      <c r="D1240">
        <v>17</v>
      </c>
    </row>
    <row r="1241" spans="2:4">
      <c r="B1241">
        <v>1338</v>
      </c>
      <c r="C1241" t="s">
        <v>1250</v>
      </c>
      <c r="D1241">
        <v>17</v>
      </c>
    </row>
    <row r="1242" spans="2:4">
      <c r="B1242">
        <v>1339</v>
      </c>
      <c r="C1242" t="s">
        <v>1251</v>
      </c>
      <c r="D1242">
        <v>17</v>
      </c>
    </row>
    <row r="1243" spans="2:4">
      <c r="B1243">
        <v>1340</v>
      </c>
      <c r="C1243" t="s">
        <v>1252</v>
      </c>
      <c r="D1243">
        <v>17</v>
      </c>
    </row>
    <row r="1244" spans="2:4">
      <c r="B1244">
        <v>1341</v>
      </c>
      <c r="C1244" t="s">
        <v>1253</v>
      </c>
      <c r="D1244">
        <v>17</v>
      </c>
    </row>
    <row r="1245" spans="2:4">
      <c r="B1245">
        <v>1342</v>
      </c>
      <c r="C1245" t="s">
        <v>1254</v>
      </c>
      <c r="D1245">
        <v>17</v>
      </c>
    </row>
    <row r="1246" spans="2:4">
      <c r="B1246">
        <v>1343</v>
      </c>
      <c r="C1246" t="s">
        <v>1255</v>
      </c>
      <c r="D1246">
        <v>17</v>
      </c>
    </row>
    <row r="1247" spans="2:4">
      <c r="B1247">
        <v>1344</v>
      </c>
      <c r="C1247">
        <v>1966</v>
      </c>
      <c r="D1247">
        <v>16</v>
      </c>
    </row>
    <row r="1248" spans="2:4">
      <c r="B1248">
        <v>1345</v>
      </c>
      <c r="C1248">
        <v>1976</v>
      </c>
      <c r="D1248">
        <v>16</v>
      </c>
    </row>
    <row r="1249" spans="2:4">
      <c r="B1249">
        <v>1346</v>
      </c>
      <c r="C1249">
        <v>1980</v>
      </c>
      <c r="D1249">
        <v>16</v>
      </c>
    </row>
    <row r="1250" spans="2:4">
      <c r="B1250">
        <v>1347</v>
      </c>
      <c r="C1250">
        <v>1985</v>
      </c>
      <c r="D1250">
        <v>16</v>
      </c>
    </row>
    <row r="1251" spans="2:4">
      <c r="B1251">
        <v>1348</v>
      </c>
      <c r="C1251">
        <v>1995</v>
      </c>
      <c r="D1251">
        <v>16</v>
      </c>
    </row>
    <row r="1252" spans="2:4">
      <c r="B1252">
        <v>1349</v>
      </c>
      <c r="C1252">
        <v>200</v>
      </c>
      <c r="D1252">
        <v>16</v>
      </c>
    </row>
    <row r="1253" spans="2:4">
      <c r="B1253">
        <v>1350</v>
      </c>
      <c r="C1253" t="s">
        <v>1256</v>
      </c>
      <c r="D1253">
        <v>16</v>
      </c>
    </row>
    <row r="1254" spans="2:4">
      <c r="B1254">
        <v>1351</v>
      </c>
      <c r="C1254" t="s">
        <v>1257</v>
      </c>
      <c r="D1254">
        <v>16</v>
      </c>
    </row>
    <row r="1255" spans="2:4">
      <c r="B1255">
        <v>1352</v>
      </c>
      <c r="C1255" t="s">
        <v>1258</v>
      </c>
      <c r="D1255">
        <v>16</v>
      </c>
    </row>
    <row r="1256" spans="2:4">
      <c r="B1256">
        <v>1353</v>
      </c>
      <c r="C1256" t="s">
        <v>1259</v>
      </c>
      <c r="D1256">
        <v>16</v>
      </c>
    </row>
    <row r="1257" spans="2:4">
      <c r="B1257">
        <v>1354</v>
      </c>
      <c r="C1257" t="s">
        <v>1260</v>
      </c>
      <c r="D1257">
        <v>16</v>
      </c>
    </row>
    <row r="1258" spans="2:4">
      <c r="B1258">
        <v>1355</v>
      </c>
      <c r="C1258" t="s">
        <v>1261</v>
      </c>
      <c r="D1258">
        <v>16</v>
      </c>
    </row>
    <row r="1259" spans="2:4">
      <c r="B1259">
        <v>1356</v>
      </c>
      <c r="C1259" t="s">
        <v>1262</v>
      </c>
      <c r="D1259">
        <v>16</v>
      </c>
    </row>
    <row r="1260" spans="2:4">
      <c r="B1260">
        <v>1357</v>
      </c>
      <c r="C1260" t="s">
        <v>1263</v>
      </c>
      <c r="D1260">
        <v>16</v>
      </c>
    </row>
    <row r="1261" spans="2:4">
      <c r="B1261">
        <v>1358</v>
      </c>
      <c r="C1261" t="s">
        <v>1264</v>
      </c>
      <c r="D1261">
        <v>16</v>
      </c>
    </row>
    <row r="1262" spans="2:4">
      <c r="B1262">
        <v>1359</v>
      </c>
      <c r="C1262" t="s">
        <v>1265</v>
      </c>
      <c r="D1262">
        <v>16</v>
      </c>
    </row>
    <row r="1263" spans="2:4">
      <c r="B1263">
        <v>1360</v>
      </c>
      <c r="C1263" t="s">
        <v>1266</v>
      </c>
      <c r="D1263">
        <v>16</v>
      </c>
    </row>
    <row r="1264" spans="2:4">
      <c r="B1264">
        <v>1361</v>
      </c>
      <c r="C1264" t="s">
        <v>1267</v>
      </c>
      <c r="D1264">
        <v>16</v>
      </c>
    </row>
    <row r="1265" spans="2:4">
      <c r="B1265">
        <v>1362</v>
      </c>
      <c r="C1265" t="s">
        <v>1268</v>
      </c>
      <c r="D1265">
        <v>16</v>
      </c>
    </row>
    <row r="1266" spans="2:4">
      <c r="B1266">
        <v>1363</v>
      </c>
      <c r="C1266" t="s">
        <v>1269</v>
      </c>
      <c r="D1266">
        <v>16</v>
      </c>
    </row>
    <row r="1267" spans="2:4">
      <c r="B1267">
        <v>1364</v>
      </c>
      <c r="C1267" t="s">
        <v>1270</v>
      </c>
      <c r="D1267">
        <v>16</v>
      </c>
    </row>
    <row r="1268" spans="2:4">
      <c r="B1268">
        <v>1365</v>
      </c>
      <c r="C1268" t="s">
        <v>1271</v>
      </c>
      <c r="D1268">
        <v>16</v>
      </c>
    </row>
    <row r="1269" spans="2:4">
      <c r="B1269">
        <v>1366</v>
      </c>
      <c r="C1269" t="s">
        <v>1272</v>
      </c>
      <c r="D1269">
        <v>16</v>
      </c>
    </row>
    <row r="1270" spans="2:4">
      <c r="B1270">
        <v>1367</v>
      </c>
      <c r="C1270" t="s">
        <v>1273</v>
      </c>
      <c r="D1270">
        <v>16</v>
      </c>
    </row>
    <row r="1271" spans="2:4">
      <c r="B1271">
        <v>1368</v>
      </c>
      <c r="C1271" t="s">
        <v>1274</v>
      </c>
      <c r="D1271">
        <v>16</v>
      </c>
    </row>
    <row r="1272" spans="2:4">
      <c r="B1272">
        <v>1369</v>
      </c>
      <c r="C1272" t="s">
        <v>1275</v>
      </c>
      <c r="D1272">
        <v>16</v>
      </c>
    </row>
    <row r="1273" spans="2:4">
      <c r="B1273">
        <v>1370</v>
      </c>
      <c r="C1273" t="s">
        <v>1276</v>
      </c>
      <c r="D1273">
        <v>16</v>
      </c>
    </row>
    <row r="1274" spans="2:4">
      <c r="B1274">
        <v>1371</v>
      </c>
      <c r="C1274" t="s">
        <v>1277</v>
      </c>
      <c r="D1274">
        <v>16</v>
      </c>
    </row>
    <row r="1275" spans="2:4">
      <c r="B1275">
        <v>1372</v>
      </c>
      <c r="C1275" t="s">
        <v>1278</v>
      </c>
      <c r="D1275">
        <v>16</v>
      </c>
    </row>
    <row r="1276" spans="2:4">
      <c r="B1276">
        <v>1373</v>
      </c>
      <c r="C1276" t="s">
        <v>1279</v>
      </c>
      <c r="D1276">
        <v>16</v>
      </c>
    </row>
    <row r="1277" spans="2:4">
      <c r="B1277">
        <v>1374</v>
      </c>
      <c r="C1277" t="s">
        <v>1280</v>
      </c>
      <c r="D1277">
        <v>16</v>
      </c>
    </row>
    <row r="1278" spans="2:4">
      <c r="B1278">
        <v>1375</v>
      </c>
      <c r="C1278" t="s">
        <v>1281</v>
      </c>
      <c r="D1278">
        <v>16</v>
      </c>
    </row>
    <row r="1279" spans="2:4">
      <c r="B1279">
        <v>1376</v>
      </c>
      <c r="C1279" t="s">
        <v>1282</v>
      </c>
      <c r="D1279">
        <v>16</v>
      </c>
    </row>
    <row r="1280" spans="2:4">
      <c r="B1280">
        <v>1377</v>
      </c>
      <c r="C1280" t="s">
        <v>1283</v>
      </c>
      <c r="D1280">
        <v>16</v>
      </c>
    </row>
    <row r="1281" spans="2:4">
      <c r="B1281">
        <v>1378</v>
      </c>
      <c r="C1281" t="s">
        <v>1284</v>
      </c>
      <c r="D1281">
        <v>16</v>
      </c>
    </row>
    <row r="1282" spans="2:4">
      <c r="B1282">
        <v>1379</v>
      </c>
      <c r="C1282" t="s">
        <v>1285</v>
      </c>
      <c r="D1282">
        <v>16</v>
      </c>
    </row>
    <row r="1283" spans="2:4">
      <c r="B1283">
        <v>1380</v>
      </c>
      <c r="C1283" t="s">
        <v>1286</v>
      </c>
      <c r="D1283">
        <v>16</v>
      </c>
    </row>
    <row r="1284" spans="2:4">
      <c r="B1284">
        <v>1381</v>
      </c>
      <c r="C1284" t="s">
        <v>1287</v>
      </c>
      <c r="D1284">
        <v>16</v>
      </c>
    </row>
    <row r="1285" spans="2:4">
      <c r="B1285">
        <v>1382</v>
      </c>
      <c r="C1285" t="s">
        <v>1288</v>
      </c>
      <c r="D1285">
        <v>16</v>
      </c>
    </row>
    <row r="1286" spans="2:4">
      <c r="B1286">
        <v>1383</v>
      </c>
      <c r="C1286" t="s">
        <v>1289</v>
      </c>
      <c r="D1286">
        <v>16</v>
      </c>
    </row>
    <row r="1287" spans="2:4">
      <c r="B1287">
        <v>1384</v>
      </c>
      <c r="C1287" t="s">
        <v>1290</v>
      </c>
      <c r="D1287">
        <v>16</v>
      </c>
    </row>
    <row r="1288" spans="2:4">
      <c r="B1288">
        <v>1385</v>
      </c>
      <c r="C1288" t="s">
        <v>1291</v>
      </c>
      <c r="D1288">
        <v>16</v>
      </c>
    </row>
    <row r="1289" spans="2:4">
      <c r="B1289">
        <v>1386</v>
      </c>
      <c r="C1289" t="s">
        <v>1292</v>
      </c>
      <c r="D1289">
        <v>16</v>
      </c>
    </row>
    <row r="1290" spans="2:4">
      <c r="B1290">
        <v>1387</v>
      </c>
      <c r="C1290" t="s">
        <v>1293</v>
      </c>
      <c r="D1290">
        <v>16</v>
      </c>
    </row>
    <row r="1291" spans="2:4">
      <c r="B1291">
        <v>1388</v>
      </c>
      <c r="C1291" t="s">
        <v>1294</v>
      </c>
      <c r="D1291">
        <v>16</v>
      </c>
    </row>
    <row r="1292" spans="2:4">
      <c r="B1292">
        <v>1389</v>
      </c>
      <c r="C1292" t="s">
        <v>1295</v>
      </c>
      <c r="D1292">
        <v>16</v>
      </c>
    </row>
    <row r="1293" spans="2:4">
      <c r="B1293">
        <v>1390</v>
      </c>
      <c r="C1293" t="s">
        <v>1296</v>
      </c>
      <c r="D1293">
        <v>16</v>
      </c>
    </row>
    <row r="1294" spans="2:4">
      <c r="B1294">
        <v>1391</v>
      </c>
      <c r="C1294" t="s">
        <v>1297</v>
      </c>
      <c r="D1294">
        <v>16</v>
      </c>
    </row>
    <row r="1295" spans="2:4">
      <c r="B1295">
        <v>1392</v>
      </c>
      <c r="C1295" t="s">
        <v>1298</v>
      </c>
      <c r="D1295">
        <v>16</v>
      </c>
    </row>
    <row r="1296" spans="2:4">
      <c r="B1296">
        <v>1393</v>
      </c>
      <c r="C1296" t="s">
        <v>1299</v>
      </c>
      <c r="D1296">
        <v>16</v>
      </c>
    </row>
    <row r="1297" spans="2:4">
      <c r="B1297">
        <v>1394</v>
      </c>
      <c r="C1297" t="s">
        <v>1300</v>
      </c>
      <c r="D1297">
        <v>16</v>
      </c>
    </row>
    <row r="1298" spans="2:4">
      <c r="B1298">
        <v>1395</v>
      </c>
      <c r="C1298" t="s">
        <v>1301</v>
      </c>
      <c r="D1298">
        <v>16</v>
      </c>
    </row>
    <row r="1299" spans="2:4">
      <c r="B1299">
        <v>1396</v>
      </c>
      <c r="C1299" t="s">
        <v>1302</v>
      </c>
      <c r="D1299">
        <v>16</v>
      </c>
    </row>
    <row r="1300" spans="2:4">
      <c r="B1300">
        <v>1397</v>
      </c>
      <c r="C1300" t="s">
        <v>1303</v>
      </c>
      <c r="D1300">
        <v>16</v>
      </c>
    </row>
    <row r="1301" spans="2:4">
      <c r="B1301">
        <v>1398</v>
      </c>
      <c r="C1301" t="s">
        <v>1304</v>
      </c>
      <c r="D1301">
        <v>16</v>
      </c>
    </row>
    <row r="1302" spans="2:4">
      <c r="B1302">
        <v>1399</v>
      </c>
      <c r="C1302" t="s">
        <v>1305</v>
      </c>
      <c r="D1302">
        <v>16</v>
      </c>
    </row>
    <row r="1303" spans="2:4">
      <c r="B1303">
        <v>1400</v>
      </c>
      <c r="C1303" t="s">
        <v>1306</v>
      </c>
      <c r="D1303">
        <v>16</v>
      </c>
    </row>
    <row r="1304" spans="2:4">
      <c r="B1304">
        <v>1401</v>
      </c>
      <c r="C1304" t="s">
        <v>1307</v>
      </c>
      <c r="D1304">
        <v>16</v>
      </c>
    </row>
    <row r="1305" spans="2:4">
      <c r="B1305">
        <v>1402</v>
      </c>
      <c r="C1305" t="s">
        <v>1308</v>
      </c>
      <c r="D1305">
        <v>16</v>
      </c>
    </row>
    <row r="1306" spans="2:4">
      <c r="B1306">
        <v>1403</v>
      </c>
      <c r="C1306" t="s">
        <v>1309</v>
      </c>
      <c r="D1306">
        <v>16</v>
      </c>
    </row>
    <row r="1307" spans="2:4">
      <c r="B1307">
        <v>1404</v>
      </c>
      <c r="C1307" t="s">
        <v>1310</v>
      </c>
      <c r="D1307">
        <v>16</v>
      </c>
    </row>
    <row r="1308" spans="2:4">
      <c r="B1308">
        <v>1405</v>
      </c>
      <c r="C1308" t="s">
        <v>1311</v>
      </c>
      <c r="D1308">
        <v>16</v>
      </c>
    </row>
    <row r="1309" spans="2:4">
      <c r="B1309">
        <v>1406</v>
      </c>
      <c r="C1309" t="s">
        <v>1312</v>
      </c>
      <c r="D1309">
        <v>16</v>
      </c>
    </row>
    <row r="1310" spans="2:4">
      <c r="B1310">
        <v>1407</v>
      </c>
      <c r="C1310" t="s">
        <v>1313</v>
      </c>
      <c r="D1310">
        <v>16</v>
      </c>
    </row>
    <row r="1311" spans="2:4">
      <c r="B1311">
        <v>1408</v>
      </c>
      <c r="C1311" t="s">
        <v>1314</v>
      </c>
      <c r="D1311">
        <v>16</v>
      </c>
    </row>
    <row r="1312" spans="2:4">
      <c r="B1312">
        <v>1409</v>
      </c>
      <c r="C1312" t="s">
        <v>1315</v>
      </c>
      <c r="D1312">
        <v>16</v>
      </c>
    </row>
    <row r="1313" spans="2:4">
      <c r="B1313">
        <v>1410</v>
      </c>
      <c r="C1313" t="s">
        <v>1316</v>
      </c>
      <c r="D1313">
        <v>16</v>
      </c>
    </row>
    <row r="1314" spans="2:4">
      <c r="B1314">
        <v>1411</v>
      </c>
      <c r="C1314" t="s">
        <v>1317</v>
      </c>
      <c r="D1314">
        <v>16</v>
      </c>
    </row>
    <row r="1315" spans="2:4">
      <c r="B1315">
        <v>1412</v>
      </c>
      <c r="C1315" t="s">
        <v>1318</v>
      </c>
      <c r="D1315">
        <v>16</v>
      </c>
    </row>
    <row r="1316" spans="2:4">
      <c r="B1316">
        <v>1413</v>
      </c>
      <c r="C1316" t="s">
        <v>1319</v>
      </c>
      <c r="D1316">
        <v>16</v>
      </c>
    </row>
    <row r="1317" spans="2:4">
      <c r="B1317">
        <v>1414</v>
      </c>
      <c r="C1317" t="s">
        <v>1320</v>
      </c>
      <c r="D1317">
        <v>16</v>
      </c>
    </row>
    <row r="1318" spans="2:4">
      <c r="B1318">
        <v>1415</v>
      </c>
      <c r="C1318" t="s">
        <v>1321</v>
      </c>
      <c r="D1318">
        <v>16</v>
      </c>
    </row>
    <row r="1319" spans="2:4">
      <c r="B1319">
        <v>1416</v>
      </c>
      <c r="C1319" t="s">
        <v>1322</v>
      </c>
      <c r="D1319">
        <v>16</v>
      </c>
    </row>
    <row r="1320" spans="2:4">
      <c r="B1320">
        <v>1417</v>
      </c>
      <c r="C1320" t="s">
        <v>1323</v>
      </c>
      <c r="D1320">
        <v>16</v>
      </c>
    </row>
    <row r="1321" spans="2:4">
      <c r="B1321">
        <v>1418</v>
      </c>
      <c r="C1321" t="s">
        <v>1324</v>
      </c>
      <c r="D1321">
        <v>16</v>
      </c>
    </row>
    <row r="1322" spans="2:4">
      <c r="B1322">
        <v>1419</v>
      </c>
      <c r="C1322" t="s">
        <v>1325</v>
      </c>
      <c r="D1322">
        <v>16</v>
      </c>
    </row>
    <row r="1323" spans="2:4">
      <c r="B1323">
        <v>1420</v>
      </c>
      <c r="C1323" t="s">
        <v>1326</v>
      </c>
      <c r="D1323">
        <v>16</v>
      </c>
    </row>
    <row r="1324" spans="2:4">
      <c r="B1324">
        <v>1421</v>
      </c>
      <c r="C1324" t="s">
        <v>1327</v>
      </c>
      <c r="D1324">
        <v>16</v>
      </c>
    </row>
    <row r="1325" spans="2:4">
      <c r="B1325">
        <v>1422</v>
      </c>
      <c r="C1325" t="s">
        <v>1328</v>
      </c>
      <c r="D1325">
        <v>16</v>
      </c>
    </row>
    <row r="1326" spans="2:4">
      <c r="B1326">
        <v>1423</v>
      </c>
      <c r="C1326" t="s">
        <v>1329</v>
      </c>
      <c r="D1326">
        <v>16</v>
      </c>
    </row>
    <row r="1327" spans="2:4">
      <c r="B1327">
        <v>1424</v>
      </c>
      <c r="C1327" t="s">
        <v>1330</v>
      </c>
      <c r="D1327">
        <v>16</v>
      </c>
    </row>
    <row r="1328" spans="2:4">
      <c r="B1328">
        <v>1425</v>
      </c>
      <c r="C1328" t="s">
        <v>1331</v>
      </c>
      <c r="D1328">
        <v>16</v>
      </c>
    </row>
    <row r="1329" spans="2:4">
      <c r="B1329">
        <v>1426</v>
      </c>
      <c r="C1329" t="s">
        <v>1332</v>
      </c>
      <c r="D1329">
        <v>16</v>
      </c>
    </row>
    <row r="1330" spans="2:4">
      <c r="B1330">
        <v>1427</v>
      </c>
      <c r="C1330" t="s">
        <v>1333</v>
      </c>
      <c r="D1330">
        <v>16</v>
      </c>
    </row>
    <row r="1331" spans="2:4">
      <c r="B1331">
        <v>1428</v>
      </c>
      <c r="C1331" t="s">
        <v>1334</v>
      </c>
      <c r="D1331">
        <v>16</v>
      </c>
    </row>
    <row r="1332" spans="2:4">
      <c r="B1332">
        <v>1429</v>
      </c>
      <c r="C1332" t="s">
        <v>1335</v>
      </c>
      <c r="D1332">
        <v>16</v>
      </c>
    </row>
    <row r="1333" spans="2:4">
      <c r="B1333">
        <v>1430</v>
      </c>
      <c r="C1333" t="s">
        <v>1336</v>
      </c>
      <c r="D1333">
        <v>16</v>
      </c>
    </row>
    <row r="1334" spans="2:4">
      <c r="B1334">
        <v>1431</v>
      </c>
      <c r="C1334" t="s">
        <v>1337</v>
      </c>
      <c r="D1334">
        <v>16</v>
      </c>
    </row>
    <row r="1335" spans="2:4">
      <c r="B1335">
        <v>1432</v>
      </c>
      <c r="C1335" t="s">
        <v>1338</v>
      </c>
      <c r="D1335">
        <v>16</v>
      </c>
    </row>
    <row r="1336" spans="2:4">
      <c r="B1336">
        <v>1433</v>
      </c>
      <c r="C1336" t="s">
        <v>1339</v>
      </c>
      <c r="D1336">
        <v>16</v>
      </c>
    </row>
    <row r="1337" spans="2:4">
      <c r="B1337">
        <v>1434</v>
      </c>
      <c r="C1337" t="s">
        <v>1340</v>
      </c>
      <c r="D1337">
        <v>16</v>
      </c>
    </row>
    <row r="1338" spans="2:4">
      <c r="B1338">
        <v>1435</v>
      </c>
      <c r="C1338" t="s">
        <v>1341</v>
      </c>
      <c r="D1338">
        <v>16</v>
      </c>
    </row>
    <row r="1339" spans="2:4">
      <c r="B1339">
        <v>1436</v>
      </c>
      <c r="C1339" t="s">
        <v>1342</v>
      </c>
      <c r="D1339">
        <v>16</v>
      </c>
    </row>
    <row r="1340" spans="2:4">
      <c r="B1340">
        <v>1437</v>
      </c>
      <c r="C1340" t="s">
        <v>1343</v>
      </c>
      <c r="D1340">
        <v>16</v>
      </c>
    </row>
    <row r="1341" spans="2:4">
      <c r="B1341">
        <v>1438</v>
      </c>
      <c r="C1341" t="s">
        <v>1344</v>
      </c>
      <c r="D1341">
        <v>16</v>
      </c>
    </row>
    <row r="1342" spans="2:4">
      <c r="B1342">
        <v>1439</v>
      </c>
      <c r="C1342" t="s">
        <v>1345</v>
      </c>
      <c r="D1342">
        <v>16</v>
      </c>
    </row>
    <row r="1343" spans="2:4">
      <c r="B1343">
        <v>1440</v>
      </c>
      <c r="C1343" t="s">
        <v>1346</v>
      </c>
      <c r="D1343">
        <v>16</v>
      </c>
    </row>
    <row r="1344" spans="2:4">
      <c r="B1344">
        <v>1441</v>
      </c>
      <c r="C1344" t="s">
        <v>1347</v>
      </c>
      <c r="D1344">
        <v>16</v>
      </c>
    </row>
    <row r="1345" spans="2:4">
      <c r="B1345">
        <v>1442</v>
      </c>
      <c r="C1345" t="s">
        <v>1348</v>
      </c>
      <c r="D1345">
        <v>16</v>
      </c>
    </row>
    <row r="1346" spans="2:4">
      <c r="B1346">
        <v>1443</v>
      </c>
      <c r="C1346" t="s">
        <v>1349</v>
      </c>
      <c r="D1346">
        <v>16</v>
      </c>
    </row>
    <row r="1347" spans="2:4">
      <c r="B1347">
        <v>1444</v>
      </c>
      <c r="C1347">
        <v>1970</v>
      </c>
      <c r="D1347">
        <v>15</v>
      </c>
    </row>
    <row r="1348" spans="2:4">
      <c r="B1348">
        <v>1445</v>
      </c>
      <c r="C1348">
        <v>1987</v>
      </c>
      <c r="D1348">
        <v>15</v>
      </c>
    </row>
    <row r="1349" spans="2:4">
      <c r="B1349">
        <v>1446</v>
      </c>
      <c r="C1349">
        <v>1989</v>
      </c>
      <c r="D1349">
        <v>15</v>
      </c>
    </row>
    <row r="1350" spans="2:4">
      <c r="B1350">
        <v>1447</v>
      </c>
      <c r="C1350" t="s">
        <v>1350</v>
      </c>
      <c r="D1350">
        <v>15</v>
      </c>
    </row>
    <row r="1351" spans="2:4">
      <c r="B1351">
        <v>1448</v>
      </c>
      <c r="C1351" t="s">
        <v>1351</v>
      </c>
      <c r="D1351">
        <v>15</v>
      </c>
    </row>
    <row r="1352" spans="2:4">
      <c r="B1352">
        <v>1449</v>
      </c>
      <c r="C1352" t="s">
        <v>1352</v>
      </c>
      <c r="D1352">
        <v>15</v>
      </c>
    </row>
    <row r="1353" spans="2:4">
      <c r="B1353">
        <v>1450</v>
      </c>
      <c r="C1353" t="s">
        <v>1353</v>
      </c>
      <c r="D1353">
        <v>15</v>
      </c>
    </row>
    <row r="1354" spans="2:4">
      <c r="B1354">
        <v>1451</v>
      </c>
      <c r="C1354" t="s">
        <v>1354</v>
      </c>
      <c r="D1354">
        <v>15</v>
      </c>
    </row>
    <row r="1355" spans="2:4">
      <c r="B1355">
        <v>1452</v>
      </c>
      <c r="C1355" t="s">
        <v>1355</v>
      </c>
      <c r="D1355">
        <v>15</v>
      </c>
    </row>
    <row r="1356" spans="2:4">
      <c r="B1356">
        <v>1453</v>
      </c>
      <c r="C1356" t="s">
        <v>1356</v>
      </c>
      <c r="D1356">
        <v>15</v>
      </c>
    </row>
    <row r="1357" spans="2:4">
      <c r="B1357">
        <v>1454</v>
      </c>
      <c r="C1357" t="s">
        <v>1357</v>
      </c>
      <c r="D1357">
        <v>15</v>
      </c>
    </row>
    <row r="1358" spans="2:4">
      <c r="B1358">
        <v>1455</v>
      </c>
      <c r="C1358" t="s">
        <v>1358</v>
      </c>
      <c r="D1358">
        <v>15</v>
      </c>
    </row>
    <row r="1359" spans="2:4">
      <c r="B1359">
        <v>1456</v>
      </c>
      <c r="C1359" t="s">
        <v>1359</v>
      </c>
      <c r="D1359">
        <v>15</v>
      </c>
    </row>
    <row r="1360" spans="2:4">
      <c r="B1360">
        <v>1457</v>
      </c>
      <c r="C1360" t="s">
        <v>1360</v>
      </c>
      <c r="D1360">
        <v>15</v>
      </c>
    </row>
    <row r="1361" spans="2:4">
      <c r="B1361">
        <v>1458</v>
      </c>
      <c r="C1361" t="s">
        <v>1361</v>
      </c>
      <c r="D1361">
        <v>15</v>
      </c>
    </row>
    <row r="1362" spans="2:4">
      <c r="B1362">
        <v>1459</v>
      </c>
      <c r="C1362" t="s">
        <v>1362</v>
      </c>
      <c r="D1362">
        <v>15</v>
      </c>
    </row>
    <row r="1363" spans="2:4">
      <c r="B1363">
        <v>1460</v>
      </c>
      <c r="C1363" t="s">
        <v>1363</v>
      </c>
      <c r="D1363">
        <v>15</v>
      </c>
    </row>
    <row r="1364" spans="2:4">
      <c r="B1364">
        <v>1461</v>
      </c>
      <c r="C1364" t="s">
        <v>1364</v>
      </c>
      <c r="D1364">
        <v>15</v>
      </c>
    </row>
    <row r="1365" spans="2:4">
      <c r="B1365">
        <v>1462</v>
      </c>
      <c r="C1365" t="s">
        <v>1365</v>
      </c>
      <c r="D1365">
        <v>15</v>
      </c>
    </row>
    <row r="1366" spans="2:4">
      <c r="B1366">
        <v>1463</v>
      </c>
      <c r="C1366" t="s">
        <v>1366</v>
      </c>
      <c r="D1366">
        <v>15</v>
      </c>
    </row>
    <row r="1367" spans="2:4">
      <c r="B1367">
        <v>1464</v>
      </c>
      <c r="C1367" t="s">
        <v>1367</v>
      </c>
      <c r="D1367">
        <v>15</v>
      </c>
    </row>
    <row r="1368" spans="2:4">
      <c r="B1368">
        <v>1465</v>
      </c>
      <c r="C1368" t="s">
        <v>1368</v>
      </c>
      <c r="D1368">
        <v>15</v>
      </c>
    </row>
    <row r="1369" spans="2:4">
      <c r="B1369">
        <v>1466</v>
      </c>
      <c r="C1369" t="s">
        <v>1369</v>
      </c>
      <c r="D1369">
        <v>15</v>
      </c>
    </row>
    <row r="1370" spans="2:4">
      <c r="B1370">
        <v>1467</v>
      </c>
      <c r="C1370" t="s">
        <v>1370</v>
      </c>
      <c r="D1370">
        <v>15</v>
      </c>
    </row>
    <row r="1371" spans="2:4">
      <c r="B1371">
        <v>1468</v>
      </c>
      <c r="C1371" t="s">
        <v>1371</v>
      </c>
      <c r="D1371">
        <v>15</v>
      </c>
    </row>
    <row r="1372" spans="2:4">
      <c r="B1372">
        <v>1469</v>
      </c>
      <c r="C1372" t="s">
        <v>1372</v>
      </c>
      <c r="D1372">
        <v>15</v>
      </c>
    </row>
    <row r="1373" spans="2:4">
      <c r="B1373">
        <v>1470</v>
      </c>
      <c r="C1373" t="s">
        <v>1373</v>
      </c>
      <c r="D1373">
        <v>15</v>
      </c>
    </row>
    <row r="1374" spans="2:4">
      <c r="B1374">
        <v>1471</v>
      </c>
      <c r="C1374" t="s">
        <v>1374</v>
      </c>
      <c r="D1374">
        <v>15</v>
      </c>
    </row>
    <row r="1375" spans="2:4">
      <c r="B1375">
        <v>1472</v>
      </c>
      <c r="C1375" t="s">
        <v>1375</v>
      </c>
      <c r="D1375">
        <v>15</v>
      </c>
    </row>
    <row r="1376" spans="2:4">
      <c r="B1376">
        <v>1473</v>
      </c>
      <c r="C1376" t="s">
        <v>1376</v>
      </c>
      <c r="D1376">
        <v>15</v>
      </c>
    </row>
    <row r="1377" spans="2:4">
      <c r="B1377">
        <v>1474</v>
      </c>
      <c r="C1377" t="s">
        <v>1377</v>
      </c>
      <c r="D1377">
        <v>15</v>
      </c>
    </row>
    <row r="1378" spans="2:4">
      <c r="B1378">
        <v>1475</v>
      </c>
      <c r="C1378" t="s">
        <v>1378</v>
      </c>
      <c r="D1378">
        <v>15</v>
      </c>
    </row>
    <row r="1379" spans="2:4">
      <c r="B1379">
        <v>1476</v>
      </c>
      <c r="C1379" t="s">
        <v>1379</v>
      </c>
      <c r="D1379">
        <v>15</v>
      </c>
    </row>
    <row r="1380" spans="2:4">
      <c r="B1380">
        <v>1477</v>
      </c>
      <c r="C1380" t="s">
        <v>1380</v>
      </c>
      <c r="D1380">
        <v>15</v>
      </c>
    </row>
    <row r="1381" spans="2:4">
      <c r="B1381">
        <v>1478</v>
      </c>
      <c r="C1381" t="s">
        <v>1381</v>
      </c>
      <c r="D1381">
        <v>15</v>
      </c>
    </row>
    <row r="1382" spans="2:4">
      <c r="B1382">
        <v>1479</v>
      </c>
      <c r="C1382" t="s">
        <v>1382</v>
      </c>
      <c r="D1382">
        <v>15</v>
      </c>
    </row>
    <row r="1383" spans="2:4">
      <c r="B1383">
        <v>1480</v>
      </c>
      <c r="C1383" t="s">
        <v>1383</v>
      </c>
      <c r="D1383">
        <v>15</v>
      </c>
    </row>
    <row r="1384" spans="2:4">
      <c r="B1384">
        <v>1481</v>
      </c>
      <c r="C1384" t="s">
        <v>1384</v>
      </c>
      <c r="D1384">
        <v>15</v>
      </c>
    </row>
    <row r="1385" spans="2:4">
      <c r="B1385">
        <v>1482</v>
      </c>
      <c r="C1385" t="s">
        <v>1385</v>
      </c>
      <c r="D1385">
        <v>15</v>
      </c>
    </row>
    <row r="1386" spans="2:4">
      <c r="B1386">
        <v>1483</v>
      </c>
      <c r="C1386" t="s">
        <v>1386</v>
      </c>
      <c r="D1386">
        <v>15</v>
      </c>
    </row>
    <row r="1387" spans="2:4">
      <c r="B1387">
        <v>1484</v>
      </c>
      <c r="C1387" t="s">
        <v>1387</v>
      </c>
      <c r="D1387">
        <v>15</v>
      </c>
    </row>
    <row r="1388" spans="2:4">
      <c r="B1388">
        <v>1485</v>
      </c>
      <c r="C1388" t="s">
        <v>1388</v>
      </c>
      <c r="D1388">
        <v>15</v>
      </c>
    </row>
    <row r="1389" spans="2:4">
      <c r="B1389">
        <v>1486</v>
      </c>
      <c r="C1389" t="s">
        <v>1389</v>
      </c>
      <c r="D1389">
        <v>15</v>
      </c>
    </row>
    <row r="1390" spans="2:4">
      <c r="B1390">
        <v>1487</v>
      </c>
      <c r="C1390" t="s">
        <v>1390</v>
      </c>
      <c r="D1390">
        <v>15</v>
      </c>
    </row>
    <row r="1391" spans="2:4">
      <c r="B1391">
        <v>1488</v>
      </c>
      <c r="C1391" t="s">
        <v>1391</v>
      </c>
      <c r="D1391">
        <v>15</v>
      </c>
    </row>
    <row r="1392" spans="2:4">
      <c r="B1392">
        <v>1489</v>
      </c>
      <c r="C1392" t="s">
        <v>1392</v>
      </c>
      <c r="D1392">
        <v>15</v>
      </c>
    </row>
    <row r="1393" spans="2:4">
      <c r="B1393">
        <v>1490</v>
      </c>
      <c r="C1393" t="s">
        <v>1393</v>
      </c>
      <c r="D1393">
        <v>15</v>
      </c>
    </row>
    <row r="1394" spans="2:4">
      <c r="B1394">
        <v>1491</v>
      </c>
      <c r="C1394" t="s">
        <v>1394</v>
      </c>
      <c r="D1394">
        <v>15</v>
      </c>
    </row>
    <row r="1395" spans="2:4">
      <c r="B1395">
        <v>1492</v>
      </c>
      <c r="C1395" t="s">
        <v>1395</v>
      </c>
      <c r="D1395">
        <v>15</v>
      </c>
    </row>
    <row r="1396" spans="2:4">
      <c r="B1396">
        <v>1493</v>
      </c>
      <c r="C1396" t="s">
        <v>1396</v>
      </c>
      <c r="D1396">
        <v>15</v>
      </c>
    </row>
    <row r="1397" spans="2:4">
      <c r="B1397">
        <v>1494</v>
      </c>
      <c r="C1397" t="s">
        <v>1397</v>
      </c>
      <c r="D1397">
        <v>15</v>
      </c>
    </row>
    <row r="1398" spans="2:4">
      <c r="B1398">
        <v>1495</v>
      </c>
      <c r="C1398" t="s">
        <v>1398</v>
      </c>
      <c r="D1398">
        <v>15</v>
      </c>
    </row>
    <row r="1399" spans="2:4">
      <c r="B1399">
        <v>1496</v>
      </c>
      <c r="C1399" t="s">
        <v>1399</v>
      </c>
      <c r="D1399">
        <v>15</v>
      </c>
    </row>
    <row r="1400" spans="2:4">
      <c r="B1400">
        <v>1497</v>
      </c>
      <c r="C1400" t="s">
        <v>1400</v>
      </c>
      <c r="D1400">
        <v>15</v>
      </c>
    </row>
    <row r="1401" spans="2:4">
      <c r="B1401">
        <v>1498</v>
      </c>
      <c r="C1401" t="s">
        <v>1401</v>
      </c>
      <c r="D1401">
        <v>15</v>
      </c>
    </row>
    <row r="1402" spans="2:4">
      <c r="B1402">
        <v>1499</v>
      </c>
      <c r="C1402" t="s">
        <v>1402</v>
      </c>
      <c r="D1402">
        <v>15</v>
      </c>
    </row>
    <row r="1403" spans="2:4">
      <c r="B1403">
        <v>1500</v>
      </c>
      <c r="C1403" t="s">
        <v>1403</v>
      </c>
      <c r="D1403">
        <v>15</v>
      </c>
    </row>
    <row r="1404" spans="2:4">
      <c r="B1404">
        <v>1501</v>
      </c>
      <c r="C1404" t="s">
        <v>1404</v>
      </c>
      <c r="D1404">
        <v>15</v>
      </c>
    </row>
  </sheetData>
  <hyperlinks>
    <hyperlink ref="J2" r:id="rId1" xr:uid="{EECFCDDE-49DB-E746-95C9-BE1ADF2927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D01D-E669-B440-BB20-71225A145B7C}">
  <dimension ref="B1:V1003"/>
  <sheetViews>
    <sheetView tabSelected="1" topLeftCell="J1" workbookViewId="0">
      <selection activeCell="T6" sqref="T6:T8"/>
    </sheetView>
  </sheetViews>
  <sheetFormatPr defaultColWidth="11" defaultRowHeight="15.95"/>
  <cols>
    <col min="5" max="5" width="22.75" bestFit="1" customWidth="1"/>
    <col min="10" max="10" width="13.875" bestFit="1" customWidth="1"/>
    <col min="11" max="11" width="51" bestFit="1" customWidth="1"/>
    <col min="12" max="12" width="36" bestFit="1" customWidth="1"/>
    <col min="19" max="19" width="11" bestFit="1" customWidth="1"/>
  </cols>
  <sheetData>
    <row r="1" spans="2:22" ht="15.75"/>
    <row r="2" spans="2:22" ht="15.95" customHeight="1">
      <c r="B2" s="10" t="s">
        <v>57</v>
      </c>
      <c r="C2" s="11" t="s">
        <v>1405</v>
      </c>
      <c r="D2" s="11" t="s">
        <v>59</v>
      </c>
      <c r="E2" s="12" t="s">
        <v>60</v>
      </c>
      <c r="F2" s="11" t="s">
        <v>1406</v>
      </c>
      <c r="G2" s="26" t="s">
        <v>1407</v>
      </c>
      <c r="H2" s="26"/>
      <c r="I2" s="10"/>
      <c r="J2" s="10" t="s">
        <v>62</v>
      </c>
      <c r="K2" s="13" t="s">
        <v>63</v>
      </c>
      <c r="L2" s="10"/>
      <c r="M2" s="10"/>
      <c r="N2" s="10"/>
      <c r="O2" s="10"/>
    </row>
    <row r="3" spans="2:22" ht="20.25">
      <c r="B3" s="10"/>
      <c r="C3" s="14"/>
      <c r="D3" s="10"/>
      <c r="E3" s="14"/>
      <c r="F3" s="15"/>
      <c r="G3" s="10"/>
      <c r="H3" s="10"/>
      <c r="I3" s="10"/>
      <c r="J3" s="10"/>
      <c r="K3" s="10"/>
      <c r="L3" s="10"/>
      <c r="M3" s="10"/>
      <c r="N3" s="10"/>
      <c r="O3" s="10"/>
    </row>
    <row r="4" spans="2:22" ht="15.95" customHeight="1">
      <c r="B4" s="10"/>
      <c r="C4" s="14">
        <v>1</v>
      </c>
      <c r="D4" s="15" t="s">
        <v>64</v>
      </c>
      <c r="E4" s="14">
        <v>15226</v>
      </c>
      <c r="F4" s="15">
        <f>_xlfn.XLOOKUP(D4,'Gemini Output'!B:B,'Gemini Output'!C:C,"No Match Yet")</f>
        <v>1</v>
      </c>
      <c r="G4" s="10" t="str">
        <f>_xlfn.XLOOKUP(D4,'Gemini Output'!B:B,'Gemini Output'!E:E,"No Match Yet")</f>
        <v>L1</v>
      </c>
      <c r="H4" s="10"/>
      <c r="I4" s="10"/>
      <c r="J4" s="37" t="s">
        <v>1408</v>
      </c>
      <c r="K4" s="37"/>
      <c r="L4" s="37"/>
      <c r="M4" s="37"/>
      <c r="N4" s="37"/>
      <c r="O4" s="37"/>
    </row>
    <row r="5" spans="2:22" ht="20.25">
      <c r="B5" s="10"/>
      <c r="C5" s="14">
        <v>2</v>
      </c>
      <c r="D5" s="15" t="s">
        <v>66</v>
      </c>
      <c r="E5" s="14">
        <v>7493</v>
      </c>
      <c r="F5" s="15">
        <f>_xlfn.XLOOKUP(D5,'Gemini Output'!B:B,'Gemini Output'!C:C,"No Match Yet")</f>
        <v>12</v>
      </c>
      <c r="G5" s="10" t="str">
        <f>_xlfn.XLOOKUP(D5,'Gemini Output'!B:B,'Gemini Output'!E:E,"No Match Yet")</f>
        <v>L1</v>
      </c>
      <c r="H5" s="10"/>
      <c r="I5" s="10"/>
      <c r="J5" s="10"/>
      <c r="K5" s="10"/>
      <c r="L5" s="10"/>
      <c r="M5" s="10"/>
      <c r="N5" s="10"/>
      <c r="O5" s="10"/>
    </row>
    <row r="6" spans="2:22" ht="15.95" customHeight="1">
      <c r="B6" s="10"/>
      <c r="C6" s="14">
        <v>3</v>
      </c>
      <c r="D6" s="15" t="s">
        <v>67</v>
      </c>
      <c r="E6" s="14">
        <v>5973</v>
      </c>
      <c r="F6" s="15">
        <f>_xlfn.XLOOKUP(D6,'Gemini Output'!B:B,'Gemini Output'!C:C,"No Match Yet")</f>
        <v>10</v>
      </c>
      <c r="G6" s="10" t="str">
        <f>_xlfn.XLOOKUP(D6,'Gemini Output'!B:B,'Gemini Output'!E:E,"No Match Yet")</f>
        <v>L1</v>
      </c>
      <c r="H6" s="10"/>
      <c r="I6" s="10"/>
      <c r="J6" s="38" t="s">
        <v>68</v>
      </c>
      <c r="K6" s="38"/>
      <c r="L6" s="10"/>
      <c r="M6" s="10"/>
      <c r="N6" s="10"/>
      <c r="O6" s="10"/>
    </row>
    <row r="7" spans="2:22" ht="20.25">
      <c r="B7" s="10"/>
      <c r="C7" s="14">
        <v>4</v>
      </c>
      <c r="D7" s="15" t="s">
        <v>69</v>
      </c>
      <c r="E7" s="14">
        <v>5435</v>
      </c>
      <c r="F7" s="15">
        <f>_xlfn.XLOOKUP(D7,'Gemini Output'!B:B,'Gemini Output'!C:C,"No Match Yet")</f>
        <v>12</v>
      </c>
      <c r="G7" s="10" t="str">
        <f>_xlfn.XLOOKUP(D7,'Gemini Output'!B:B,'Gemini Output'!E:E,"No Match Yet")</f>
        <v>L1</v>
      </c>
      <c r="H7" s="10"/>
      <c r="I7" s="10"/>
      <c r="J7" s="10"/>
      <c r="K7" s="10"/>
      <c r="L7" s="10"/>
      <c r="M7" s="10"/>
      <c r="N7" s="10"/>
      <c r="O7" s="10"/>
    </row>
    <row r="8" spans="2:22" ht="20.25">
      <c r="B8" s="10"/>
      <c r="C8" s="14">
        <v>5</v>
      </c>
      <c r="D8" s="15" t="s">
        <v>70</v>
      </c>
      <c r="E8" s="14">
        <v>5422</v>
      </c>
      <c r="F8" s="15">
        <f>_xlfn.XLOOKUP(D8,'Gemini Output'!B:B,'Gemini Output'!C:C,"No Match Yet")</f>
        <v>12</v>
      </c>
      <c r="G8" s="10" t="str">
        <f>_xlfn.XLOOKUP(D8,'Gemini Output'!B:B,'Gemini Output'!E:E,"No Match Yet")</f>
        <v>L1</v>
      </c>
      <c r="H8" s="10"/>
      <c r="I8" s="10"/>
      <c r="J8" s="10"/>
      <c r="K8" s="10"/>
      <c r="L8" s="10"/>
      <c r="M8" s="10"/>
      <c r="N8" s="10"/>
      <c r="O8" s="10"/>
    </row>
    <row r="9" spans="2:22" ht="20.25">
      <c r="B9" s="10"/>
      <c r="C9" s="14">
        <v>6</v>
      </c>
      <c r="D9" s="15" t="s">
        <v>71</v>
      </c>
      <c r="E9" s="14">
        <v>4171</v>
      </c>
      <c r="F9" s="15">
        <f>_xlfn.XLOOKUP(D9,'Gemini Output'!B:B,'Gemini Output'!C:C,"No Match Yet")</f>
        <v>12</v>
      </c>
      <c r="G9" s="10" t="str">
        <f>_xlfn.XLOOKUP(D9,'Gemini Output'!B:B,'Gemini Output'!E:E,"No Match Yet")</f>
        <v>L1</v>
      </c>
      <c r="H9" s="10"/>
      <c r="I9" s="10"/>
      <c r="J9" s="16" t="s">
        <v>1406</v>
      </c>
      <c r="K9" s="16" t="s">
        <v>77</v>
      </c>
      <c r="L9" s="16" t="s">
        <v>1409</v>
      </c>
      <c r="M9" s="10"/>
      <c r="N9" s="10"/>
      <c r="O9" s="10"/>
      <c r="R9" s="31" t="s">
        <v>1406</v>
      </c>
      <c r="S9" s="31" t="s">
        <v>1410</v>
      </c>
      <c r="T9" s="31" t="s">
        <v>1411</v>
      </c>
      <c r="U9" s="31"/>
    </row>
    <row r="10" spans="2:22" ht="15.95" customHeight="1">
      <c r="B10" s="10"/>
      <c r="C10" s="14">
        <v>7</v>
      </c>
      <c r="D10" s="15" t="s">
        <v>72</v>
      </c>
      <c r="E10" s="14">
        <v>3844</v>
      </c>
      <c r="F10" s="15">
        <f>_xlfn.XLOOKUP(D10,'Gemini Output'!B:B,'Gemini Output'!C:C,"No Match Yet")</f>
        <v>13</v>
      </c>
      <c r="G10" s="10" t="str">
        <f>_xlfn.XLOOKUP(D10,'Gemini Output'!B:B,'Gemini Output'!E:E,"No Match Yet")</f>
        <v>L1</v>
      </c>
      <c r="H10" s="10"/>
      <c r="I10" s="10"/>
      <c r="J10" s="16">
        <v>1</v>
      </c>
      <c r="K10" s="16" t="s">
        <v>79</v>
      </c>
      <c r="L10" s="39" t="s">
        <v>1412</v>
      </c>
      <c r="M10" s="39"/>
      <c r="N10" s="10"/>
      <c r="O10" s="10"/>
      <c r="R10" s="30">
        <v>1</v>
      </c>
      <c r="S10" s="28">
        <f>COUNTIF(F:F,R10)</f>
        <v>96</v>
      </c>
      <c r="T10" s="29" t="s">
        <v>1413</v>
      </c>
      <c r="U10" s="28">
        <f>COUNTIF(G:G,T10)</f>
        <v>452</v>
      </c>
      <c r="V10" s="32">
        <f>U10/1000</f>
        <v>0.45200000000000001</v>
      </c>
    </row>
    <row r="11" spans="2:22" ht="15.75" customHeight="1">
      <c r="B11" s="10"/>
      <c r="C11" s="14">
        <v>8</v>
      </c>
      <c r="D11" s="15" t="s">
        <v>74</v>
      </c>
      <c r="E11" s="14">
        <v>2845</v>
      </c>
      <c r="F11" s="15">
        <f>_xlfn.XLOOKUP(D11,'Gemini Output'!B:B,'Gemini Output'!C:C,"No Match Yet")</f>
        <v>12</v>
      </c>
      <c r="G11" s="10" t="str">
        <f>_xlfn.XLOOKUP(D11,'Gemini Output'!B:B,'Gemini Output'!E:E,"No Match Yet")</f>
        <v>L1</v>
      </c>
      <c r="H11" s="10"/>
      <c r="I11" s="10"/>
      <c r="J11" s="16">
        <v>2</v>
      </c>
      <c r="K11" s="16" t="s">
        <v>1414</v>
      </c>
      <c r="L11" s="39" t="s">
        <v>1415</v>
      </c>
      <c r="M11" s="39"/>
      <c r="N11" s="10"/>
      <c r="O11" s="10"/>
      <c r="R11" s="30">
        <v>2</v>
      </c>
      <c r="S11" s="28">
        <f>COUNTIF(F:F,R11)</f>
        <v>54</v>
      </c>
      <c r="T11" s="29" t="s">
        <v>1416</v>
      </c>
      <c r="U11" s="28">
        <f>COUNTIF(G:G,T11)</f>
        <v>486</v>
      </c>
      <c r="V11" s="32">
        <f>U11/1000</f>
        <v>0.48599999999999999</v>
      </c>
    </row>
    <row r="12" spans="2:22" ht="20.25">
      <c r="B12" s="10"/>
      <c r="C12" s="14">
        <v>9</v>
      </c>
      <c r="D12" s="15" t="s">
        <v>75</v>
      </c>
      <c r="E12" s="14">
        <v>2800</v>
      </c>
      <c r="F12" s="15">
        <f>_xlfn.XLOOKUP(D12,'Gemini Output'!B:B,'Gemini Output'!C:C,"No Match Yet")</f>
        <v>12</v>
      </c>
      <c r="G12" s="10" t="str">
        <f>_xlfn.XLOOKUP(D12,'Gemini Output'!B:B,'Gemini Output'!E:E,"No Match Yet")</f>
        <v>L1</v>
      </c>
      <c r="H12" s="10"/>
      <c r="I12" s="10"/>
      <c r="J12" s="16">
        <v>3</v>
      </c>
      <c r="K12" s="16" t="s">
        <v>1417</v>
      </c>
      <c r="L12" s="16" t="s">
        <v>1418</v>
      </c>
      <c r="M12" s="10"/>
      <c r="N12" s="10"/>
      <c r="O12" s="10"/>
      <c r="R12" s="30">
        <v>3</v>
      </c>
      <c r="S12" s="28">
        <f>COUNTIF(F:F,R12)</f>
        <v>67</v>
      </c>
      <c r="T12" s="29" t="s">
        <v>1419</v>
      </c>
      <c r="U12" s="28">
        <f>COUNTIF(G:G,T12)</f>
        <v>62</v>
      </c>
      <c r="V12" s="32">
        <f>U12/1000</f>
        <v>6.2E-2</v>
      </c>
    </row>
    <row r="13" spans="2:22" ht="15.95" customHeight="1">
      <c r="B13" s="10"/>
      <c r="C13" s="14">
        <v>10</v>
      </c>
      <c r="D13" s="15" t="s">
        <v>78</v>
      </c>
      <c r="E13" s="14">
        <v>2645</v>
      </c>
      <c r="F13" s="15">
        <f>_xlfn.XLOOKUP(D13,'Gemini Output'!B:B,'Gemini Output'!C:C,"No Match Yet")</f>
        <v>1</v>
      </c>
      <c r="G13" s="10" t="str">
        <f>_xlfn.XLOOKUP(D13,'Gemini Output'!B:B,'Gemini Output'!E:E,"No Match Yet")</f>
        <v>L1</v>
      </c>
      <c r="H13" s="10"/>
      <c r="I13" s="10"/>
      <c r="J13" s="16">
        <v>4</v>
      </c>
      <c r="K13" s="16" t="s">
        <v>85</v>
      </c>
      <c r="L13" s="39" t="s">
        <v>1420</v>
      </c>
      <c r="M13" s="39"/>
      <c r="N13" s="10"/>
      <c r="O13" s="10"/>
      <c r="R13" s="30">
        <v>4</v>
      </c>
      <c r="S13" s="28">
        <f>COUNTIF(F:F,R13)</f>
        <v>46</v>
      </c>
      <c r="T13" s="29"/>
      <c r="U13" s="28"/>
    </row>
    <row r="14" spans="2:22" ht="15.75" customHeight="1">
      <c r="B14" s="10"/>
      <c r="C14" s="14">
        <v>11</v>
      </c>
      <c r="D14" s="15" t="s">
        <v>80</v>
      </c>
      <c r="E14" s="14">
        <v>2205</v>
      </c>
      <c r="F14" s="15">
        <f>_xlfn.XLOOKUP(D14,'Gemini Output'!B:B,'Gemini Output'!C:C,"No Match Yet")</f>
        <v>12</v>
      </c>
      <c r="G14" s="10" t="str">
        <f>_xlfn.XLOOKUP(D14,'Gemini Output'!B:B,'Gemini Output'!E:E,"No Match Yet")</f>
        <v>L1</v>
      </c>
      <c r="H14" s="10"/>
      <c r="I14" s="10"/>
      <c r="J14" s="16">
        <v>5</v>
      </c>
      <c r="K14" s="16" t="s">
        <v>1421</v>
      </c>
      <c r="L14" s="39" t="s">
        <v>1422</v>
      </c>
      <c r="M14" s="39"/>
      <c r="N14" s="10"/>
      <c r="O14" s="10"/>
      <c r="R14" s="30">
        <v>5</v>
      </c>
      <c r="S14" s="28">
        <f>COUNTIF(F:F,R14)</f>
        <v>59</v>
      </c>
      <c r="T14" s="29"/>
      <c r="U14" s="28"/>
    </row>
    <row r="15" spans="2:22" ht="20.25">
      <c r="B15" s="10"/>
      <c r="C15" s="14">
        <v>12</v>
      </c>
      <c r="D15" s="15" t="s">
        <v>82</v>
      </c>
      <c r="E15" s="14">
        <v>2051</v>
      </c>
      <c r="F15" s="15">
        <f>_xlfn.XLOOKUP(D15,'Gemini Output'!B:B,'Gemini Output'!C:C,"No Match Yet")</f>
        <v>5</v>
      </c>
      <c r="G15" s="10" t="str">
        <f>_xlfn.XLOOKUP(D15,'Gemini Output'!B:B,'Gemini Output'!E:E,"No Match Yet")</f>
        <v>L1</v>
      </c>
      <c r="H15" s="10"/>
      <c r="I15" s="10"/>
      <c r="J15" s="16">
        <v>6</v>
      </c>
      <c r="K15" s="16" t="s">
        <v>1423</v>
      </c>
      <c r="L15" s="16" t="s">
        <v>1424</v>
      </c>
      <c r="M15" s="10"/>
      <c r="N15" s="10"/>
      <c r="O15" s="10"/>
      <c r="R15" s="30">
        <v>6</v>
      </c>
      <c r="S15" s="28">
        <f>COUNTIF(F:F,R15)</f>
        <v>79</v>
      </c>
      <c r="T15" s="29"/>
      <c r="U15" s="28"/>
    </row>
    <row r="16" spans="2:22" ht="15.95" customHeight="1">
      <c r="B16" s="10"/>
      <c r="C16" s="14">
        <v>13</v>
      </c>
      <c r="D16" s="15" t="s">
        <v>84</v>
      </c>
      <c r="E16" s="14">
        <v>2023</v>
      </c>
      <c r="F16" s="15">
        <f>_xlfn.XLOOKUP(D16,'Gemini Output'!B:B,'Gemini Output'!C:C,"No Match Yet")</f>
        <v>12</v>
      </c>
      <c r="G16" s="10" t="str">
        <f>_xlfn.XLOOKUP(D16,'Gemini Output'!B:B,'Gemini Output'!E:E,"No Match Yet")</f>
        <v>L1</v>
      </c>
      <c r="H16" s="10"/>
      <c r="I16" s="10"/>
      <c r="J16" s="16">
        <v>7</v>
      </c>
      <c r="K16" s="16" t="s">
        <v>1425</v>
      </c>
      <c r="L16" s="39" t="s">
        <v>1426</v>
      </c>
      <c r="M16" s="39"/>
      <c r="N16" s="10"/>
      <c r="O16" s="10"/>
      <c r="R16" s="30">
        <v>7</v>
      </c>
      <c r="S16" s="28">
        <f>COUNTIF(F:F,R16)</f>
        <v>44</v>
      </c>
      <c r="T16" s="30"/>
      <c r="U16" s="28"/>
    </row>
    <row r="17" spans="2:21" ht="15.75" customHeight="1">
      <c r="B17" s="10"/>
      <c r="C17" s="14">
        <v>14</v>
      </c>
      <c r="D17" s="15" t="s">
        <v>86</v>
      </c>
      <c r="E17" s="14">
        <v>2014</v>
      </c>
      <c r="F17" s="15">
        <f>_xlfn.XLOOKUP(D17,'Gemini Output'!B:B,'Gemini Output'!C:C,"No Match Yet")</f>
        <v>12</v>
      </c>
      <c r="G17" s="10" t="str">
        <f>_xlfn.XLOOKUP(D17,'Gemini Output'!B:B,'Gemini Output'!E:E,"No Match Yet")</f>
        <v>L1</v>
      </c>
      <c r="H17" s="10"/>
      <c r="I17" s="10"/>
      <c r="J17" s="16">
        <v>8</v>
      </c>
      <c r="K17" s="16" t="s">
        <v>1427</v>
      </c>
      <c r="L17" s="39" t="s">
        <v>1428</v>
      </c>
      <c r="M17" s="39"/>
      <c r="N17" s="10"/>
      <c r="O17" s="10"/>
      <c r="R17" s="30">
        <v>8</v>
      </c>
      <c r="S17" s="28">
        <f>COUNTIF(F:F,R17)</f>
        <v>41</v>
      </c>
      <c r="T17" s="29"/>
      <c r="U17" s="28"/>
    </row>
    <row r="18" spans="2:21" ht="15.75" customHeight="1">
      <c r="B18" s="10"/>
      <c r="C18" s="14">
        <v>15</v>
      </c>
      <c r="D18" s="15" t="s">
        <v>88</v>
      </c>
      <c r="E18" s="14">
        <v>1946</v>
      </c>
      <c r="F18" s="15">
        <f>_xlfn.XLOOKUP(D18,'Gemini Output'!B:B,'Gemini Output'!C:C,"No Match Yet")</f>
        <v>12</v>
      </c>
      <c r="G18" s="10" t="str">
        <f>_xlfn.XLOOKUP(D18,'Gemini Output'!B:B,'Gemini Output'!E:E,"No Match Yet")</f>
        <v>L1</v>
      </c>
      <c r="H18" s="10"/>
      <c r="I18" s="10"/>
      <c r="J18" s="16">
        <v>9</v>
      </c>
      <c r="K18" s="16" t="s">
        <v>1429</v>
      </c>
      <c r="L18" s="39" t="s">
        <v>1430</v>
      </c>
      <c r="M18" s="39"/>
      <c r="N18" s="10"/>
      <c r="O18" s="10"/>
      <c r="R18" s="30">
        <v>9</v>
      </c>
      <c r="S18" s="28">
        <f>COUNTIF(F:F,R18)</f>
        <v>118</v>
      </c>
      <c r="T18" s="29"/>
      <c r="U18" s="28"/>
    </row>
    <row r="19" spans="2:21" ht="15.75" customHeight="1">
      <c r="B19" s="10"/>
      <c r="C19" s="14">
        <v>16</v>
      </c>
      <c r="D19" s="15" t="s">
        <v>90</v>
      </c>
      <c r="E19" s="14">
        <v>1899</v>
      </c>
      <c r="F19" s="15">
        <f>_xlfn.XLOOKUP(D19,'Gemini Output'!B:B,'Gemini Output'!C:C,"No Match Yet")</f>
        <v>8</v>
      </c>
      <c r="G19" s="10" t="str">
        <f>_xlfn.XLOOKUP(D19,'Gemini Output'!B:B,'Gemini Output'!E:E,"No Match Yet")</f>
        <v>L1</v>
      </c>
      <c r="H19" s="10"/>
      <c r="I19" s="10"/>
      <c r="J19" s="16">
        <v>10</v>
      </c>
      <c r="K19" s="16" t="s">
        <v>1431</v>
      </c>
      <c r="L19" s="39" t="s">
        <v>1432</v>
      </c>
      <c r="M19" s="39"/>
      <c r="N19" s="10"/>
      <c r="O19" s="10"/>
      <c r="R19" s="30">
        <v>10</v>
      </c>
      <c r="S19" s="28">
        <f>COUNTIF(F:F,R19)</f>
        <v>59</v>
      </c>
      <c r="T19" s="29"/>
      <c r="U19" s="28"/>
    </row>
    <row r="20" spans="2:21" ht="20.25">
      <c r="B20" s="10"/>
      <c r="C20" s="14">
        <v>17</v>
      </c>
      <c r="D20" s="15" t="s">
        <v>92</v>
      </c>
      <c r="E20" s="14">
        <v>1498</v>
      </c>
      <c r="F20" s="15">
        <f>_xlfn.XLOOKUP(D20,'Gemini Output'!B:B,'Gemini Output'!C:C,"No Match Yet")</f>
        <v>5</v>
      </c>
      <c r="G20" s="10" t="str">
        <f>_xlfn.XLOOKUP(D20,'Gemini Output'!B:B,'Gemini Output'!E:E,"No Match Yet")</f>
        <v>L1</v>
      </c>
      <c r="H20" s="10"/>
      <c r="I20" s="10"/>
      <c r="J20" s="16">
        <v>11</v>
      </c>
      <c r="K20" s="16" t="s">
        <v>1433</v>
      </c>
      <c r="L20" s="16" t="s">
        <v>1434</v>
      </c>
      <c r="M20" s="10"/>
      <c r="N20" s="10"/>
      <c r="O20" s="10"/>
      <c r="R20" s="30">
        <v>11</v>
      </c>
      <c r="S20" s="28">
        <f>COUNTIF(F:F,R20)</f>
        <v>23</v>
      </c>
      <c r="T20" s="29"/>
      <c r="U20" s="28"/>
    </row>
    <row r="21" spans="2:21" ht="15.95" customHeight="1">
      <c r="B21" s="10"/>
      <c r="C21" s="14">
        <v>18</v>
      </c>
      <c r="D21" s="15" t="s">
        <v>94</v>
      </c>
      <c r="E21" s="14">
        <v>1206</v>
      </c>
      <c r="F21" s="15">
        <f>_xlfn.XLOOKUP(D21,'Gemini Output'!B:B,'Gemini Output'!C:C,"No Match Yet")</f>
        <v>1</v>
      </c>
      <c r="G21" s="10" t="str">
        <f>_xlfn.XLOOKUP(D21,'Gemini Output'!B:B,'Gemini Output'!E:E,"No Match Yet")</f>
        <v>L1</v>
      </c>
      <c r="H21" s="10"/>
      <c r="I21" s="10"/>
      <c r="J21" s="16">
        <v>12</v>
      </c>
      <c r="K21" s="16" t="s">
        <v>1435</v>
      </c>
      <c r="L21" s="39" t="s">
        <v>1436</v>
      </c>
      <c r="M21" s="39"/>
      <c r="N21" s="10"/>
      <c r="O21" s="10"/>
      <c r="R21" s="30">
        <v>12</v>
      </c>
      <c r="S21" s="28">
        <f>COUNTIF(F:F,R21)</f>
        <v>169</v>
      </c>
      <c r="T21" s="29"/>
      <c r="U21" s="28"/>
    </row>
    <row r="22" spans="2:21" ht="15.75" customHeight="1">
      <c r="B22" s="10"/>
      <c r="C22" s="14">
        <v>19</v>
      </c>
      <c r="D22" s="15" t="s">
        <v>96</v>
      </c>
      <c r="E22" s="14">
        <v>1182</v>
      </c>
      <c r="F22" s="15">
        <f>_xlfn.XLOOKUP(D22,'Gemini Output'!B:B,'Gemini Output'!C:C,"No Match Yet")</f>
        <v>12</v>
      </c>
      <c r="G22" s="10" t="str">
        <f>_xlfn.XLOOKUP(D22,'Gemini Output'!B:B,'Gemini Output'!E:E,"No Match Yet")</f>
        <v>L1</v>
      </c>
      <c r="H22" s="10"/>
      <c r="I22" s="10"/>
      <c r="J22" s="16">
        <v>13</v>
      </c>
      <c r="K22" s="16" t="s">
        <v>1437</v>
      </c>
      <c r="L22" s="39" t="s">
        <v>1438</v>
      </c>
      <c r="M22" s="39"/>
      <c r="N22" s="10"/>
      <c r="O22" s="10"/>
      <c r="R22" s="30">
        <v>13</v>
      </c>
      <c r="S22" s="28">
        <f>COUNTIF(F:F,R22)</f>
        <v>83</v>
      </c>
      <c r="T22" s="29"/>
      <c r="U22" s="28"/>
    </row>
    <row r="23" spans="2:21" ht="15.75" customHeight="1">
      <c r="B23" s="10"/>
      <c r="C23" s="14">
        <v>20</v>
      </c>
      <c r="D23" s="15" t="s">
        <v>97</v>
      </c>
      <c r="E23" s="14">
        <v>1140</v>
      </c>
      <c r="F23" s="15">
        <f>_xlfn.XLOOKUP(D23,'Gemini Output'!B:B,'Gemini Output'!C:C,"No Match Yet")</f>
        <v>12</v>
      </c>
      <c r="G23" s="10" t="str">
        <f>_xlfn.XLOOKUP(D23,'Gemini Output'!B:B,'Gemini Output'!E:E,"No Match Yet")</f>
        <v>L1</v>
      </c>
      <c r="H23" s="10"/>
      <c r="I23" s="10"/>
      <c r="J23" s="16">
        <v>14</v>
      </c>
      <c r="K23" s="16" t="s">
        <v>1439</v>
      </c>
      <c r="L23" s="39" t="s">
        <v>1440</v>
      </c>
      <c r="M23" s="39"/>
      <c r="N23" s="10"/>
      <c r="O23" s="10"/>
      <c r="R23" s="30">
        <v>14</v>
      </c>
      <c r="S23" s="28">
        <f>COUNTIF(F:F,R23)</f>
        <v>14</v>
      </c>
      <c r="T23" s="29"/>
      <c r="U23" s="28"/>
    </row>
    <row r="24" spans="2:21" ht="20.25">
      <c r="B24" s="10"/>
      <c r="C24" s="14">
        <v>21</v>
      </c>
      <c r="D24" s="15" t="s">
        <v>98</v>
      </c>
      <c r="E24" s="14">
        <v>1055</v>
      </c>
      <c r="F24" s="15">
        <f>_xlfn.XLOOKUP(D24,'Gemini Output'!B:B,'Gemini Output'!C:C,"No Match Yet")</f>
        <v>13</v>
      </c>
      <c r="G24" s="10" t="str">
        <f>_xlfn.XLOOKUP(D24,'Gemini Output'!B:B,'Gemini Output'!E:E,"No Match Yet")</f>
        <v>L1</v>
      </c>
      <c r="H24" s="10"/>
      <c r="I24" s="10"/>
      <c r="J24" s="10"/>
      <c r="K24" s="10"/>
      <c r="L24" s="10"/>
      <c r="M24" s="10"/>
      <c r="N24" s="10"/>
      <c r="O24" s="10"/>
      <c r="R24" s="30">
        <v>15</v>
      </c>
      <c r="S24" s="28">
        <f>COUNTIF(F:F,R24)</f>
        <v>48</v>
      </c>
      <c r="T24" s="29"/>
      <c r="U24" s="28"/>
    </row>
    <row r="25" spans="2:21" ht="20.25">
      <c r="B25" s="10"/>
      <c r="C25" s="14">
        <v>22</v>
      </c>
      <c r="D25" s="15" t="s">
        <v>99</v>
      </c>
      <c r="E25" s="14">
        <v>999</v>
      </c>
      <c r="F25" s="15">
        <f>_xlfn.XLOOKUP(D25,'Gemini Output'!B:B,'Gemini Output'!C:C,"No Match Yet")</f>
        <v>10</v>
      </c>
      <c r="G25" s="10" t="str">
        <f>_xlfn.XLOOKUP(D25,'Gemini Output'!B:B,'Gemini Output'!E:E,"No Match Yet")</f>
        <v>L1</v>
      </c>
      <c r="H25" s="10"/>
      <c r="I25" s="10"/>
      <c r="J25" s="10"/>
      <c r="K25" s="10"/>
      <c r="L25" s="10"/>
      <c r="M25" s="10"/>
      <c r="N25" s="10"/>
      <c r="O25" s="10"/>
      <c r="R25" s="10"/>
      <c r="S25" s="10"/>
      <c r="T25" s="18"/>
      <c r="U25" s="10"/>
    </row>
    <row r="26" spans="2:21" ht="20.25">
      <c r="B26" s="10"/>
      <c r="C26" s="14">
        <v>23</v>
      </c>
      <c r="D26" s="15" t="s">
        <v>100</v>
      </c>
      <c r="E26" s="14">
        <v>944</v>
      </c>
      <c r="F26" s="15">
        <f>_xlfn.XLOOKUP(D26,'Gemini Output'!B:B,'Gemini Output'!C:C,"No Match Yet")</f>
        <v>9</v>
      </c>
      <c r="G26" s="10" t="str">
        <f>_xlfn.XLOOKUP(D26,'Gemini Output'!B:B,'Gemini Output'!E:E,"No Match Yet")</f>
        <v>L1</v>
      </c>
      <c r="H26" s="10"/>
      <c r="I26" s="10"/>
      <c r="J26" s="10"/>
      <c r="K26" s="10"/>
      <c r="L26" s="10"/>
      <c r="M26" s="10"/>
      <c r="N26" s="10"/>
      <c r="O26" s="10"/>
      <c r="R26" s="10"/>
      <c r="S26" s="10"/>
      <c r="T26" s="18"/>
      <c r="U26" s="10"/>
    </row>
    <row r="27" spans="2:21" ht="20.25">
      <c r="B27" s="10"/>
      <c r="C27" s="14">
        <v>24</v>
      </c>
      <c r="D27" s="15" t="s">
        <v>101</v>
      </c>
      <c r="E27" s="14">
        <v>891</v>
      </c>
      <c r="F27" s="15">
        <f>_xlfn.XLOOKUP(D27,'Gemini Output'!B:B,'Gemini Output'!C:C,"No Match Yet")</f>
        <v>12</v>
      </c>
      <c r="G27" s="10" t="str">
        <f>_xlfn.XLOOKUP(D27,'Gemini Output'!B:B,'Gemini Output'!E:E,"No Match Yet")</f>
        <v>L1</v>
      </c>
      <c r="H27" s="10"/>
      <c r="I27" s="10"/>
      <c r="J27" s="17" t="s">
        <v>1441</v>
      </c>
      <c r="K27" s="17" t="s">
        <v>1442</v>
      </c>
      <c r="L27" s="17" t="s">
        <v>1443</v>
      </c>
      <c r="M27" s="10"/>
      <c r="N27" s="10"/>
      <c r="O27" s="10"/>
    </row>
    <row r="28" spans="2:21" ht="15.95" customHeight="1">
      <c r="B28" s="10"/>
      <c r="C28" s="14">
        <v>25</v>
      </c>
      <c r="D28" s="15" t="s">
        <v>102</v>
      </c>
      <c r="E28" s="14">
        <v>879</v>
      </c>
      <c r="F28" s="15">
        <f>_xlfn.XLOOKUP(D28,'Gemini Output'!B:B,'Gemini Output'!C:C,"No Match Yet")</f>
        <v>12</v>
      </c>
      <c r="G28" s="10" t="str">
        <f>_xlfn.XLOOKUP(D28,'Gemini Output'!B:B,'Gemini Output'!E:E,"No Match Yet")</f>
        <v>L1</v>
      </c>
      <c r="H28" s="10"/>
      <c r="I28" s="10"/>
      <c r="J28" s="17" t="s">
        <v>1444</v>
      </c>
      <c r="K28" s="17" t="s">
        <v>1445</v>
      </c>
      <c r="L28" s="40" t="s">
        <v>1446</v>
      </c>
      <c r="M28" s="40"/>
      <c r="N28" s="40"/>
      <c r="O28" s="10"/>
    </row>
    <row r="29" spans="2:21" ht="15.75" customHeight="1">
      <c r="B29" s="10"/>
      <c r="C29" s="14">
        <v>26</v>
      </c>
      <c r="D29" s="15" t="s">
        <v>103</v>
      </c>
      <c r="E29" s="14">
        <v>855</v>
      </c>
      <c r="F29" s="15">
        <f>_xlfn.XLOOKUP(D29,'Gemini Output'!B:B,'Gemini Output'!C:C,"No Match Yet")</f>
        <v>2</v>
      </c>
      <c r="G29" s="10" t="str">
        <f>_xlfn.XLOOKUP(D29,'Gemini Output'!B:B,'Gemini Output'!E:E,"No Match Yet")</f>
        <v>L1</v>
      </c>
      <c r="H29" s="10"/>
      <c r="I29" s="10"/>
      <c r="J29" s="17" t="s">
        <v>1447</v>
      </c>
      <c r="K29" s="17" t="s">
        <v>1448</v>
      </c>
      <c r="L29" s="40" t="s">
        <v>1449</v>
      </c>
      <c r="M29" s="40"/>
      <c r="N29" s="40"/>
      <c r="O29" s="40"/>
    </row>
    <row r="30" spans="2:21" ht="15.75" customHeight="1">
      <c r="B30" s="10"/>
      <c r="C30" s="14">
        <v>27</v>
      </c>
      <c r="D30" s="15" t="s">
        <v>104</v>
      </c>
      <c r="E30" s="14">
        <v>663</v>
      </c>
      <c r="F30" s="15">
        <f>_xlfn.XLOOKUP(D30,'Gemini Output'!B:B,'Gemini Output'!C:C,"No Match Yet")</f>
        <v>12</v>
      </c>
      <c r="G30" s="10" t="str">
        <f>_xlfn.XLOOKUP(D30,'Gemini Output'!B:B,'Gemini Output'!E:E,"No Match Yet")</f>
        <v>L1</v>
      </c>
      <c r="H30" s="10"/>
      <c r="I30" s="10"/>
      <c r="J30" s="17" t="s">
        <v>1450</v>
      </c>
      <c r="K30" s="17" t="s">
        <v>1451</v>
      </c>
      <c r="L30" s="40" t="s">
        <v>1452</v>
      </c>
      <c r="M30" s="40"/>
      <c r="N30" s="40"/>
      <c r="O30" s="40"/>
    </row>
    <row r="31" spans="2:21" ht="20.25">
      <c r="B31" s="10"/>
      <c r="C31" s="14">
        <v>28</v>
      </c>
      <c r="D31" s="15" t="s">
        <v>105</v>
      </c>
      <c r="E31" s="14">
        <v>652</v>
      </c>
      <c r="F31" s="15">
        <f>_xlfn.XLOOKUP(D31,'Gemini Output'!B:B,'Gemini Output'!C:C,"No Match Yet")</f>
        <v>15</v>
      </c>
      <c r="G31" s="10" t="str">
        <f>_xlfn.XLOOKUP(D31,'Gemini Output'!B:B,'Gemini Output'!E:E,"No Match Yet")</f>
        <v>L1</v>
      </c>
      <c r="H31" s="10"/>
      <c r="I31" s="10"/>
      <c r="J31" s="10"/>
      <c r="K31" s="18"/>
      <c r="L31" s="10"/>
      <c r="M31" s="10"/>
      <c r="N31" s="10"/>
      <c r="O31" s="10"/>
    </row>
    <row r="32" spans="2:21" ht="20.25">
      <c r="B32" s="10"/>
      <c r="C32" s="14">
        <v>29</v>
      </c>
      <c r="D32" s="15" t="s">
        <v>106</v>
      </c>
      <c r="E32" s="14">
        <v>458</v>
      </c>
      <c r="F32" s="15">
        <f>_xlfn.XLOOKUP(D32,'Gemini Output'!B:B,'Gemini Output'!C:C,"No Match Yet")</f>
        <v>2</v>
      </c>
      <c r="G32" s="10" t="str">
        <f>_xlfn.XLOOKUP(D32,'Gemini Output'!B:B,'Gemini Output'!E:E,"No Match Yet")</f>
        <v>L1</v>
      </c>
      <c r="H32" s="10"/>
      <c r="I32" s="10"/>
      <c r="J32" s="10"/>
      <c r="K32" s="18"/>
      <c r="L32" s="10"/>
      <c r="M32" s="10"/>
      <c r="N32" s="10"/>
      <c r="O32" s="10"/>
    </row>
    <row r="33" spans="2:15" ht="20.25">
      <c r="B33" s="10"/>
      <c r="C33" s="14">
        <v>30</v>
      </c>
      <c r="D33" s="15" t="s">
        <v>107</v>
      </c>
      <c r="E33" s="14">
        <v>390</v>
      </c>
      <c r="F33" s="15">
        <f>_xlfn.XLOOKUP(D33,'Gemini Output'!B:B,'Gemini Output'!C:C,"No Match Yet")</f>
        <v>12</v>
      </c>
      <c r="G33" s="10" t="str">
        <f>_xlfn.XLOOKUP(D33,'Gemini Output'!B:B,'Gemini Output'!E:E,"No Match Yet")</f>
        <v>L1</v>
      </c>
      <c r="H33" s="10"/>
      <c r="M33" s="10"/>
      <c r="N33" s="10"/>
      <c r="O33" s="10"/>
    </row>
    <row r="34" spans="2:15" ht="20.25">
      <c r="B34" s="10"/>
      <c r="C34" s="14">
        <v>31</v>
      </c>
      <c r="D34" s="15" t="s">
        <v>108</v>
      </c>
      <c r="E34" s="14">
        <v>379</v>
      </c>
      <c r="F34" s="15">
        <f>_xlfn.XLOOKUP(D34,'Gemini Output'!B:B,'Gemini Output'!C:C,"No Match Yet")</f>
        <v>4</v>
      </c>
      <c r="G34" s="10" t="str">
        <f>_xlfn.XLOOKUP(D34,'Gemini Output'!B:B,'Gemini Output'!E:E,"No Match Yet")</f>
        <v>L1</v>
      </c>
      <c r="H34" s="10"/>
      <c r="M34" s="10"/>
      <c r="N34" s="10"/>
      <c r="O34" s="10"/>
    </row>
    <row r="35" spans="2:15" ht="20.25">
      <c r="B35" s="10"/>
      <c r="C35" s="14">
        <v>32</v>
      </c>
      <c r="D35" s="15" t="s">
        <v>109</v>
      </c>
      <c r="E35" s="14">
        <v>377</v>
      </c>
      <c r="F35" s="15">
        <f>_xlfn.XLOOKUP(D35,'Gemini Output'!B:B,'Gemini Output'!C:C,"No Match Yet")</f>
        <v>12</v>
      </c>
      <c r="G35" s="10" t="str">
        <f>_xlfn.XLOOKUP(D35,'Gemini Output'!B:B,'Gemini Output'!E:E,"No Match Yet")</f>
        <v>L1</v>
      </c>
      <c r="H35" s="10"/>
      <c r="M35" s="10"/>
      <c r="N35" s="10"/>
      <c r="O35" s="10"/>
    </row>
    <row r="36" spans="2:15" ht="20.25">
      <c r="B36" s="10"/>
      <c r="C36" s="14">
        <v>33</v>
      </c>
      <c r="D36" s="15" t="s">
        <v>110</v>
      </c>
      <c r="E36" s="14">
        <v>373</v>
      </c>
      <c r="F36" s="15">
        <f>_xlfn.XLOOKUP(D36,'Gemini Output'!B:B,'Gemini Output'!C:C,"No Match Yet")</f>
        <v>12</v>
      </c>
      <c r="G36" s="10" t="str">
        <f>_xlfn.XLOOKUP(D36,'Gemini Output'!B:B,'Gemini Output'!E:E,"No Match Yet")</f>
        <v>L2</v>
      </c>
      <c r="H36" s="10"/>
      <c r="M36" s="10"/>
      <c r="N36" s="10"/>
      <c r="O36" s="10"/>
    </row>
    <row r="37" spans="2:15" ht="20.25">
      <c r="B37" s="10"/>
      <c r="C37" s="14">
        <v>34</v>
      </c>
      <c r="D37" s="15" t="s">
        <v>111</v>
      </c>
      <c r="E37" s="14">
        <v>362</v>
      </c>
      <c r="F37" s="15">
        <f>_xlfn.XLOOKUP(D37,'Gemini Output'!B:B,'Gemini Output'!C:C,"No Match Yet")</f>
        <v>9</v>
      </c>
      <c r="G37" s="10" t="str">
        <f>_xlfn.XLOOKUP(D37,'Gemini Output'!B:B,'Gemini Output'!E:E,"No Match Yet")</f>
        <v>L1</v>
      </c>
      <c r="H37" s="10"/>
      <c r="M37" s="10"/>
      <c r="N37" s="10"/>
      <c r="O37" s="10"/>
    </row>
    <row r="38" spans="2:15" ht="20.25">
      <c r="B38" s="10"/>
      <c r="C38" s="14">
        <v>35</v>
      </c>
      <c r="D38" s="15" t="s">
        <v>112</v>
      </c>
      <c r="E38" s="14">
        <v>359</v>
      </c>
      <c r="F38" s="15">
        <f>_xlfn.XLOOKUP(D38,'Gemini Output'!B:B,'Gemini Output'!C:C,"No Match Yet")</f>
        <v>12</v>
      </c>
      <c r="G38" s="10" t="str">
        <f>_xlfn.XLOOKUP(D38,'Gemini Output'!B:B,'Gemini Output'!E:E,"No Match Yet")</f>
        <v>L1</v>
      </c>
      <c r="H38" s="10"/>
      <c r="M38" s="10"/>
      <c r="N38" s="10"/>
      <c r="O38" s="10"/>
    </row>
    <row r="39" spans="2:15" ht="20.25">
      <c r="B39" s="10"/>
      <c r="C39" s="14">
        <v>36</v>
      </c>
      <c r="D39" s="15" t="s">
        <v>113</v>
      </c>
      <c r="E39" s="14">
        <v>334</v>
      </c>
      <c r="F39" s="15">
        <f>_xlfn.XLOOKUP(D39,'Gemini Output'!B:B,'Gemini Output'!C:C,"No Match Yet")</f>
        <v>9</v>
      </c>
      <c r="G39" s="10" t="str">
        <f>_xlfn.XLOOKUP(D39,'Gemini Output'!B:B,'Gemini Output'!E:E,"No Match Yet")</f>
        <v>L3</v>
      </c>
      <c r="H39" s="10"/>
      <c r="M39" s="10"/>
      <c r="N39" s="10"/>
      <c r="O39" s="10"/>
    </row>
    <row r="40" spans="2:15" ht="20.25">
      <c r="B40" s="10"/>
      <c r="C40" s="14">
        <v>37</v>
      </c>
      <c r="D40" s="15" t="s">
        <v>114</v>
      </c>
      <c r="E40" s="14">
        <v>330</v>
      </c>
      <c r="F40" s="15">
        <f>_xlfn.XLOOKUP(D40,'Gemini Output'!B:B,'Gemini Output'!C:C,"No Match Yet")</f>
        <v>13</v>
      </c>
      <c r="G40" s="10" t="str">
        <f>_xlfn.XLOOKUP(D40,'Gemini Output'!B:B,'Gemini Output'!E:E,"No Match Yet")</f>
        <v>L1</v>
      </c>
      <c r="H40" s="10"/>
      <c r="M40" s="10"/>
      <c r="N40" s="10"/>
      <c r="O40" s="10"/>
    </row>
    <row r="41" spans="2:15" ht="20.25">
      <c r="B41" s="10"/>
      <c r="C41" s="14">
        <v>38</v>
      </c>
      <c r="D41" s="15" t="s">
        <v>115</v>
      </c>
      <c r="E41" s="14">
        <v>313</v>
      </c>
      <c r="F41" s="15">
        <f>_xlfn.XLOOKUP(D41,'Gemini Output'!B:B,'Gemini Output'!C:C,"No Match Yet")</f>
        <v>12</v>
      </c>
      <c r="G41" s="10" t="str">
        <f>_xlfn.XLOOKUP(D41,'Gemini Output'!B:B,'Gemini Output'!E:E,"No Match Yet")</f>
        <v>L2</v>
      </c>
      <c r="H41" s="10"/>
      <c r="M41" s="10"/>
      <c r="N41" s="10"/>
      <c r="O41" s="10"/>
    </row>
    <row r="42" spans="2:15" ht="20.25">
      <c r="B42" s="10"/>
      <c r="C42" s="14">
        <v>39</v>
      </c>
      <c r="D42" s="15" t="s">
        <v>116</v>
      </c>
      <c r="E42" s="14">
        <v>311</v>
      </c>
      <c r="F42" s="15">
        <f>_xlfn.XLOOKUP(D42,'Gemini Output'!B:B,'Gemini Output'!C:C,"No Match Yet")</f>
        <v>12</v>
      </c>
      <c r="G42" s="10" t="str">
        <f>_xlfn.XLOOKUP(D42,'Gemini Output'!B:B,'Gemini Output'!E:E,"No Match Yet")</f>
        <v>L1</v>
      </c>
      <c r="H42" s="10"/>
      <c r="M42" s="10"/>
      <c r="N42" s="10"/>
      <c r="O42" s="10"/>
    </row>
    <row r="43" spans="2:15" ht="20.25">
      <c r="B43" s="10"/>
      <c r="C43" s="14">
        <v>40</v>
      </c>
      <c r="D43" s="15" t="s">
        <v>117</v>
      </c>
      <c r="E43" s="14">
        <v>311</v>
      </c>
      <c r="F43" s="15">
        <f>_xlfn.XLOOKUP(D43,'Gemini Output'!B:B,'Gemini Output'!C:C,"No Match Yet")</f>
        <v>2</v>
      </c>
      <c r="G43" s="10" t="str">
        <f>_xlfn.XLOOKUP(D43,'Gemini Output'!B:B,'Gemini Output'!E:E,"No Match Yet")</f>
        <v>L1</v>
      </c>
      <c r="H43" s="10"/>
      <c r="M43" s="10"/>
      <c r="N43" s="10"/>
      <c r="O43" s="10"/>
    </row>
    <row r="44" spans="2:15" ht="20.25">
      <c r="B44" s="10"/>
      <c r="C44" s="14">
        <v>41</v>
      </c>
      <c r="D44" s="15" t="s">
        <v>118</v>
      </c>
      <c r="E44" s="14">
        <v>294</v>
      </c>
      <c r="F44" s="15">
        <f>_xlfn.XLOOKUP(D44,'Gemini Output'!B:B,'Gemini Output'!C:C,"No Match Yet")</f>
        <v>9</v>
      </c>
      <c r="G44" s="10" t="str">
        <f>_xlfn.XLOOKUP(D44,'Gemini Output'!B:B,'Gemini Output'!E:E,"No Match Yet")</f>
        <v>L1</v>
      </c>
      <c r="H44" s="10"/>
      <c r="M44" s="10"/>
      <c r="N44" s="10"/>
      <c r="O44" s="10"/>
    </row>
    <row r="45" spans="2:15" ht="20.25">
      <c r="B45" s="10"/>
      <c r="C45" s="14">
        <v>42</v>
      </c>
      <c r="D45" s="15" t="s">
        <v>119</v>
      </c>
      <c r="E45" s="14">
        <v>292</v>
      </c>
      <c r="F45" s="15">
        <f>_xlfn.XLOOKUP(D45,'Gemini Output'!B:B,'Gemini Output'!C:C,"No Match Yet")</f>
        <v>12</v>
      </c>
      <c r="G45" s="10" t="str">
        <f>_xlfn.XLOOKUP(D45,'Gemini Output'!B:B,'Gemini Output'!E:E,"No Match Yet")</f>
        <v>L1</v>
      </c>
      <c r="H45" s="10"/>
      <c r="M45" s="10"/>
      <c r="N45" s="10"/>
      <c r="O45" s="10"/>
    </row>
    <row r="46" spans="2:15" ht="20.25">
      <c r="B46" s="10"/>
      <c r="C46" s="14">
        <v>43</v>
      </c>
      <c r="D46" s="15" t="s">
        <v>120</v>
      </c>
      <c r="E46" s="14">
        <v>283</v>
      </c>
      <c r="F46" s="15">
        <f>_xlfn.XLOOKUP(D46,'Gemini Output'!B:B,'Gemini Output'!C:C,"No Match Yet")</f>
        <v>9</v>
      </c>
      <c r="G46" s="10" t="str">
        <f>_xlfn.XLOOKUP(D46,'Gemini Output'!B:B,'Gemini Output'!E:E,"No Match Yet")</f>
        <v>L1</v>
      </c>
      <c r="H46" s="10"/>
      <c r="M46" s="10"/>
      <c r="N46" s="10"/>
      <c r="O46" s="10"/>
    </row>
    <row r="47" spans="2:15" ht="20.25">
      <c r="B47" s="10"/>
      <c r="C47" s="14">
        <v>44</v>
      </c>
      <c r="D47" s="15" t="s">
        <v>121</v>
      </c>
      <c r="E47" s="14">
        <v>280</v>
      </c>
      <c r="F47" s="15">
        <f>_xlfn.XLOOKUP(D47,'Gemini Output'!B:B,'Gemini Output'!C:C,"No Match Yet")</f>
        <v>1</v>
      </c>
      <c r="G47" s="10" t="str">
        <f>_xlfn.XLOOKUP(D47,'Gemini Output'!B:B,'Gemini Output'!E:E,"No Match Yet")</f>
        <v>L1</v>
      </c>
      <c r="H47" s="10"/>
      <c r="M47" s="10"/>
      <c r="N47" s="10"/>
      <c r="O47" s="10"/>
    </row>
    <row r="48" spans="2:15" ht="20.25">
      <c r="B48" s="10"/>
      <c r="C48" s="14">
        <v>45</v>
      </c>
      <c r="D48" s="15" t="s">
        <v>122</v>
      </c>
      <c r="E48" s="14">
        <v>274</v>
      </c>
      <c r="F48" s="15">
        <f>_xlfn.XLOOKUP(D48,'Gemini Output'!B:B,'Gemini Output'!C:C,"No Match Yet")</f>
        <v>13</v>
      </c>
      <c r="G48" s="10" t="str">
        <f>_xlfn.XLOOKUP(D48,'Gemini Output'!B:B,'Gemini Output'!E:E,"No Match Yet")</f>
        <v>L1</v>
      </c>
      <c r="H48" s="10"/>
      <c r="M48" s="10"/>
      <c r="N48" s="10"/>
      <c r="O48" s="10"/>
    </row>
    <row r="49" spans="2:15" ht="20.25">
      <c r="B49" s="10"/>
      <c r="C49" s="14">
        <v>46</v>
      </c>
      <c r="D49" s="15" t="s">
        <v>123</v>
      </c>
      <c r="E49" s="14">
        <v>267</v>
      </c>
      <c r="F49" s="15">
        <f>_xlfn.XLOOKUP(D49,'Gemini Output'!B:B,'Gemini Output'!C:C,"No Match Yet")</f>
        <v>5</v>
      </c>
      <c r="G49" s="10" t="str">
        <f>_xlfn.XLOOKUP(D49,'Gemini Output'!B:B,'Gemini Output'!E:E,"No Match Yet")</f>
        <v>L1</v>
      </c>
      <c r="H49" s="10"/>
      <c r="M49" s="10"/>
      <c r="N49" s="10"/>
      <c r="O49" s="10"/>
    </row>
    <row r="50" spans="2:15" ht="20.25">
      <c r="B50" s="10"/>
      <c r="C50" s="14">
        <v>47</v>
      </c>
      <c r="D50" s="15" t="s">
        <v>124</v>
      </c>
      <c r="E50" s="14">
        <v>264</v>
      </c>
      <c r="F50" s="15">
        <f>_xlfn.XLOOKUP(D50,'Gemini Output'!B:B,'Gemini Output'!C:C,"No Match Yet")</f>
        <v>13</v>
      </c>
      <c r="G50" s="10" t="str">
        <f>_xlfn.XLOOKUP(D50,'Gemini Output'!B:B,'Gemini Output'!E:E,"No Match Yet")</f>
        <v>L1</v>
      </c>
      <c r="H50" s="10"/>
      <c r="M50" s="10"/>
      <c r="N50" s="10"/>
      <c r="O50" s="10"/>
    </row>
    <row r="51" spans="2:15" ht="20.25">
      <c r="B51" s="10"/>
      <c r="C51" s="14">
        <v>48</v>
      </c>
      <c r="D51" s="15" t="s">
        <v>125</v>
      </c>
      <c r="E51" s="14">
        <v>257</v>
      </c>
      <c r="F51" s="15">
        <f>_xlfn.XLOOKUP(D51,'Gemini Output'!B:B,'Gemini Output'!C:C,"No Match Yet")</f>
        <v>10</v>
      </c>
      <c r="G51" s="10" t="str">
        <f>_xlfn.XLOOKUP(D51,'Gemini Output'!B:B,'Gemini Output'!E:E,"No Match Yet")</f>
        <v>L1</v>
      </c>
      <c r="H51" s="10"/>
      <c r="I51" s="10"/>
      <c r="J51" s="10"/>
      <c r="K51" s="18"/>
      <c r="L51" s="10"/>
      <c r="M51" s="10"/>
      <c r="N51" s="10"/>
      <c r="O51" s="10"/>
    </row>
    <row r="52" spans="2:15" ht="20.25">
      <c r="B52" s="10"/>
      <c r="C52" s="14">
        <v>49</v>
      </c>
      <c r="D52" s="15" t="s">
        <v>126</v>
      </c>
      <c r="E52" s="14">
        <v>249</v>
      </c>
      <c r="F52" s="15">
        <f>_xlfn.XLOOKUP(D52,'Gemini Output'!B:B,'Gemini Output'!C:C,"No Match Yet")</f>
        <v>9</v>
      </c>
      <c r="G52" s="10" t="str">
        <f>_xlfn.XLOOKUP(D52,'Gemini Output'!B:B,'Gemini Output'!E:E,"No Match Yet")</f>
        <v>L1</v>
      </c>
      <c r="H52" s="10"/>
      <c r="I52" s="10"/>
      <c r="J52" s="10"/>
      <c r="K52" s="18"/>
      <c r="L52" s="10"/>
      <c r="M52" s="10"/>
      <c r="N52" s="10"/>
      <c r="O52" s="10"/>
    </row>
    <row r="53" spans="2:15" ht="20.25">
      <c r="B53" s="10"/>
      <c r="C53" s="14">
        <v>50</v>
      </c>
      <c r="D53" s="15" t="s">
        <v>127</v>
      </c>
      <c r="E53" s="14">
        <v>245</v>
      </c>
      <c r="F53" s="15">
        <f>_xlfn.XLOOKUP(D53,'Gemini Output'!B:B,'Gemini Output'!C:C,"No Match Yet")</f>
        <v>9</v>
      </c>
      <c r="G53" s="10" t="str">
        <f>_xlfn.XLOOKUP(D53,'Gemini Output'!B:B,'Gemini Output'!E:E,"No Match Yet")</f>
        <v>L1</v>
      </c>
      <c r="H53" s="10"/>
      <c r="I53" s="10"/>
      <c r="J53" s="10"/>
      <c r="K53" s="18"/>
      <c r="L53" s="10"/>
      <c r="M53" s="10"/>
      <c r="N53" s="10"/>
      <c r="O53" s="10"/>
    </row>
    <row r="54" spans="2:15" ht="20.25">
      <c r="B54" s="10"/>
      <c r="C54" s="14">
        <v>51</v>
      </c>
      <c r="D54" s="15" t="s">
        <v>128</v>
      </c>
      <c r="E54" s="14">
        <v>243</v>
      </c>
      <c r="F54" s="15">
        <f>_xlfn.XLOOKUP(D54,'Gemini Output'!B:B,'Gemini Output'!C:C,"No Match Yet")</f>
        <v>12</v>
      </c>
      <c r="G54" s="10" t="str">
        <f>_xlfn.XLOOKUP(D54,'Gemini Output'!B:B,'Gemini Output'!E:E,"No Match Yet")</f>
        <v>L1</v>
      </c>
      <c r="H54" s="10"/>
      <c r="I54" s="10"/>
      <c r="J54" s="10"/>
      <c r="K54" s="18"/>
      <c r="L54" s="10"/>
      <c r="M54" s="10"/>
      <c r="N54" s="10"/>
      <c r="O54" s="10"/>
    </row>
    <row r="55" spans="2:15" ht="20.25">
      <c r="B55" s="10"/>
      <c r="C55" s="14">
        <v>52</v>
      </c>
      <c r="D55" s="15" t="s">
        <v>129</v>
      </c>
      <c r="E55" s="14">
        <v>236</v>
      </c>
      <c r="F55" s="15">
        <f>_xlfn.XLOOKUP(D55,'Gemini Output'!B:B,'Gemini Output'!C:C,"No Match Yet")</f>
        <v>6</v>
      </c>
      <c r="G55" s="10" t="str">
        <f>_xlfn.XLOOKUP(D55,'Gemini Output'!B:B,'Gemini Output'!E:E,"No Match Yet")</f>
        <v>L1</v>
      </c>
      <c r="H55" s="10"/>
      <c r="I55" s="10"/>
      <c r="J55" s="10"/>
      <c r="K55" s="18"/>
      <c r="L55" s="10"/>
      <c r="M55" s="10"/>
      <c r="N55" s="10"/>
      <c r="O55" s="10"/>
    </row>
    <row r="56" spans="2:15" ht="20.25">
      <c r="B56" s="10"/>
      <c r="C56" s="14">
        <v>53</v>
      </c>
      <c r="D56" s="15" t="s">
        <v>130</v>
      </c>
      <c r="E56" s="14">
        <v>236</v>
      </c>
      <c r="F56" s="15">
        <f>_xlfn.XLOOKUP(D56,'Gemini Output'!B:B,'Gemini Output'!C:C,"No Match Yet")</f>
        <v>8</v>
      </c>
      <c r="G56" s="10" t="str">
        <f>_xlfn.XLOOKUP(D56,'Gemini Output'!B:B,'Gemini Output'!E:E,"No Match Yet")</f>
        <v>L1</v>
      </c>
      <c r="H56" s="10"/>
      <c r="I56" s="10"/>
      <c r="J56" s="10"/>
      <c r="K56" s="18"/>
      <c r="L56" s="10"/>
      <c r="M56" s="10"/>
      <c r="N56" s="10"/>
      <c r="O56" s="10"/>
    </row>
    <row r="57" spans="2:15" ht="20.25">
      <c r="B57" s="10"/>
      <c r="C57" s="14">
        <v>54</v>
      </c>
      <c r="D57" s="15" t="s">
        <v>131</v>
      </c>
      <c r="E57" s="14">
        <v>230</v>
      </c>
      <c r="F57" s="15">
        <f>_xlfn.XLOOKUP(D57,'Gemini Output'!B:B,'Gemini Output'!C:C,"No Match Yet")</f>
        <v>9</v>
      </c>
      <c r="G57" s="10" t="str">
        <f>_xlfn.XLOOKUP(D57,'Gemini Output'!B:B,'Gemini Output'!E:E,"No Match Yet")</f>
        <v>L1</v>
      </c>
      <c r="H57" s="10"/>
      <c r="I57" s="10"/>
      <c r="J57" s="10"/>
      <c r="K57" s="18"/>
      <c r="L57" s="10"/>
      <c r="M57" s="10"/>
      <c r="N57" s="10"/>
      <c r="O57" s="10"/>
    </row>
    <row r="58" spans="2:15" ht="20.25">
      <c r="B58" s="10"/>
      <c r="C58" s="14">
        <v>55</v>
      </c>
      <c r="D58" s="15" t="s">
        <v>132</v>
      </c>
      <c r="E58" s="14">
        <v>225</v>
      </c>
      <c r="F58" s="15">
        <f>_xlfn.XLOOKUP(D58,'Gemini Output'!B:B,'Gemini Output'!C:C,"No Match Yet")</f>
        <v>2</v>
      </c>
      <c r="G58" s="10" t="str">
        <f>_xlfn.XLOOKUP(D58,'Gemini Output'!B:B,'Gemini Output'!E:E,"No Match Yet")</f>
        <v>L1</v>
      </c>
      <c r="H58" s="10"/>
      <c r="I58" s="10"/>
      <c r="J58" s="10"/>
      <c r="K58" s="18"/>
      <c r="L58" s="10"/>
      <c r="M58" s="10"/>
      <c r="N58" s="10"/>
      <c r="O58" s="10"/>
    </row>
    <row r="59" spans="2:15" ht="20.25">
      <c r="B59" s="10"/>
      <c r="C59" s="14">
        <v>56</v>
      </c>
      <c r="D59" s="15" t="s">
        <v>133</v>
      </c>
      <c r="E59" s="14">
        <v>219</v>
      </c>
      <c r="F59" s="15">
        <f>_xlfn.XLOOKUP(D59,'Gemini Output'!B:B,'Gemini Output'!C:C,"No Match Yet")</f>
        <v>5</v>
      </c>
      <c r="G59" s="10" t="str">
        <f>_xlfn.XLOOKUP(D59,'Gemini Output'!B:B,'Gemini Output'!E:E,"No Match Yet")</f>
        <v>L1</v>
      </c>
      <c r="H59" s="10"/>
      <c r="I59" s="10"/>
      <c r="J59" s="10"/>
      <c r="K59" s="18"/>
      <c r="L59" s="10"/>
      <c r="M59" s="10"/>
      <c r="N59" s="10"/>
      <c r="O59" s="10"/>
    </row>
    <row r="60" spans="2:15" ht="20.25">
      <c r="B60" s="10"/>
      <c r="C60" s="14">
        <v>57</v>
      </c>
      <c r="D60" s="15" t="s">
        <v>134</v>
      </c>
      <c r="E60" s="14">
        <v>211</v>
      </c>
      <c r="F60" s="15">
        <f>_xlfn.XLOOKUP(D60,'Gemini Output'!B:B,'Gemini Output'!C:C,"No Match Yet")</f>
        <v>15</v>
      </c>
      <c r="G60" s="10" t="str">
        <f>_xlfn.XLOOKUP(D60,'Gemini Output'!B:B,'Gemini Output'!E:E,"No Match Yet")</f>
        <v>L1</v>
      </c>
      <c r="H60" s="10"/>
      <c r="I60" s="10"/>
      <c r="J60" s="10"/>
      <c r="K60" s="18"/>
      <c r="L60" s="10"/>
      <c r="M60" s="10"/>
      <c r="N60" s="10"/>
      <c r="O60" s="10"/>
    </row>
    <row r="61" spans="2:15" ht="20.25">
      <c r="B61" s="10"/>
      <c r="C61" s="14">
        <v>58</v>
      </c>
      <c r="D61" s="15" t="s">
        <v>135</v>
      </c>
      <c r="E61" s="14">
        <v>206</v>
      </c>
      <c r="F61" s="15">
        <f>_xlfn.XLOOKUP(D61,'Gemini Output'!B:B,'Gemini Output'!C:C,"No Match Yet")</f>
        <v>12</v>
      </c>
      <c r="G61" s="10" t="str">
        <f>_xlfn.XLOOKUP(D61,'Gemini Output'!B:B,'Gemini Output'!E:E,"No Match Yet")</f>
        <v>L1</v>
      </c>
      <c r="H61" s="10"/>
      <c r="I61" s="10"/>
      <c r="J61" s="10"/>
      <c r="K61" s="18"/>
      <c r="L61" s="10"/>
      <c r="M61" s="10"/>
      <c r="N61" s="10"/>
      <c r="O61" s="10"/>
    </row>
    <row r="62" spans="2:15" ht="20.25">
      <c r="B62" s="10"/>
      <c r="C62" s="14">
        <v>59</v>
      </c>
      <c r="D62" s="15" t="s">
        <v>136</v>
      </c>
      <c r="E62" s="14">
        <v>205</v>
      </c>
      <c r="F62" s="15">
        <f>_xlfn.XLOOKUP(D62,'Gemini Output'!B:B,'Gemini Output'!C:C,"No Match Yet")</f>
        <v>9</v>
      </c>
      <c r="G62" s="10" t="str">
        <f>_xlfn.XLOOKUP(D62,'Gemini Output'!B:B,'Gemini Output'!E:E,"No Match Yet")</f>
        <v>L1</v>
      </c>
      <c r="H62" s="10"/>
      <c r="I62" s="10"/>
      <c r="J62" s="10"/>
      <c r="K62" s="18"/>
      <c r="L62" s="10"/>
      <c r="M62" s="10"/>
      <c r="N62" s="10"/>
      <c r="O62" s="10"/>
    </row>
    <row r="63" spans="2:15" ht="20.25">
      <c r="B63" s="10"/>
      <c r="C63" s="14">
        <v>60</v>
      </c>
      <c r="D63" s="15" t="s">
        <v>137</v>
      </c>
      <c r="E63" s="14">
        <v>205</v>
      </c>
      <c r="F63" s="15">
        <f>_xlfn.XLOOKUP(D63,'Gemini Output'!B:B,'Gemini Output'!C:C,"No Match Yet")</f>
        <v>14</v>
      </c>
      <c r="G63" s="10" t="str">
        <f>_xlfn.XLOOKUP(D63,'Gemini Output'!B:B,'Gemini Output'!E:E,"No Match Yet")</f>
        <v>L1</v>
      </c>
      <c r="H63" s="10"/>
      <c r="I63" s="10"/>
      <c r="J63" s="10"/>
      <c r="K63" s="18"/>
      <c r="L63" s="10"/>
      <c r="M63" s="10"/>
      <c r="N63" s="10"/>
      <c r="O63" s="10"/>
    </row>
    <row r="64" spans="2:15" ht="20.25">
      <c r="B64" s="10"/>
      <c r="C64" s="14">
        <v>61</v>
      </c>
      <c r="D64" s="15" t="s">
        <v>138</v>
      </c>
      <c r="E64" s="14">
        <v>203</v>
      </c>
      <c r="F64" s="15">
        <f>_xlfn.XLOOKUP(D64,'Gemini Output'!B:B,'Gemini Output'!C:C,"No Match Yet")</f>
        <v>9</v>
      </c>
      <c r="G64" s="10" t="str">
        <f>_xlfn.XLOOKUP(D64,'Gemini Output'!B:B,'Gemini Output'!E:E,"No Match Yet")</f>
        <v>L1</v>
      </c>
      <c r="H64" s="10"/>
      <c r="I64" s="10"/>
      <c r="J64" s="10"/>
      <c r="K64" s="18" t="s">
        <v>1453</v>
      </c>
      <c r="L64" s="10"/>
      <c r="M64" s="10"/>
      <c r="N64" s="10"/>
      <c r="O64" s="10"/>
    </row>
    <row r="65" spans="2:15" ht="20.25">
      <c r="B65" s="10"/>
      <c r="C65" s="14">
        <v>62</v>
      </c>
      <c r="D65" s="15" t="s">
        <v>139</v>
      </c>
      <c r="E65" s="14">
        <v>199</v>
      </c>
      <c r="F65" s="15">
        <f>_xlfn.XLOOKUP(D65,'Gemini Output'!B:B,'Gemini Output'!C:C,"No Match Yet")</f>
        <v>11</v>
      </c>
      <c r="G65" s="10" t="str">
        <f>_xlfn.XLOOKUP(D65,'Gemini Output'!B:B,'Gemini Output'!E:E,"No Match Yet")</f>
        <v>L1</v>
      </c>
      <c r="H65" s="10"/>
      <c r="I65" s="10"/>
      <c r="J65" s="10"/>
      <c r="K65" s="18"/>
      <c r="L65" s="10"/>
      <c r="M65" s="10"/>
      <c r="N65" s="10"/>
      <c r="O65" s="10"/>
    </row>
    <row r="66" spans="2:15" ht="20.25">
      <c r="B66" s="10"/>
      <c r="C66" s="14">
        <v>63</v>
      </c>
      <c r="D66" s="15" t="s">
        <v>140</v>
      </c>
      <c r="E66" s="14">
        <v>197</v>
      </c>
      <c r="F66" s="15">
        <f>_xlfn.XLOOKUP(D66,'Gemini Output'!B:B,'Gemini Output'!C:C,"No Match Yet")</f>
        <v>9</v>
      </c>
      <c r="G66" s="10" t="str">
        <f>_xlfn.XLOOKUP(D66,'Gemini Output'!B:B,'Gemini Output'!E:E,"No Match Yet")</f>
        <v>L1</v>
      </c>
      <c r="H66" s="10"/>
      <c r="I66" s="10"/>
      <c r="J66" s="10"/>
      <c r="K66" s="18" t="s">
        <v>1454</v>
      </c>
      <c r="L66" s="10"/>
      <c r="M66" s="10"/>
      <c r="N66" s="10"/>
      <c r="O66" s="10"/>
    </row>
    <row r="67" spans="2:15" ht="20.25">
      <c r="B67" s="10"/>
      <c r="C67" s="14">
        <v>64</v>
      </c>
      <c r="D67" s="15" t="s">
        <v>141</v>
      </c>
      <c r="E67" s="14">
        <v>191</v>
      </c>
      <c r="F67" s="15">
        <f>_xlfn.XLOOKUP(D67,'Gemini Output'!B:B,'Gemini Output'!C:C,"No Match Yet")</f>
        <v>4</v>
      </c>
      <c r="G67" s="10" t="str">
        <f>_xlfn.XLOOKUP(D67,'Gemini Output'!B:B,'Gemini Output'!E:E,"No Match Yet")</f>
        <v>L1</v>
      </c>
      <c r="H67" s="10"/>
      <c r="I67" s="10"/>
      <c r="J67" s="10"/>
      <c r="K67" s="18"/>
      <c r="L67" s="10"/>
      <c r="M67" s="10"/>
      <c r="N67" s="10"/>
      <c r="O67" s="10"/>
    </row>
    <row r="68" spans="2:15" ht="20.25">
      <c r="B68" s="10"/>
      <c r="C68" s="14">
        <v>65</v>
      </c>
      <c r="D68" s="15" t="s">
        <v>142</v>
      </c>
      <c r="E68" s="14">
        <v>188</v>
      </c>
      <c r="F68" s="15">
        <f>_xlfn.XLOOKUP(D68,'Gemini Output'!B:B,'Gemini Output'!C:C,"No Match Yet")</f>
        <v>12</v>
      </c>
      <c r="G68" s="10" t="str">
        <f>_xlfn.XLOOKUP(D68,'Gemini Output'!B:B,'Gemini Output'!E:E,"No Match Yet")</f>
        <v>L1</v>
      </c>
      <c r="H68" s="10"/>
      <c r="I68" s="10"/>
      <c r="J68" s="10"/>
      <c r="K68" s="18"/>
      <c r="L68" s="10"/>
      <c r="M68" s="10"/>
      <c r="N68" s="10"/>
      <c r="O68" s="10"/>
    </row>
    <row r="69" spans="2:15" ht="20.25">
      <c r="B69" s="10"/>
      <c r="C69" s="14">
        <v>66</v>
      </c>
      <c r="D69" s="15" t="s">
        <v>143</v>
      </c>
      <c r="E69" s="14">
        <v>183</v>
      </c>
      <c r="F69" s="15">
        <f>_xlfn.XLOOKUP(D69,'Gemini Output'!B:B,'Gemini Output'!C:C,"No Match Yet")</f>
        <v>9</v>
      </c>
      <c r="G69" s="10" t="str">
        <f>_xlfn.XLOOKUP(D69,'Gemini Output'!B:B,'Gemini Output'!E:E,"No Match Yet")</f>
        <v>L1</v>
      </c>
      <c r="H69" s="10"/>
      <c r="I69" s="10"/>
      <c r="J69" s="10"/>
      <c r="K69" s="18"/>
      <c r="L69" s="10"/>
      <c r="M69" s="10"/>
      <c r="N69" s="10"/>
      <c r="O69" s="10"/>
    </row>
    <row r="70" spans="2:15" ht="20.25">
      <c r="B70" s="10"/>
      <c r="C70" s="14">
        <v>67</v>
      </c>
      <c r="D70" s="15" t="s">
        <v>144</v>
      </c>
      <c r="E70" s="14">
        <v>183</v>
      </c>
      <c r="F70" s="15">
        <f>_xlfn.XLOOKUP(D70,'Gemini Output'!B:B,'Gemini Output'!C:C,"No Match Yet")</f>
        <v>9</v>
      </c>
      <c r="G70" s="10" t="str">
        <f>_xlfn.XLOOKUP(D70,'Gemini Output'!B:B,'Gemini Output'!E:E,"No Match Yet")</f>
        <v>L1</v>
      </c>
      <c r="H70" s="10"/>
      <c r="I70" s="10"/>
      <c r="J70" s="10"/>
      <c r="K70" s="18" t="s">
        <v>1455</v>
      </c>
      <c r="L70" s="10"/>
      <c r="M70" s="10"/>
      <c r="N70" s="10"/>
      <c r="O70" s="10"/>
    </row>
    <row r="71" spans="2:15" ht="20.25">
      <c r="B71" s="10"/>
      <c r="C71" s="14">
        <v>68</v>
      </c>
      <c r="D71" s="15" t="s">
        <v>145</v>
      </c>
      <c r="E71" s="14">
        <v>176</v>
      </c>
      <c r="F71" s="15">
        <f>_xlfn.XLOOKUP(D71,'Gemini Output'!B:B,'Gemini Output'!C:C,"No Match Yet")</f>
        <v>13</v>
      </c>
      <c r="G71" s="10" t="str">
        <f>_xlfn.XLOOKUP(D71,'Gemini Output'!B:B,'Gemini Output'!E:E,"No Match Yet")</f>
        <v>L1</v>
      </c>
      <c r="H71" s="10"/>
      <c r="I71" s="10"/>
      <c r="J71" s="10"/>
      <c r="K71" s="18"/>
      <c r="L71" s="10"/>
      <c r="M71" s="10"/>
      <c r="N71" s="10"/>
      <c r="O71" s="10"/>
    </row>
    <row r="72" spans="2:15" ht="20.25">
      <c r="B72" s="10"/>
      <c r="C72" s="14">
        <v>69</v>
      </c>
      <c r="D72" s="15" t="s">
        <v>146</v>
      </c>
      <c r="E72" s="14">
        <v>175</v>
      </c>
      <c r="F72" s="15">
        <f>_xlfn.XLOOKUP(D72,'Gemini Output'!B:B,'Gemini Output'!C:C,"No Match Yet")</f>
        <v>12</v>
      </c>
      <c r="G72" s="10" t="str">
        <f>_xlfn.XLOOKUP(D72,'Gemini Output'!B:B,'Gemini Output'!E:E,"No Match Yet")</f>
        <v>L1</v>
      </c>
      <c r="H72" s="10"/>
      <c r="I72" s="10"/>
      <c r="J72" s="10"/>
      <c r="K72" s="18" t="s">
        <v>1456</v>
      </c>
      <c r="L72" s="10"/>
      <c r="M72" s="10"/>
      <c r="N72" s="10"/>
      <c r="O72" s="10"/>
    </row>
    <row r="73" spans="2:15" ht="20.25">
      <c r="B73" s="10"/>
      <c r="C73" s="14">
        <v>70</v>
      </c>
      <c r="D73" s="15" t="s">
        <v>147</v>
      </c>
      <c r="E73" s="14">
        <v>171</v>
      </c>
      <c r="F73" s="15">
        <f>_xlfn.XLOOKUP(D73,'Gemini Output'!B:B,'Gemini Output'!C:C,"No Match Yet")</f>
        <v>10</v>
      </c>
      <c r="G73" s="10" t="str">
        <f>_xlfn.XLOOKUP(D73,'Gemini Output'!B:B,'Gemini Output'!E:E,"No Match Yet")</f>
        <v>L1</v>
      </c>
      <c r="H73" s="10"/>
      <c r="I73" s="10"/>
      <c r="J73" s="10"/>
      <c r="K73" s="10"/>
      <c r="L73" s="10"/>
      <c r="M73" s="10"/>
      <c r="N73" s="10"/>
      <c r="O73" s="10"/>
    </row>
    <row r="74" spans="2:15" ht="20.25">
      <c r="B74" s="10"/>
      <c r="C74" s="14">
        <v>71</v>
      </c>
      <c r="D74" s="15" t="s">
        <v>148</v>
      </c>
      <c r="E74" s="14">
        <v>171</v>
      </c>
      <c r="F74" s="15">
        <f>_xlfn.XLOOKUP(D74,'Gemini Output'!B:B,'Gemini Output'!C:C,"No Match Yet")</f>
        <v>2</v>
      </c>
      <c r="G74" s="10" t="str">
        <f>_xlfn.XLOOKUP(D74,'Gemini Output'!B:B,'Gemini Output'!E:E,"No Match Yet")</f>
        <v>L2</v>
      </c>
      <c r="H74" s="10"/>
      <c r="I74" s="10"/>
      <c r="J74" s="10"/>
      <c r="K74" s="10" t="s">
        <v>1457</v>
      </c>
      <c r="L74" s="10"/>
      <c r="M74" s="10"/>
      <c r="N74" s="10"/>
      <c r="O74" s="10"/>
    </row>
    <row r="75" spans="2:15" ht="20.25">
      <c r="B75" s="10"/>
      <c r="C75" s="14">
        <v>72</v>
      </c>
      <c r="D75" s="15" t="s">
        <v>149</v>
      </c>
      <c r="E75" s="14">
        <v>171</v>
      </c>
      <c r="F75" s="15">
        <f>_xlfn.XLOOKUP(D75,'Gemini Output'!B:B,'Gemini Output'!C:C,"No Match Yet")</f>
        <v>4</v>
      </c>
      <c r="G75" s="10" t="str">
        <f>_xlfn.XLOOKUP(D75,'Gemini Output'!B:B,'Gemini Output'!E:E,"No Match Yet")</f>
        <v>L1</v>
      </c>
      <c r="H75" s="10"/>
      <c r="I75" s="10"/>
      <c r="J75" s="10"/>
      <c r="K75" s="10"/>
      <c r="L75" s="10"/>
      <c r="M75" s="10"/>
      <c r="N75" s="10"/>
      <c r="O75" s="10"/>
    </row>
    <row r="76" spans="2:15" ht="20.25">
      <c r="B76" s="10"/>
      <c r="C76" s="14">
        <v>73</v>
      </c>
      <c r="D76" s="15" t="s">
        <v>150</v>
      </c>
      <c r="E76" s="14">
        <v>170</v>
      </c>
      <c r="F76" s="15">
        <f>_xlfn.XLOOKUP(D76,'Gemini Output'!B:B,'Gemini Output'!C:C,"No Match Yet")</f>
        <v>12</v>
      </c>
      <c r="G76" s="10" t="str">
        <f>_xlfn.XLOOKUP(D76,'Gemini Output'!B:B,'Gemini Output'!E:E,"No Match Yet")</f>
        <v>L1</v>
      </c>
      <c r="H76" s="10"/>
      <c r="I76" s="10"/>
      <c r="J76" s="10"/>
      <c r="K76" s="10" t="s">
        <v>1458</v>
      </c>
      <c r="L76" s="10"/>
      <c r="M76" s="10"/>
      <c r="N76" s="10"/>
      <c r="O76" s="10"/>
    </row>
    <row r="77" spans="2:15" ht="20.25">
      <c r="B77" s="10"/>
      <c r="C77" s="14">
        <v>74</v>
      </c>
      <c r="D77" s="15" t="s">
        <v>151</v>
      </c>
      <c r="E77" s="14">
        <v>168</v>
      </c>
      <c r="F77" s="15">
        <f>_xlfn.XLOOKUP(D77,'Gemini Output'!B:B,'Gemini Output'!C:C,"No Match Yet")</f>
        <v>7</v>
      </c>
      <c r="G77" s="10" t="str">
        <f>_xlfn.XLOOKUP(D77,'Gemini Output'!B:B,'Gemini Output'!E:E,"No Match Yet")</f>
        <v>L1</v>
      </c>
      <c r="H77" s="10"/>
      <c r="I77" s="10"/>
      <c r="J77" s="10"/>
      <c r="K77" s="10"/>
      <c r="L77" s="10"/>
      <c r="M77" s="10"/>
      <c r="N77" s="10"/>
      <c r="O77" s="10"/>
    </row>
    <row r="78" spans="2:15" ht="20.25">
      <c r="B78" s="10"/>
      <c r="C78" s="14">
        <v>75</v>
      </c>
      <c r="D78" s="15" t="s">
        <v>152</v>
      </c>
      <c r="E78" s="14">
        <v>165</v>
      </c>
      <c r="F78" s="15">
        <f>_xlfn.XLOOKUP(D78,'Gemini Output'!B:B,'Gemini Output'!C:C,"No Match Yet")</f>
        <v>13</v>
      </c>
      <c r="G78" s="10" t="str">
        <f>_xlfn.XLOOKUP(D78,'Gemini Output'!B:B,'Gemini Output'!E:E,"No Match Yet")</f>
        <v>L1</v>
      </c>
      <c r="H78" s="10"/>
      <c r="I78" s="10"/>
      <c r="J78" s="10"/>
      <c r="K78" s="10" t="s">
        <v>1459</v>
      </c>
      <c r="L78" s="10"/>
      <c r="M78" s="10"/>
      <c r="N78" s="10"/>
      <c r="O78" s="10"/>
    </row>
    <row r="79" spans="2:15" ht="20.25">
      <c r="B79" s="10"/>
      <c r="C79" s="14">
        <v>76</v>
      </c>
      <c r="D79" s="15" t="s">
        <v>153</v>
      </c>
      <c r="E79" s="14">
        <v>162</v>
      </c>
      <c r="F79" s="15">
        <f>_xlfn.XLOOKUP(D79,'Gemini Output'!B:B,'Gemini Output'!C:C,"No Match Yet")</f>
        <v>5</v>
      </c>
      <c r="G79" s="10" t="str">
        <f>_xlfn.XLOOKUP(D79,'Gemini Output'!B:B,'Gemini Output'!E:E,"No Match Yet")</f>
        <v>L1</v>
      </c>
      <c r="H79" s="10"/>
      <c r="I79" s="10"/>
      <c r="J79" s="10"/>
      <c r="K79" s="10"/>
      <c r="L79" s="10"/>
      <c r="M79" s="10"/>
      <c r="N79" s="10"/>
      <c r="O79" s="10"/>
    </row>
    <row r="80" spans="2:15" ht="20.25">
      <c r="B80" s="10"/>
      <c r="C80" s="14">
        <v>77</v>
      </c>
      <c r="D80" s="15" t="s">
        <v>154</v>
      </c>
      <c r="E80" s="14">
        <v>161</v>
      </c>
      <c r="F80" s="15">
        <f>_xlfn.XLOOKUP(D80,'Gemini Output'!B:B,'Gemini Output'!C:C,"No Match Yet")</f>
        <v>13</v>
      </c>
      <c r="G80" s="10" t="str">
        <f>_xlfn.XLOOKUP(D80,'Gemini Output'!B:B,'Gemini Output'!E:E,"No Match Yet")</f>
        <v>L1</v>
      </c>
      <c r="H80" s="10"/>
      <c r="I80" s="10"/>
      <c r="J80" s="10"/>
      <c r="K80" s="10" t="s">
        <v>1460</v>
      </c>
      <c r="L80" s="10"/>
      <c r="M80" s="10"/>
      <c r="N80" s="10"/>
      <c r="O80" s="10"/>
    </row>
    <row r="81" spans="2:15" ht="20.25">
      <c r="B81" s="10"/>
      <c r="C81" s="14">
        <v>78</v>
      </c>
      <c r="D81" s="15" t="s">
        <v>155</v>
      </c>
      <c r="E81" s="14">
        <v>160</v>
      </c>
      <c r="F81" s="15">
        <f>_xlfn.XLOOKUP(D81,'Gemini Output'!B:B,'Gemini Output'!C:C,"No Match Yet")</f>
        <v>3</v>
      </c>
      <c r="G81" s="10" t="str">
        <f>_xlfn.XLOOKUP(D81,'Gemini Output'!B:B,'Gemini Output'!E:E,"No Match Yet")</f>
        <v>L1</v>
      </c>
      <c r="H81" s="10"/>
      <c r="I81" s="10"/>
      <c r="J81" s="10"/>
      <c r="K81" s="10"/>
      <c r="L81" s="10"/>
      <c r="M81" s="10"/>
      <c r="N81" s="10"/>
      <c r="O81" s="10"/>
    </row>
    <row r="82" spans="2:15" ht="20.25">
      <c r="B82" s="10"/>
      <c r="C82" s="14">
        <v>79</v>
      </c>
      <c r="D82" s="15" t="s">
        <v>156</v>
      </c>
      <c r="E82" s="14">
        <v>160</v>
      </c>
      <c r="F82" s="15">
        <f>_xlfn.XLOOKUP(D82,'Gemini Output'!B:B,'Gemini Output'!C:C,"No Match Yet")</f>
        <v>2</v>
      </c>
      <c r="G82" s="10" t="str">
        <f>_xlfn.XLOOKUP(D82,'Gemini Output'!B:B,'Gemini Output'!E:E,"No Match Yet")</f>
        <v>L1</v>
      </c>
      <c r="H82" s="10"/>
      <c r="I82" s="10"/>
      <c r="J82" s="10"/>
      <c r="K82" s="10" t="s">
        <v>1461</v>
      </c>
      <c r="L82" s="10"/>
      <c r="M82" s="10"/>
      <c r="N82" s="10"/>
      <c r="O82" s="10"/>
    </row>
    <row r="83" spans="2:15" ht="20.25">
      <c r="B83" s="10"/>
      <c r="C83" s="14">
        <v>80</v>
      </c>
      <c r="D83" s="15" t="s">
        <v>157</v>
      </c>
      <c r="E83" s="14">
        <v>153</v>
      </c>
      <c r="F83" s="15">
        <f>_xlfn.XLOOKUP(D83,'Gemini Output'!B:B,'Gemini Output'!C:C,"No Match Yet")</f>
        <v>6</v>
      </c>
      <c r="G83" s="10" t="str">
        <f>_xlfn.XLOOKUP(D83,'Gemini Output'!B:B,'Gemini Output'!E:E,"No Match Yet")</f>
        <v>L1</v>
      </c>
      <c r="H83" s="10"/>
      <c r="I83" s="10"/>
      <c r="J83" s="10"/>
      <c r="K83" s="10"/>
      <c r="L83" s="10"/>
      <c r="M83" s="10"/>
      <c r="N83" s="10"/>
      <c r="O83" s="10"/>
    </row>
    <row r="84" spans="2:15" ht="20.25">
      <c r="B84" s="10"/>
      <c r="C84" s="14">
        <v>81</v>
      </c>
      <c r="D84" s="15" t="s">
        <v>158</v>
      </c>
      <c r="E84" s="14">
        <v>150</v>
      </c>
      <c r="F84" s="15">
        <f>_xlfn.XLOOKUP(D84,'Gemini Output'!B:B,'Gemini Output'!C:C,"No Match Yet")</f>
        <v>3</v>
      </c>
      <c r="G84" s="10" t="str">
        <f>_xlfn.XLOOKUP(D84,'Gemini Output'!B:B,'Gemini Output'!E:E,"No Match Yet")</f>
        <v>L1</v>
      </c>
      <c r="H84" s="10"/>
      <c r="I84" s="10"/>
      <c r="J84" s="10"/>
      <c r="K84" s="10" t="s">
        <v>1462</v>
      </c>
      <c r="L84" s="10"/>
      <c r="M84" s="10"/>
      <c r="N84" s="10"/>
      <c r="O84" s="10"/>
    </row>
    <row r="85" spans="2:15" ht="20.25">
      <c r="B85" s="10"/>
      <c r="C85" s="14">
        <v>82</v>
      </c>
      <c r="D85" s="15" t="s">
        <v>159</v>
      </c>
      <c r="E85" s="14">
        <v>149</v>
      </c>
      <c r="F85" s="15">
        <f>_xlfn.XLOOKUP(D85,'Gemini Output'!B:B,'Gemini Output'!C:C,"No Match Yet")</f>
        <v>8</v>
      </c>
      <c r="G85" s="10" t="str">
        <f>_xlfn.XLOOKUP(D85,'Gemini Output'!B:B,'Gemini Output'!E:E,"No Match Yet")</f>
        <v>L1</v>
      </c>
      <c r="H85" s="10"/>
      <c r="I85" s="10"/>
      <c r="J85" s="10"/>
      <c r="K85" s="10"/>
      <c r="L85" s="10"/>
      <c r="M85" s="10"/>
      <c r="N85" s="10"/>
      <c r="O85" s="10"/>
    </row>
    <row r="86" spans="2:15" ht="20.25">
      <c r="B86" s="10"/>
      <c r="C86" s="14">
        <v>83</v>
      </c>
      <c r="D86" s="15" t="s">
        <v>160</v>
      </c>
      <c r="E86" s="14">
        <v>147</v>
      </c>
      <c r="F86" s="15">
        <f>_xlfn.XLOOKUP(D86,'Gemini Output'!B:B,'Gemini Output'!C:C,"No Match Yet")</f>
        <v>12</v>
      </c>
      <c r="G86" s="10" t="str">
        <f>_xlfn.XLOOKUP(D86,'Gemini Output'!B:B,'Gemini Output'!E:E,"No Match Yet")</f>
        <v>L1</v>
      </c>
      <c r="H86" s="10"/>
      <c r="I86" s="10"/>
      <c r="J86" s="10"/>
      <c r="K86" s="10" t="s">
        <v>1463</v>
      </c>
      <c r="L86" s="10"/>
      <c r="M86" s="10"/>
      <c r="N86" s="10"/>
      <c r="O86" s="10"/>
    </row>
    <row r="87" spans="2:15" ht="20.25">
      <c r="B87" s="10"/>
      <c r="C87" s="14">
        <v>84</v>
      </c>
      <c r="D87" s="15" t="s">
        <v>161</v>
      </c>
      <c r="E87" s="14">
        <v>144</v>
      </c>
      <c r="F87" s="15">
        <f>_xlfn.XLOOKUP(D87,'Gemini Output'!B:B,'Gemini Output'!C:C,"No Match Yet")</f>
        <v>1</v>
      </c>
      <c r="G87" s="10" t="str">
        <f>_xlfn.XLOOKUP(D87,'Gemini Output'!B:B,'Gemini Output'!E:E,"No Match Yet")</f>
        <v>L1</v>
      </c>
      <c r="H87" s="10"/>
      <c r="I87" s="10"/>
      <c r="J87" s="10"/>
      <c r="K87" s="10"/>
      <c r="L87" s="10"/>
      <c r="M87" s="10"/>
      <c r="N87" s="10"/>
      <c r="O87" s="10"/>
    </row>
    <row r="88" spans="2:15" ht="20.25">
      <c r="B88" s="10"/>
      <c r="C88" s="14">
        <v>85</v>
      </c>
      <c r="D88" s="15" t="s">
        <v>162</v>
      </c>
      <c r="E88" s="14">
        <v>142</v>
      </c>
      <c r="F88" s="15">
        <f>_xlfn.XLOOKUP(D88,'Gemini Output'!B:B,'Gemini Output'!C:C,"No Match Yet")</f>
        <v>8</v>
      </c>
      <c r="G88" s="10" t="str">
        <f>_xlfn.XLOOKUP(D88,'Gemini Output'!B:B,'Gemini Output'!E:E,"No Match Yet")</f>
        <v>L1</v>
      </c>
      <c r="H88" s="10"/>
      <c r="I88" s="10"/>
      <c r="J88" s="10"/>
      <c r="K88" s="10" t="s">
        <v>1464</v>
      </c>
      <c r="L88" s="10"/>
      <c r="M88" s="10"/>
      <c r="N88" s="10"/>
      <c r="O88" s="10"/>
    </row>
    <row r="89" spans="2:15" ht="20.25">
      <c r="B89" s="10"/>
      <c r="C89" s="14">
        <v>86</v>
      </c>
      <c r="D89" s="15" t="s">
        <v>163</v>
      </c>
      <c r="E89" s="14">
        <v>140</v>
      </c>
      <c r="F89" s="15">
        <f>_xlfn.XLOOKUP(D89,'Gemini Output'!B:B,'Gemini Output'!C:C,"No Match Yet")</f>
        <v>2</v>
      </c>
      <c r="G89" s="10" t="str">
        <f>_xlfn.XLOOKUP(D89,'Gemini Output'!B:B,'Gemini Output'!E:E,"No Match Yet")</f>
        <v>L2</v>
      </c>
      <c r="H89" s="10"/>
      <c r="I89" s="10"/>
      <c r="J89" s="10"/>
      <c r="K89" s="10"/>
      <c r="L89" s="10"/>
      <c r="M89" s="10"/>
      <c r="N89" s="10"/>
      <c r="O89" s="10"/>
    </row>
    <row r="90" spans="2:15" ht="20.25">
      <c r="B90" s="10"/>
      <c r="C90" s="14">
        <v>87</v>
      </c>
      <c r="D90" s="15" t="s">
        <v>164</v>
      </c>
      <c r="E90" s="14">
        <v>137</v>
      </c>
      <c r="F90" s="15">
        <f>_xlfn.XLOOKUP(D90,'Gemini Output'!B:B,'Gemini Output'!C:C,"No Match Yet")</f>
        <v>4</v>
      </c>
      <c r="G90" s="10" t="str">
        <f>_xlfn.XLOOKUP(D90,'Gemini Output'!B:B,'Gemini Output'!E:E,"No Match Yet")</f>
        <v>L2</v>
      </c>
      <c r="H90" s="10"/>
      <c r="I90" s="10"/>
      <c r="J90" s="10"/>
      <c r="K90" s="10" t="s">
        <v>1465</v>
      </c>
      <c r="L90" s="10"/>
      <c r="M90" s="10"/>
      <c r="N90" s="10"/>
      <c r="O90" s="10"/>
    </row>
    <row r="91" spans="2:15" ht="20.25">
      <c r="B91" s="10"/>
      <c r="C91" s="14">
        <v>88</v>
      </c>
      <c r="D91" s="15" t="s">
        <v>165</v>
      </c>
      <c r="E91" s="14">
        <v>137</v>
      </c>
      <c r="F91" s="15">
        <f>_xlfn.XLOOKUP(D91,'Gemini Output'!B:B,'Gemini Output'!C:C,"No Match Yet")</f>
        <v>12</v>
      </c>
      <c r="G91" s="10" t="str">
        <f>_xlfn.XLOOKUP(D91,'Gemini Output'!B:B,'Gemini Output'!E:E,"No Match Yet")</f>
        <v>L1</v>
      </c>
      <c r="H91" s="10"/>
      <c r="I91" s="10"/>
      <c r="J91" s="10"/>
      <c r="K91" s="10"/>
      <c r="L91" s="10"/>
      <c r="M91" s="10"/>
      <c r="N91" s="10"/>
      <c r="O91" s="10"/>
    </row>
    <row r="92" spans="2:15" ht="20.25">
      <c r="B92" s="10"/>
      <c r="C92" s="14">
        <v>89</v>
      </c>
      <c r="D92" s="15" t="s">
        <v>166</v>
      </c>
      <c r="E92" s="14">
        <v>136</v>
      </c>
      <c r="F92" s="15">
        <f>_xlfn.XLOOKUP(D92,'Gemini Output'!B:B,'Gemini Output'!C:C,"No Match Yet")</f>
        <v>6</v>
      </c>
      <c r="G92" s="10" t="str">
        <f>_xlfn.XLOOKUP(D92,'Gemini Output'!B:B,'Gemini Output'!E:E,"No Match Yet")</f>
        <v>L1</v>
      </c>
      <c r="H92" s="10"/>
      <c r="I92" s="10"/>
      <c r="J92" s="10"/>
      <c r="K92" s="10" t="s">
        <v>1466</v>
      </c>
      <c r="L92" s="10"/>
      <c r="M92" s="10"/>
      <c r="N92" s="10"/>
      <c r="O92" s="10"/>
    </row>
    <row r="93" spans="2:15" ht="20.25">
      <c r="B93" s="10"/>
      <c r="C93" s="14">
        <v>90</v>
      </c>
      <c r="D93" s="15" t="s">
        <v>167</v>
      </c>
      <c r="E93" s="14">
        <v>135</v>
      </c>
      <c r="F93" s="15">
        <f>_xlfn.XLOOKUP(D93,'Gemini Output'!B:B,'Gemini Output'!C:C,"No Match Yet")</f>
        <v>11</v>
      </c>
      <c r="G93" s="10" t="str">
        <f>_xlfn.XLOOKUP(D93,'Gemini Output'!B:B,'Gemini Output'!E:E,"No Match Yet")</f>
        <v>L1</v>
      </c>
      <c r="H93" s="10"/>
      <c r="I93" s="10"/>
      <c r="J93" s="10"/>
      <c r="K93" s="10"/>
      <c r="L93" s="10"/>
      <c r="M93" s="10"/>
      <c r="N93" s="10"/>
      <c r="O93" s="10"/>
    </row>
    <row r="94" spans="2:15" ht="20.25">
      <c r="B94" s="10"/>
      <c r="C94" s="14">
        <v>91</v>
      </c>
      <c r="D94" s="15" t="s">
        <v>168</v>
      </c>
      <c r="E94" s="14">
        <v>134</v>
      </c>
      <c r="F94" s="15">
        <f>_xlfn.XLOOKUP(D94,'Gemini Output'!B:B,'Gemini Output'!C:C,"No Match Yet")</f>
        <v>13</v>
      </c>
      <c r="G94" s="10" t="str">
        <f>_xlfn.XLOOKUP(D94,'Gemini Output'!B:B,'Gemini Output'!E:E,"No Match Yet")</f>
        <v>L1</v>
      </c>
      <c r="H94" s="10"/>
      <c r="I94" s="10"/>
      <c r="J94" s="10"/>
      <c r="K94" s="10" t="s">
        <v>1467</v>
      </c>
      <c r="L94" s="10"/>
      <c r="M94" s="10"/>
      <c r="N94" s="10"/>
      <c r="O94" s="10"/>
    </row>
    <row r="95" spans="2:15" ht="20.25">
      <c r="B95" s="10"/>
      <c r="C95" s="14">
        <v>92</v>
      </c>
      <c r="D95" s="15" t="s">
        <v>169</v>
      </c>
      <c r="E95" s="14">
        <v>134</v>
      </c>
      <c r="F95" s="15">
        <f>_xlfn.XLOOKUP(D95,'Gemini Output'!B:B,'Gemini Output'!C:C,"No Match Yet")</f>
        <v>9</v>
      </c>
      <c r="G95" s="10" t="str">
        <f>_xlfn.XLOOKUP(D95,'Gemini Output'!B:B,'Gemini Output'!E:E,"No Match Yet")</f>
        <v>L1</v>
      </c>
      <c r="H95" s="10"/>
      <c r="I95" s="10"/>
      <c r="J95" s="10"/>
      <c r="K95" s="10"/>
      <c r="L95" s="10"/>
      <c r="M95" s="10"/>
      <c r="N95" s="10"/>
      <c r="O95" s="10"/>
    </row>
    <row r="96" spans="2:15" ht="20.25">
      <c r="B96" s="10"/>
      <c r="C96" s="14">
        <v>93</v>
      </c>
      <c r="D96" s="15" t="s">
        <v>170</v>
      </c>
      <c r="E96" s="14">
        <v>134</v>
      </c>
      <c r="F96" s="15">
        <f>_xlfn.XLOOKUP(D96,'Gemini Output'!B:B,'Gemini Output'!C:C,"No Match Yet")</f>
        <v>9</v>
      </c>
      <c r="G96" s="10" t="str">
        <f>_xlfn.XLOOKUP(D96,'Gemini Output'!B:B,'Gemini Output'!E:E,"No Match Yet")</f>
        <v>L2</v>
      </c>
      <c r="H96" s="10"/>
      <c r="I96" s="10"/>
      <c r="J96" s="10"/>
      <c r="K96" s="10" t="s">
        <v>1468</v>
      </c>
      <c r="L96" s="10"/>
      <c r="M96" s="10"/>
      <c r="N96" s="10"/>
      <c r="O96" s="10"/>
    </row>
    <row r="97" spans="2:15" ht="20.25">
      <c r="B97" s="10"/>
      <c r="C97" s="14">
        <v>94</v>
      </c>
      <c r="D97" s="15" t="s">
        <v>171</v>
      </c>
      <c r="E97" s="14">
        <v>134</v>
      </c>
      <c r="F97" s="15">
        <f>_xlfn.XLOOKUP(D97,'Gemini Output'!B:B,'Gemini Output'!C:C,"No Match Yet")</f>
        <v>15</v>
      </c>
      <c r="G97" s="10" t="str">
        <f>_xlfn.XLOOKUP(D97,'Gemini Output'!B:B,'Gemini Output'!E:E,"No Match Yet")</f>
        <v>L1</v>
      </c>
      <c r="H97" s="10"/>
      <c r="I97" s="10"/>
      <c r="J97" s="10"/>
      <c r="K97" s="10"/>
      <c r="L97" s="10"/>
      <c r="M97" s="10"/>
      <c r="N97" s="10"/>
      <c r="O97" s="10"/>
    </row>
    <row r="98" spans="2:15" ht="20.25">
      <c r="B98" s="10"/>
      <c r="C98" s="14">
        <v>95</v>
      </c>
      <c r="D98" s="15" t="s">
        <v>172</v>
      </c>
      <c r="E98" s="14">
        <v>133</v>
      </c>
      <c r="F98" s="15">
        <f>_xlfn.XLOOKUP(D98,'Gemini Output'!B:B,'Gemini Output'!C:C,"No Match Yet")</f>
        <v>8</v>
      </c>
      <c r="G98" s="10" t="str">
        <f>_xlfn.XLOOKUP(D98,'Gemini Output'!B:B,'Gemini Output'!E:E,"No Match Yet")</f>
        <v>L1</v>
      </c>
      <c r="H98" s="10"/>
      <c r="I98" s="10"/>
      <c r="J98" s="10"/>
      <c r="K98" s="10" t="s">
        <v>1469</v>
      </c>
      <c r="L98" s="10"/>
      <c r="M98" s="10"/>
      <c r="N98" s="10"/>
      <c r="O98" s="10"/>
    </row>
    <row r="99" spans="2:15" ht="20.25">
      <c r="B99" s="10"/>
      <c r="C99" s="14">
        <v>96</v>
      </c>
      <c r="D99" s="15" t="s">
        <v>173</v>
      </c>
      <c r="E99" s="14">
        <v>132</v>
      </c>
      <c r="F99" s="15">
        <f>_xlfn.XLOOKUP(D99,'Gemini Output'!B:B,'Gemini Output'!C:C,"No Match Yet")</f>
        <v>9</v>
      </c>
      <c r="G99" s="10" t="str">
        <f>_xlfn.XLOOKUP(D99,'Gemini Output'!B:B,'Gemini Output'!E:E,"No Match Yet")</f>
        <v>L1</v>
      </c>
      <c r="H99" s="10"/>
      <c r="I99" s="10"/>
      <c r="J99" s="10"/>
      <c r="K99" s="10"/>
      <c r="L99" s="10"/>
      <c r="M99" s="10"/>
      <c r="N99" s="10"/>
      <c r="O99" s="10"/>
    </row>
    <row r="100" spans="2:15" ht="20.25">
      <c r="B100" s="10"/>
      <c r="C100" s="14">
        <v>97</v>
      </c>
      <c r="D100" s="15" t="s">
        <v>174</v>
      </c>
      <c r="E100" s="14">
        <v>132</v>
      </c>
      <c r="F100" s="15">
        <f>_xlfn.XLOOKUP(D100,'Gemini Output'!B:B,'Gemini Output'!C:C,"No Match Yet")</f>
        <v>6</v>
      </c>
      <c r="G100" s="10" t="str">
        <f>_xlfn.XLOOKUP(D100,'Gemini Output'!B:B,'Gemini Output'!E:E,"No Match Yet")</f>
        <v>L1</v>
      </c>
      <c r="H100" s="10"/>
      <c r="I100" s="10"/>
      <c r="J100" s="10"/>
      <c r="K100" s="10" t="s">
        <v>1470</v>
      </c>
      <c r="L100" s="10"/>
      <c r="M100" s="10"/>
      <c r="N100" s="10"/>
      <c r="O100" s="10"/>
    </row>
    <row r="101" spans="2:15" ht="20.25">
      <c r="B101" s="10"/>
      <c r="C101" s="14">
        <v>98</v>
      </c>
      <c r="D101" s="15" t="s">
        <v>175</v>
      </c>
      <c r="E101" s="14">
        <v>131</v>
      </c>
      <c r="F101" s="15">
        <f>_xlfn.XLOOKUP(D101,'Gemini Output'!B:B,'Gemini Output'!C:C,"No Match Yet")</f>
        <v>8</v>
      </c>
      <c r="G101" s="10" t="str">
        <f>_xlfn.XLOOKUP(D101,'Gemini Output'!B:B,'Gemini Output'!E:E,"No Match Yet")</f>
        <v>L1</v>
      </c>
      <c r="H101" s="10"/>
      <c r="I101" s="10"/>
      <c r="J101" s="10"/>
      <c r="K101" s="10"/>
      <c r="L101" s="10"/>
      <c r="M101" s="10"/>
      <c r="N101" s="10"/>
      <c r="O101" s="10"/>
    </row>
    <row r="102" spans="2:15" ht="20.25">
      <c r="B102" s="10"/>
      <c r="C102" s="14">
        <v>99</v>
      </c>
      <c r="D102" s="15" t="s">
        <v>176</v>
      </c>
      <c r="E102" s="14">
        <v>127</v>
      </c>
      <c r="F102" s="15">
        <f>_xlfn.XLOOKUP(D102,'Gemini Output'!B:B,'Gemini Output'!C:C,"No Match Yet")</f>
        <v>5</v>
      </c>
      <c r="G102" s="10" t="str">
        <f>_xlfn.XLOOKUP(D102,'Gemini Output'!B:B,'Gemini Output'!E:E,"No Match Yet")</f>
        <v>L2</v>
      </c>
      <c r="H102" s="10"/>
      <c r="I102" s="10"/>
      <c r="J102" s="10"/>
      <c r="K102" s="10" t="s">
        <v>1471</v>
      </c>
      <c r="L102" s="10"/>
      <c r="M102" s="10"/>
      <c r="N102" s="10"/>
      <c r="O102" s="10"/>
    </row>
    <row r="103" spans="2:15" ht="20.25">
      <c r="B103" s="10"/>
      <c r="C103" s="14">
        <v>100</v>
      </c>
      <c r="D103" s="15" t="s">
        <v>177</v>
      </c>
      <c r="E103" s="14">
        <v>126</v>
      </c>
      <c r="F103" s="15">
        <f>_xlfn.XLOOKUP(D103,'Gemini Output'!B:B,'Gemini Output'!C:C,"No Match Yet")</f>
        <v>12</v>
      </c>
      <c r="G103" s="27" t="str">
        <f>_xlfn.XLOOKUP(D103,'Gemini Output'!B:B,'Gemini Output'!E:E,"No Match Yet")</f>
        <v>L1</v>
      </c>
      <c r="H103" s="10"/>
      <c r="I103" s="10"/>
      <c r="J103" s="10"/>
      <c r="K103" s="10"/>
      <c r="L103" s="10"/>
      <c r="M103" s="10"/>
      <c r="N103" s="10"/>
      <c r="O103" s="10"/>
    </row>
    <row r="104" spans="2:15" ht="20.25">
      <c r="B104" s="10"/>
      <c r="C104" s="14">
        <v>101</v>
      </c>
      <c r="D104" s="15" t="s">
        <v>178</v>
      </c>
      <c r="E104" s="14">
        <v>125</v>
      </c>
      <c r="F104" s="15">
        <f>_xlfn.XLOOKUP(D104,'Gemini Output'!B:B,'Gemini Output'!C:C,"No Match Yet")</f>
        <v>13</v>
      </c>
      <c r="G104" s="27" t="str">
        <f>_xlfn.XLOOKUP(D104,'Gemini Output'!B:B,'Gemini Output'!E:E,"No Match Yet")</f>
        <v>L1</v>
      </c>
      <c r="H104" s="10"/>
      <c r="I104" s="10"/>
      <c r="J104" s="10"/>
      <c r="K104" s="10" t="s">
        <v>1472</v>
      </c>
      <c r="L104" s="10"/>
      <c r="M104" s="10"/>
      <c r="N104" s="10"/>
      <c r="O104" s="10"/>
    </row>
    <row r="105" spans="2:15" ht="20.25">
      <c r="B105" s="10"/>
      <c r="C105" s="14">
        <v>102</v>
      </c>
      <c r="D105" s="15" t="s">
        <v>179</v>
      </c>
      <c r="E105" s="14">
        <v>124</v>
      </c>
      <c r="F105" s="15">
        <f>_xlfn.XLOOKUP(D105,'Gemini Output'!B:B,'Gemini Output'!C:C,"No Match Yet")</f>
        <v>8</v>
      </c>
      <c r="G105" s="27" t="str">
        <f>_xlfn.XLOOKUP(D105,'Gemini Output'!B:B,'Gemini Output'!E:E,"No Match Yet")</f>
        <v>L1</v>
      </c>
      <c r="H105" s="10"/>
      <c r="I105" s="10"/>
      <c r="J105" s="10"/>
      <c r="K105" s="10"/>
      <c r="L105" s="10"/>
      <c r="M105" s="10"/>
      <c r="N105" s="10"/>
      <c r="O105" s="10"/>
    </row>
    <row r="106" spans="2:15" ht="20.25">
      <c r="B106" s="10"/>
      <c r="C106" s="14">
        <v>103</v>
      </c>
      <c r="D106" s="15" t="s">
        <v>180</v>
      </c>
      <c r="E106" s="14">
        <v>123</v>
      </c>
      <c r="F106" s="15">
        <f>_xlfn.XLOOKUP(D106,'Gemini Output'!B:B,'Gemini Output'!C:C,"No Match Yet")</f>
        <v>12</v>
      </c>
      <c r="G106" s="27" t="str">
        <f>_xlfn.XLOOKUP(D106,'Gemini Output'!B:B,'Gemini Output'!E:E,"No Match Yet")</f>
        <v>L1</v>
      </c>
      <c r="H106" s="10"/>
      <c r="I106" s="10"/>
      <c r="J106" s="10"/>
      <c r="K106" s="10"/>
      <c r="L106" s="10"/>
      <c r="M106" s="10"/>
      <c r="N106" s="10"/>
      <c r="O106" s="10"/>
    </row>
    <row r="107" spans="2:15" ht="20.25">
      <c r="B107" s="10"/>
      <c r="C107" s="14">
        <v>104</v>
      </c>
      <c r="D107" s="15" t="s">
        <v>181</v>
      </c>
      <c r="E107" s="14">
        <v>122</v>
      </c>
      <c r="F107" s="15">
        <f>_xlfn.XLOOKUP(D107,'Gemini Output'!B:B,'Gemini Output'!C:C,"No Match Yet")</f>
        <v>13</v>
      </c>
      <c r="G107" s="27" t="str">
        <f>_xlfn.XLOOKUP(D107,'Gemini Output'!B:B,'Gemini Output'!E:E,"No Match Yet")</f>
        <v>L1</v>
      </c>
      <c r="H107" s="10"/>
      <c r="I107" s="10"/>
      <c r="J107" s="10"/>
      <c r="K107" s="10"/>
      <c r="L107" s="10"/>
      <c r="M107" s="10"/>
      <c r="N107" s="10"/>
      <c r="O107" s="10"/>
    </row>
    <row r="108" spans="2:15" ht="20.25">
      <c r="B108" s="10"/>
      <c r="C108" s="14">
        <v>105</v>
      </c>
      <c r="D108" s="15" t="s">
        <v>182</v>
      </c>
      <c r="E108" s="14">
        <v>121</v>
      </c>
      <c r="F108" s="15">
        <f>_xlfn.XLOOKUP(D108,'Gemini Output'!B:B,'Gemini Output'!C:C,"No Match Yet")</f>
        <v>1</v>
      </c>
      <c r="G108" s="27" t="str">
        <f>_xlfn.XLOOKUP(D108,'Gemini Output'!B:B,'Gemini Output'!E:E,"No Match Yet")</f>
        <v>L1</v>
      </c>
      <c r="H108" s="10"/>
      <c r="I108" s="10"/>
      <c r="J108" s="10"/>
      <c r="K108" s="10" t="s">
        <v>1473</v>
      </c>
      <c r="L108" s="10"/>
      <c r="M108" s="10"/>
      <c r="N108" s="10"/>
      <c r="O108" s="10"/>
    </row>
    <row r="109" spans="2:15" ht="20.25">
      <c r="B109" s="10"/>
      <c r="C109" s="14">
        <v>106</v>
      </c>
      <c r="D109" s="15" t="s">
        <v>183</v>
      </c>
      <c r="E109" s="14">
        <v>120</v>
      </c>
      <c r="F109" s="15">
        <f>_xlfn.XLOOKUP(D109,'Gemini Output'!B:B,'Gemini Output'!C:C,"No Match Yet")</f>
        <v>9</v>
      </c>
      <c r="G109" s="27" t="str">
        <f>_xlfn.XLOOKUP(D109,'Gemini Output'!B:B,'Gemini Output'!E:E,"No Match Yet")</f>
        <v>L1</v>
      </c>
      <c r="H109" s="10"/>
      <c r="I109" s="10"/>
      <c r="J109" s="10"/>
      <c r="K109" s="10"/>
      <c r="L109" s="10"/>
      <c r="M109" s="10"/>
      <c r="N109" s="10"/>
      <c r="O109" s="10"/>
    </row>
    <row r="110" spans="2:15" ht="20.25">
      <c r="B110" s="10"/>
      <c r="C110" s="14">
        <v>107</v>
      </c>
      <c r="D110" s="15" t="s">
        <v>184</v>
      </c>
      <c r="E110" s="14">
        <v>120</v>
      </c>
      <c r="F110" s="15">
        <f>_xlfn.XLOOKUP(D110,'Gemini Output'!B:B,'Gemini Output'!C:C,"No Match Yet")</f>
        <v>12</v>
      </c>
      <c r="G110" s="27" t="str">
        <f>_xlfn.XLOOKUP(D110,'Gemini Output'!B:B,'Gemini Output'!E:E,"No Match Yet")</f>
        <v>L1</v>
      </c>
      <c r="H110" s="10"/>
      <c r="I110" s="10"/>
      <c r="J110" s="10"/>
      <c r="K110" s="10" t="s">
        <v>1474</v>
      </c>
      <c r="L110" s="10"/>
      <c r="M110" s="10"/>
      <c r="N110" s="10"/>
      <c r="O110" s="10"/>
    </row>
    <row r="111" spans="2:15" ht="20.25">
      <c r="B111" s="10"/>
      <c r="C111" s="14">
        <v>108</v>
      </c>
      <c r="D111" s="15" t="s">
        <v>185</v>
      </c>
      <c r="E111" s="14">
        <v>119</v>
      </c>
      <c r="F111" s="15">
        <f>_xlfn.XLOOKUP(D111,'Gemini Output'!B:B,'Gemini Output'!C:C,"No Match Yet")</f>
        <v>13</v>
      </c>
      <c r="G111" s="27" t="str">
        <f>_xlfn.XLOOKUP(D111,'Gemini Output'!B:B,'Gemini Output'!E:E,"No Match Yet")</f>
        <v>L1</v>
      </c>
      <c r="H111" s="10"/>
      <c r="I111" s="10"/>
      <c r="J111" s="10"/>
      <c r="K111" s="10"/>
      <c r="L111" s="10"/>
      <c r="M111" s="10"/>
      <c r="N111" s="10"/>
      <c r="O111" s="10"/>
    </row>
    <row r="112" spans="2:15" ht="20.25">
      <c r="B112" s="10"/>
      <c r="C112" s="14">
        <v>109</v>
      </c>
      <c r="D112" s="15" t="s">
        <v>186</v>
      </c>
      <c r="E112" s="14">
        <v>117</v>
      </c>
      <c r="F112" s="15">
        <f>_xlfn.XLOOKUP(D112,'Gemini Output'!B:B,'Gemini Output'!C:C,"No Match Yet")</f>
        <v>13</v>
      </c>
      <c r="G112" s="27" t="str">
        <f>_xlfn.XLOOKUP(D112,'Gemini Output'!B:B,'Gemini Output'!E:E,"No Match Yet")</f>
        <v>L1</v>
      </c>
      <c r="H112" s="10"/>
      <c r="I112" s="10"/>
      <c r="J112" s="10"/>
      <c r="K112" s="10" t="s">
        <v>1457</v>
      </c>
      <c r="L112" s="10"/>
      <c r="M112" s="10"/>
      <c r="N112" s="10"/>
      <c r="O112" s="10"/>
    </row>
    <row r="113" spans="2:15" ht="20.25">
      <c r="B113" s="10"/>
      <c r="C113" s="14">
        <v>110</v>
      </c>
      <c r="D113" s="15" t="s">
        <v>187</v>
      </c>
      <c r="E113" s="14">
        <v>117</v>
      </c>
      <c r="F113" s="15">
        <f>_xlfn.XLOOKUP(D113,'Gemini Output'!B:B,'Gemini Output'!C:C,"No Match Yet")</f>
        <v>7</v>
      </c>
      <c r="G113" s="27" t="str">
        <f>_xlfn.XLOOKUP(D113,'Gemini Output'!B:B,'Gemini Output'!E:E,"No Match Yet")</f>
        <v>L2</v>
      </c>
      <c r="H113" s="10"/>
      <c r="I113" s="10"/>
      <c r="J113" s="10"/>
      <c r="K113" s="10"/>
      <c r="L113" s="10"/>
      <c r="M113" s="10"/>
      <c r="N113" s="10"/>
      <c r="O113" s="10"/>
    </row>
    <row r="114" spans="2:15" ht="20.25">
      <c r="B114" s="10"/>
      <c r="C114" s="14">
        <v>111</v>
      </c>
      <c r="D114" s="15" t="s">
        <v>188</v>
      </c>
      <c r="E114" s="14">
        <v>115</v>
      </c>
      <c r="F114" s="15">
        <f>_xlfn.XLOOKUP(D114,'Gemini Output'!B:B,'Gemini Output'!C:C,"No Match Yet")</f>
        <v>12</v>
      </c>
      <c r="G114" s="27" t="str">
        <f>_xlfn.XLOOKUP(D114,'Gemini Output'!B:B,'Gemini Output'!E:E,"No Match Yet")</f>
        <v>L1</v>
      </c>
      <c r="H114" s="10"/>
      <c r="I114" s="10"/>
      <c r="J114" s="10"/>
      <c r="K114" s="10" t="s">
        <v>1475</v>
      </c>
      <c r="L114" s="10"/>
      <c r="M114" s="10"/>
      <c r="N114" s="10"/>
      <c r="O114" s="10"/>
    </row>
    <row r="115" spans="2:15" ht="20.25">
      <c r="B115" s="10"/>
      <c r="C115" s="14">
        <v>112</v>
      </c>
      <c r="D115" s="15" t="s">
        <v>189</v>
      </c>
      <c r="E115" s="14">
        <v>115</v>
      </c>
      <c r="F115" s="15">
        <f>_xlfn.XLOOKUP(D115,'Gemini Output'!B:B,'Gemini Output'!C:C,"No Match Yet")</f>
        <v>5</v>
      </c>
      <c r="G115" s="27" t="str">
        <f>_xlfn.XLOOKUP(D115,'Gemini Output'!B:B,'Gemini Output'!E:E,"No Match Yet")</f>
        <v>L1</v>
      </c>
      <c r="H115" s="10"/>
      <c r="I115" s="10"/>
      <c r="J115" s="10"/>
      <c r="K115" s="10"/>
      <c r="L115" s="10"/>
      <c r="M115" s="10"/>
      <c r="N115" s="10"/>
      <c r="O115" s="10"/>
    </row>
    <row r="116" spans="2:15" ht="20.25">
      <c r="B116" s="10"/>
      <c r="C116" s="14">
        <v>113</v>
      </c>
      <c r="D116" s="15" t="s">
        <v>190</v>
      </c>
      <c r="E116" s="14">
        <v>114</v>
      </c>
      <c r="F116" s="15">
        <f>_xlfn.XLOOKUP(D116,'Gemini Output'!B:B,'Gemini Output'!C:C,"No Match Yet")</f>
        <v>12</v>
      </c>
      <c r="G116" s="27" t="str">
        <f>_xlfn.XLOOKUP(D116,'Gemini Output'!B:B,'Gemini Output'!E:E,"No Match Yet")</f>
        <v>L1</v>
      </c>
      <c r="H116" s="10"/>
      <c r="I116" s="10"/>
      <c r="J116" s="10"/>
      <c r="K116" s="10" t="s">
        <v>1476</v>
      </c>
      <c r="L116" s="10"/>
      <c r="M116" s="10"/>
      <c r="N116" s="10"/>
      <c r="O116" s="10"/>
    </row>
    <row r="117" spans="2:15" ht="20.25">
      <c r="B117" s="10"/>
      <c r="C117" s="14">
        <v>114</v>
      </c>
      <c r="D117" s="15" t="s">
        <v>191</v>
      </c>
      <c r="E117" s="14">
        <v>111</v>
      </c>
      <c r="F117" s="15">
        <f>_xlfn.XLOOKUP(D117,'Gemini Output'!B:B,'Gemini Output'!C:C,"No Match Yet")</f>
        <v>13</v>
      </c>
      <c r="G117" s="27" t="str">
        <f>_xlfn.XLOOKUP(D117,'Gemini Output'!B:B,'Gemini Output'!E:E,"No Match Yet")</f>
        <v>L1</v>
      </c>
      <c r="H117" s="10"/>
      <c r="I117" s="10"/>
      <c r="J117" s="10"/>
      <c r="K117" s="10"/>
      <c r="L117" s="10"/>
      <c r="M117" s="10"/>
      <c r="N117" s="10"/>
      <c r="O117" s="10"/>
    </row>
    <row r="118" spans="2:15" ht="20.25">
      <c r="B118" s="10"/>
      <c r="C118" s="14">
        <v>115</v>
      </c>
      <c r="D118" s="15" t="s">
        <v>192</v>
      </c>
      <c r="E118" s="14">
        <v>110</v>
      </c>
      <c r="F118" s="15">
        <f>_xlfn.XLOOKUP(D118,'Gemini Output'!B:B,'Gemini Output'!C:C,"No Match Yet")</f>
        <v>9</v>
      </c>
      <c r="G118" s="27" t="str">
        <f>_xlfn.XLOOKUP(D118,'Gemini Output'!B:B,'Gemini Output'!E:E,"No Match Yet")</f>
        <v>L1</v>
      </c>
      <c r="H118" s="10"/>
      <c r="I118" s="10"/>
      <c r="J118" s="10"/>
      <c r="K118" s="10" t="s">
        <v>1477</v>
      </c>
      <c r="L118" s="10"/>
      <c r="M118" s="10"/>
      <c r="N118" s="10"/>
      <c r="O118" s="10"/>
    </row>
    <row r="119" spans="2:15" ht="20.25">
      <c r="B119" s="10"/>
      <c r="C119" s="14">
        <v>116</v>
      </c>
      <c r="D119" s="15" t="s">
        <v>193</v>
      </c>
      <c r="E119" s="14">
        <v>109</v>
      </c>
      <c r="F119" s="15">
        <f>_xlfn.XLOOKUP(D119,'Gemini Output'!B:B,'Gemini Output'!C:C,"No Match Yet")</f>
        <v>3</v>
      </c>
      <c r="G119" s="27" t="str">
        <f>_xlfn.XLOOKUP(D119,'Gemini Output'!B:B,'Gemini Output'!E:E,"No Match Yet")</f>
        <v>L2</v>
      </c>
      <c r="H119" s="10"/>
      <c r="I119" s="10"/>
      <c r="J119" s="10"/>
      <c r="K119" s="10"/>
      <c r="L119" s="10"/>
      <c r="M119" s="10"/>
      <c r="N119" s="10"/>
      <c r="O119" s="10"/>
    </row>
    <row r="120" spans="2:15" ht="20.25">
      <c r="B120" s="10"/>
      <c r="C120" s="14">
        <v>117</v>
      </c>
      <c r="D120" s="15" t="s">
        <v>194</v>
      </c>
      <c r="E120" s="14">
        <v>107</v>
      </c>
      <c r="F120" s="15">
        <f>_xlfn.XLOOKUP(D120,'Gemini Output'!B:B,'Gemini Output'!C:C,"No Match Yet")</f>
        <v>12</v>
      </c>
      <c r="G120" s="27" t="str">
        <f>_xlfn.XLOOKUP(D120,'Gemini Output'!B:B,'Gemini Output'!E:E,"No Match Yet")</f>
        <v>L2</v>
      </c>
      <c r="H120" s="10"/>
      <c r="I120" s="10"/>
      <c r="J120" s="10"/>
      <c r="K120" s="10"/>
      <c r="L120" s="10"/>
      <c r="M120" s="10"/>
      <c r="N120" s="10"/>
      <c r="O120" s="10"/>
    </row>
    <row r="121" spans="2:15" ht="20.25">
      <c r="B121" s="10"/>
      <c r="C121" s="14">
        <v>118</v>
      </c>
      <c r="D121" s="15" t="s">
        <v>195</v>
      </c>
      <c r="E121" s="14">
        <v>107</v>
      </c>
      <c r="F121" s="15">
        <f>_xlfn.XLOOKUP(D121,'Gemini Output'!B:B,'Gemini Output'!C:C,"No Match Yet")</f>
        <v>10</v>
      </c>
      <c r="G121" s="27" t="str">
        <f>_xlfn.XLOOKUP(D121,'Gemini Output'!B:B,'Gemini Output'!E:E,"No Match Yet")</f>
        <v>L1</v>
      </c>
      <c r="H121" s="10"/>
      <c r="I121" s="10"/>
      <c r="J121" s="10"/>
      <c r="K121" s="10"/>
      <c r="L121" s="10"/>
      <c r="M121" s="10"/>
      <c r="N121" s="10"/>
      <c r="O121" s="10"/>
    </row>
    <row r="122" spans="2:15" ht="20.25">
      <c r="B122" s="10"/>
      <c r="C122" s="14">
        <v>119</v>
      </c>
      <c r="D122" s="15" t="s">
        <v>196</v>
      </c>
      <c r="E122" s="14">
        <v>106</v>
      </c>
      <c r="F122" s="15">
        <f>_xlfn.XLOOKUP(D122,'Gemini Output'!B:B,'Gemini Output'!C:C,"No Match Yet")</f>
        <v>8</v>
      </c>
      <c r="G122" s="27" t="str">
        <f>_xlfn.XLOOKUP(D122,'Gemini Output'!B:B,'Gemini Output'!E:E,"No Match Yet")</f>
        <v>L1</v>
      </c>
      <c r="H122" s="10"/>
      <c r="I122" s="10"/>
      <c r="J122" s="10"/>
      <c r="K122" s="10" t="s">
        <v>1478</v>
      </c>
      <c r="L122" s="10"/>
      <c r="M122" s="10"/>
      <c r="N122" s="10"/>
      <c r="O122" s="10"/>
    </row>
    <row r="123" spans="2:15" ht="20.25">
      <c r="B123" s="10"/>
      <c r="C123" s="14">
        <v>120</v>
      </c>
      <c r="D123" s="15" t="s">
        <v>197</v>
      </c>
      <c r="E123" s="14">
        <v>106</v>
      </c>
      <c r="F123" s="15">
        <f>_xlfn.XLOOKUP(D123,'Gemini Output'!B:B,'Gemini Output'!C:C,"No Match Yet")</f>
        <v>12</v>
      </c>
      <c r="G123" s="27" t="str">
        <f>_xlfn.XLOOKUP(D123,'Gemini Output'!B:B,'Gemini Output'!E:E,"No Match Yet")</f>
        <v>L1</v>
      </c>
      <c r="H123" s="10"/>
      <c r="I123" s="10"/>
      <c r="J123" s="10"/>
      <c r="K123" s="10"/>
      <c r="L123" s="10"/>
      <c r="M123" s="10"/>
      <c r="N123" s="10"/>
      <c r="O123" s="10"/>
    </row>
    <row r="124" spans="2:15" ht="20.25">
      <c r="B124" s="10"/>
      <c r="C124" s="14">
        <v>121</v>
      </c>
      <c r="D124" s="15" t="s">
        <v>198</v>
      </c>
      <c r="E124" s="14">
        <v>106</v>
      </c>
      <c r="F124" s="15">
        <f>_xlfn.XLOOKUP(D124,'Gemini Output'!B:B,'Gemini Output'!C:C,"No Match Yet")</f>
        <v>12</v>
      </c>
      <c r="G124" s="27" t="str">
        <f>_xlfn.XLOOKUP(D124,'Gemini Output'!B:B,'Gemini Output'!E:E,"No Match Yet")</f>
        <v>L1</v>
      </c>
      <c r="H124" s="10"/>
      <c r="I124" s="10"/>
      <c r="J124" s="10"/>
      <c r="K124" s="10"/>
      <c r="L124" s="10"/>
      <c r="M124" s="10"/>
      <c r="N124" s="10"/>
      <c r="O124" s="10"/>
    </row>
    <row r="125" spans="2:15" ht="20.25">
      <c r="B125" s="10"/>
      <c r="C125" s="14">
        <v>122</v>
      </c>
      <c r="D125" s="15" t="s">
        <v>199</v>
      </c>
      <c r="E125" s="14">
        <v>106</v>
      </c>
      <c r="F125" s="15">
        <f>_xlfn.XLOOKUP(D125,'Gemini Output'!B:B,'Gemini Output'!C:C,"No Match Yet")</f>
        <v>12</v>
      </c>
      <c r="G125" s="27" t="str">
        <f>_xlfn.XLOOKUP(D125,'Gemini Output'!B:B,'Gemini Output'!E:E,"No Match Yet")</f>
        <v>L1</v>
      </c>
      <c r="H125" s="10"/>
      <c r="I125" s="10"/>
      <c r="J125" s="10"/>
      <c r="K125" s="10"/>
      <c r="L125" s="10"/>
      <c r="M125" s="10"/>
      <c r="N125" s="10"/>
      <c r="O125" s="10"/>
    </row>
    <row r="126" spans="2:15" ht="20.25">
      <c r="B126" s="10"/>
      <c r="C126" s="14">
        <v>123</v>
      </c>
      <c r="D126" s="15" t="s">
        <v>200</v>
      </c>
      <c r="E126" s="14">
        <v>105</v>
      </c>
      <c r="F126" s="15">
        <f>_xlfn.XLOOKUP(D126,'Gemini Output'!B:B,'Gemini Output'!C:C,"No Match Yet")</f>
        <v>9</v>
      </c>
      <c r="G126" s="27" t="str">
        <f>_xlfn.XLOOKUP(D126,'Gemini Output'!B:B,'Gemini Output'!E:E,"No Match Yet")</f>
        <v>L1</v>
      </c>
      <c r="H126" s="10"/>
      <c r="I126" s="10"/>
      <c r="J126" s="10"/>
      <c r="K126" s="10" t="s">
        <v>1479</v>
      </c>
      <c r="L126" s="10"/>
      <c r="M126" s="10"/>
      <c r="N126" s="10"/>
      <c r="O126" s="10"/>
    </row>
    <row r="127" spans="2:15" ht="20.25">
      <c r="B127" s="10"/>
      <c r="C127" s="14">
        <v>124</v>
      </c>
      <c r="D127" s="15" t="s">
        <v>201</v>
      </c>
      <c r="E127" s="14">
        <v>105</v>
      </c>
      <c r="F127" s="15">
        <f>_xlfn.XLOOKUP(D127,'Gemini Output'!B:B,'Gemini Output'!C:C,"No Match Yet")</f>
        <v>1</v>
      </c>
      <c r="G127" s="27" t="str">
        <f>_xlfn.XLOOKUP(D127,'Gemini Output'!B:B,'Gemini Output'!E:E,"No Match Yet")</f>
        <v>L1</v>
      </c>
      <c r="H127" s="10"/>
      <c r="I127" s="10"/>
      <c r="J127" s="10"/>
      <c r="K127" s="10"/>
      <c r="L127" s="10"/>
      <c r="M127" s="10"/>
      <c r="N127" s="10"/>
      <c r="O127" s="10"/>
    </row>
    <row r="128" spans="2:15" ht="20.25">
      <c r="B128" s="10"/>
      <c r="C128" s="14">
        <v>125</v>
      </c>
      <c r="D128" s="15" t="s">
        <v>202</v>
      </c>
      <c r="E128" s="14">
        <v>105</v>
      </c>
      <c r="F128" s="15">
        <f>_xlfn.XLOOKUP(D128,'Gemini Output'!B:B,'Gemini Output'!C:C,"No Match Yet")</f>
        <v>12</v>
      </c>
      <c r="G128" s="27" t="str">
        <f>_xlfn.XLOOKUP(D128,'Gemini Output'!B:B,'Gemini Output'!E:E,"No Match Yet")</f>
        <v>L2</v>
      </c>
      <c r="H128" s="10"/>
      <c r="I128" s="10"/>
      <c r="J128" s="10"/>
      <c r="K128" s="10"/>
      <c r="L128" s="10"/>
      <c r="M128" s="10"/>
      <c r="N128" s="10"/>
      <c r="O128" s="10"/>
    </row>
    <row r="129" spans="2:15" ht="20.25">
      <c r="B129" s="10"/>
      <c r="C129" s="14">
        <v>126</v>
      </c>
      <c r="D129" s="15" t="s">
        <v>203</v>
      </c>
      <c r="E129" s="14">
        <v>104</v>
      </c>
      <c r="F129" s="15">
        <f>_xlfn.XLOOKUP(D129,'Gemini Output'!B:B,'Gemini Output'!C:C,"No Match Yet")</f>
        <v>12</v>
      </c>
      <c r="G129" s="27" t="str">
        <f>_xlfn.XLOOKUP(D129,'Gemini Output'!B:B,'Gemini Output'!E:E,"No Match Yet")</f>
        <v>L1</v>
      </c>
      <c r="H129" s="10"/>
      <c r="I129" s="10"/>
      <c r="J129" s="10"/>
      <c r="K129" s="10"/>
      <c r="L129" s="10"/>
      <c r="M129" s="10"/>
      <c r="N129" s="10"/>
      <c r="O129" s="10"/>
    </row>
    <row r="130" spans="2:15" ht="20.25">
      <c r="B130" s="10"/>
      <c r="C130" s="14">
        <v>127</v>
      </c>
      <c r="D130" s="15" t="s">
        <v>204</v>
      </c>
      <c r="E130" s="14">
        <v>103</v>
      </c>
      <c r="F130" s="15">
        <f>_xlfn.XLOOKUP(D130,'Gemini Output'!B:B,'Gemini Output'!C:C,"No Match Yet")</f>
        <v>2</v>
      </c>
      <c r="G130" s="27" t="str">
        <f>_xlfn.XLOOKUP(D130,'Gemini Output'!B:B,'Gemini Output'!E:E,"No Match Yet")</f>
        <v>L2</v>
      </c>
      <c r="H130" s="10"/>
      <c r="I130" s="10"/>
      <c r="J130" s="10"/>
      <c r="K130" s="10" t="s">
        <v>1480</v>
      </c>
      <c r="L130" s="10"/>
      <c r="M130" s="10"/>
      <c r="N130" s="10"/>
      <c r="O130" s="10"/>
    </row>
    <row r="131" spans="2:15" ht="20.25">
      <c r="B131" s="10"/>
      <c r="C131" s="14">
        <v>128</v>
      </c>
      <c r="D131" s="15" t="s">
        <v>205</v>
      </c>
      <c r="E131" s="14">
        <v>103</v>
      </c>
      <c r="F131" s="15">
        <f>_xlfn.XLOOKUP(D131,'Gemini Output'!B:B,'Gemini Output'!C:C,"No Match Yet")</f>
        <v>13</v>
      </c>
      <c r="G131" s="27" t="str">
        <f>_xlfn.XLOOKUP(D131,'Gemini Output'!B:B,'Gemini Output'!E:E,"No Match Yet")</f>
        <v>L1</v>
      </c>
      <c r="H131" s="10"/>
      <c r="I131" s="10"/>
      <c r="J131" s="10"/>
      <c r="K131" s="10"/>
      <c r="L131" s="10"/>
      <c r="M131" s="10"/>
      <c r="N131" s="10"/>
      <c r="O131" s="10"/>
    </row>
    <row r="132" spans="2:15" ht="20.25">
      <c r="B132" s="10"/>
      <c r="C132" s="14">
        <v>129</v>
      </c>
      <c r="D132" s="15" t="s">
        <v>206</v>
      </c>
      <c r="E132" s="14">
        <v>103</v>
      </c>
      <c r="F132" s="15">
        <f>_xlfn.XLOOKUP(D132,'Gemini Output'!B:B,'Gemini Output'!C:C,"No Match Yet")</f>
        <v>9</v>
      </c>
      <c r="G132" s="27" t="str">
        <f>_xlfn.XLOOKUP(D132,'Gemini Output'!B:B,'Gemini Output'!E:E,"No Match Yet")</f>
        <v>L2</v>
      </c>
      <c r="H132" s="10"/>
      <c r="I132" s="10"/>
      <c r="J132" s="10"/>
      <c r="K132" s="10"/>
      <c r="L132" s="10"/>
      <c r="M132" s="10"/>
      <c r="N132" s="10"/>
      <c r="O132" s="10"/>
    </row>
    <row r="133" spans="2:15" ht="20.25">
      <c r="B133" s="10"/>
      <c r="C133" s="14">
        <v>130</v>
      </c>
      <c r="D133" s="15" t="s">
        <v>207</v>
      </c>
      <c r="E133" s="14">
        <v>102</v>
      </c>
      <c r="F133" s="15">
        <f>_xlfn.XLOOKUP(D133,'Gemini Output'!B:B,'Gemini Output'!C:C,"No Match Yet")</f>
        <v>5</v>
      </c>
      <c r="G133" s="27" t="str">
        <f>_xlfn.XLOOKUP(D133,'Gemini Output'!B:B,'Gemini Output'!E:E,"No Match Yet")</f>
        <v>L1</v>
      </c>
      <c r="H133" s="10"/>
      <c r="I133" s="10"/>
      <c r="J133" s="10"/>
      <c r="K133" s="10"/>
      <c r="L133" s="10"/>
      <c r="M133" s="10"/>
      <c r="N133" s="10"/>
      <c r="O133" s="10"/>
    </row>
    <row r="134" spans="2:15" ht="20.25">
      <c r="B134" s="10"/>
      <c r="C134" s="14">
        <v>131</v>
      </c>
      <c r="D134" s="15" t="s">
        <v>208</v>
      </c>
      <c r="E134" s="14">
        <v>102</v>
      </c>
      <c r="F134" s="15">
        <f>_xlfn.XLOOKUP(D134,'Gemini Output'!B:B,'Gemini Output'!C:C,"No Match Yet")</f>
        <v>4</v>
      </c>
      <c r="G134" s="27" t="str">
        <f>_xlfn.XLOOKUP(D134,'Gemini Output'!B:B,'Gemini Output'!E:E,"No Match Yet")</f>
        <v>L2</v>
      </c>
      <c r="H134" s="10"/>
      <c r="I134" s="10"/>
      <c r="J134" s="10"/>
      <c r="K134" s="10" t="s">
        <v>1481</v>
      </c>
      <c r="L134" s="10"/>
      <c r="M134" s="10"/>
      <c r="N134" s="10"/>
      <c r="O134" s="10"/>
    </row>
    <row r="135" spans="2:15" ht="20.25">
      <c r="B135" s="10"/>
      <c r="C135" s="14">
        <v>132</v>
      </c>
      <c r="D135" s="15" t="s">
        <v>209</v>
      </c>
      <c r="E135" s="14">
        <v>101</v>
      </c>
      <c r="F135" s="15">
        <f>_xlfn.XLOOKUP(D135,'Gemini Output'!B:B,'Gemini Output'!C:C,"No Match Yet")</f>
        <v>1</v>
      </c>
      <c r="G135" s="27" t="str">
        <f>_xlfn.XLOOKUP(D135,'Gemini Output'!B:B,'Gemini Output'!E:E,"No Match Yet")</f>
        <v>L2</v>
      </c>
      <c r="H135" s="10"/>
      <c r="I135" s="10"/>
      <c r="J135" s="10"/>
      <c r="K135" s="10"/>
      <c r="L135" s="10"/>
      <c r="M135" s="10"/>
      <c r="N135" s="10"/>
      <c r="O135" s="10"/>
    </row>
    <row r="136" spans="2:15" ht="20.25">
      <c r="B136" s="10"/>
      <c r="C136" s="14">
        <v>133</v>
      </c>
      <c r="D136" s="15" t="s">
        <v>210</v>
      </c>
      <c r="E136" s="14">
        <v>100</v>
      </c>
      <c r="F136" s="15">
        <f>_xlfn.XLOOKUP(D136,'Gemini Output'!B:B,'Gemini Output'!C:C,"No Match Yet")</f>
        <v>12</v>
      </c>
      <c r="G136" s="27" t="str">
        <f>_xlfn.XLOOKUP(D136,'Gemini Output'!B:B,'Gemini Output'!E:E,"No Match Yet")</f>
        <v>L1</v>
      </c>
      <c r="H136" s="10"/>
      <c r="I136" s="10"/>
      <c r="J136" s="10"/>
      <c r="K136" s="10"/>
      <c r="L136" s="10"/>
      <c r="M136" s="10"/>
      <c r="N136" s="10"/>
      <c r="O136" s="10"/>
    </row>
    <row r="137" spans="2:15" ht="20.25">
      <c r="B137" s="10"/>
      <c r="C137" s="14">
        <v>134</v>
      </c>
      <c r="D137" s="15" t="s">
        <v>211</v>
      </c>
      <c r="E137" s="14">
        <v>100</v>
      </c>
      <c r="F137" s="15">
        <f>_xlfn.XLOOKUP(D137,'Gemini Output'!B:B,'Gemini Output'!C:C,"No Match Yet")</f>
        <v>6</v>
      </c>
      <c r="G137" s="27" t="str">
        <f>_xlfn.XLOOKUP(D137,'Gemini Output'!B:B,'Gemini Output'!E:E,"No Match Yet")</f>
        <v>L2</v>
      </c>
      <c r="H137" s="10"/>
      <c r="I137" s="10"/>
      <c r="J137" s="10"/>
      <c r="K137" s="10"/>
      <c r="L137" s="10"/>
      <c r="M137" s="10"/>
      <c r="N137" s="10"/>
      <c r="O137" s="10"/>
    </row>
    <row r="138" spans="2:15" ht="20.25">
      <c r="B138" s="10"/>
      <c r="C138" s="14">
        <v>135</v>
      </c>
      <c r="D138" s="15" t="s">
        <v>212</v>
      </c>
      <c r="E138" s="14">
        <v>99</v>
      </c>
      <c r="F138" s="15">
        <f>_xlfn.XLOOKUP(D138,'Gemini Output'!B:B,'Gemini Output'!C:C,"No Match Yet")</f>
        <v>13</v>
      </c>
      <c r="G138" s="27" t="str">
        <f>_xlfn.XLOOKUP(D138,'Gemini Output'!B:B,'Gemini Output'!E:E,"No Match Yet")</f>
        <v>L1</v>
      </c>
      <c r="H138" s="10"/>
      <c r="I138" s="10"/>
      <c r="J138" s="10"/>
      <c r="K138" s="10" t="s">
        <v>1482</v>
      </c>
      <c r="L138" s="10"/>
      <c r="M138" s="10"/>
      <c r="N138" s="10"/>
      <c r="O138" s="10"/>
    </row>
    <row r="139" spans="2:15" ht="20.25">
      <c r="B139" s="10"/>
      <c r="C139" s="14">
        <v>136</v>
      </c>
      <c r="D139" s="15" t="s">
        <v>213</v>
      </c>
      <c r="E139" s="14">
        <v>99</v>
      </c>
      <c r="F139" s="15">
        <f>_xlfn.XLOOKUP(D139,'Gemini Output'!B:B,'Gemini Output'!C:C,"No Match Yet")</f>
        <v>4</v>
      </c>
      <c r="G139" s="27" t="str">
        <f>_xlfn.XLOOKUP(D139,'Gemini Output'!B:B,'Gemini Output'!E:E,"No Match Yet")</f>
        <v>L2</v>
      </c>
      <c r="H139" s="10"/>
      <c r="I139" s="10"/>
      <c r="J139" s="10"/>
      <c r="K139" s="10"/>
      <c r="L139" s="10"/>
      <c r="M139" s="10"/>
      <c r="N139" s="10"/>
      <c r="O139" s="10"/>
    </row>
    <row r="140" spans="2:15" ht="20.25">
      <c r="B140" s="10"/>
      <c r="C140" s="14">
        <v>137</v>
      </c>
      <c r="D140" s="15" t="s">
        <v>214</v>
      </c>
      <c r="E140" s="14">
        <v>98</v>
      </c>
      <c r="F140" s="15">
        <f>_xlfn.XLOOKUP(D140,'Gemini Output'!B:B,'Gemini Output'!C:C,"No Match Yet")</f>
        <v>12</v>
      </c>
      <c r="G140" s="27" t="str">
        <f>_xlfn.XLOOKUP(D140,'Gemini Output'!B:B,'Gemini Output'!E:E,"No Match Yet")</f>
        <v>L1</v>
      </c>
      <c r="H140" s="10"/>
      <c r="I140" s="10"/>
      <c r="J140" s="10"/>
      <c r="K140" s="10"/>
      <c r="L140" s="10"/>
      <c r="M140" s="10"/>
      <c r="N140" s="10"/>
      <c r="O140" s="10"/>
    </row>
    <row r="141" spans="2:15" ht="20.25">
      <c r="B141" s="10"/>
      <c r="C141" s="14">
        <v>138</v>
      </c>
      <c r="D141" s="15" t="s">
        <v>215</v>
      </c>
      <c r="E141" s="14">
        <v>97</v>
      </c>
      <c r="F141" s="15">
        <f>_xlfn.XLOOKUP(D141,'Gemini Output'!B:B,'Gemini Output'!C:C,"No Match Yet")</f>
        <v>2</v>
      </c>
      <c r="G141" s="27" t="str">
        <f>_xlfn.XLOOKUP(D141,'Gemini Output'!B:B,'Gemini Output'!E:E,"No Match Yet")</f>
        <v>L1</v>
      </c>
      <c r="H141" s="10"/>
      <c r="I141" s="10"/>
      <c r="J141" s="10"/>
      <c r="K141" s="10"/>
      <c r="L141" s="10"/>
      <c r="M141" s="10"/>
      <c r="N141" s="10"/>
      <c r="O141" s="10"/>
    </row>
    <row r="142" spans="2:15" ht="20.25">
      <c r="B142" s="10"/>
      <c r="C142" s="14">
        <v>139</v>
      </c>
      <c r="D142" s="15" t="s">
        <v>216</v>
      </c>
      <c r="E142" s="14">
        <v>96</v>
      </c>
      <c r="F142" s="15">
        <f>_xlfn.XLOOKUP(D142,'Gemini Output'!B:B,'Gemini Output'!C:C,"No Match Yet")</f>
        <v>12</v>
      </c>
      <c r="G142" s="27" t="str">
        <f>_xlfn.XLOOKUP(D142,'Gemini Output'!B:B,'Gemini Output'!E:E,"No Match Yet")</f>
        <v>L1</v>
      </c>
      <c r="H142" s="10"/>
      <c r="I142" s="10"/>
      <c r="J142" s="10"/>
      <c r="K142" s="10" t="s">
        <v>1483</v>
      </c>
      <c r="L142" s="10"/>
      <c r="M142" s="10"/>
      <c r="N142" s="10"/>
      <c r="O142" s="10"/>
    </row>
    <row r="143" spans="2:15" ht="20.25">
      <c r="B143" s="10"/>
      <c r="C143" s="14">
        <v>140</v>
      </c>
      <c r="D143" s="15" t="s">
        <v>217</v>
      </c>
      <c r="E143" s="14">
        <v>96</v>
      </c>
      <c r="F143" s="15">
        <f>_xlfn.XLOOKUP(D143,'Gemini Output'!B:B,'Gemini Output'!C:C,"No Match Yet")</f>
        <v>1</v>
      </c>
      <c r="G143" s="27" t="str">
        <f>_xlfn.XLOOKUP(D143,'Gemini Output'!B:B,'Gemini Output'!E:E,"No Match Yet")</f>
        <v>L2</v>
      </c>
      <c r="H143" s="10"/>
      <c r="I143" s="10"/>
      <c r="J143" s="10"/>
      <c r="K143" s="10"/>
      <c r="L143" s="10"/>
      <c r="M143" s="10"/>
      <c r="N143" s="10"/>
      <c r="O143" s="10"/>
    </row>
    <row r="144" spans="2:15" ht="20.25">
      <c r="B144" s="10"/>
      <c r="C144" s="14">
        <v>141</v>
      </c>
      <c r="D144" s="15" t="s">
        <v>218</v>
      </c>
      <c r="E144" s="14">
        <v>95</v>
      </c>
      <c r="F144" s="15">
        <f>_xlfn.XLOOKUP(D144,'Gemini Output'!B:B,'Gemini Output'!C:C,"No Match Yet")</f>
        <v>12</v>
      </c>
      <c r="G144" s="27" t="str">
        <f>_xlfn.XLOOKUP(D144,'Gemini Output'!B:B,'Gemini Output'!E:E,"No Match Yet")</f>
        <v>L1</v>
      </c>
      <c r="H144" s="10"/>
      <c r="I144" s="10"/>
      <c r="J144" s="10"/>
      <c r="K144" s="10"/>
      <c r="L144" s="10"/>
      <c r="M144" s="10"/>
      <c r="N144" s="10"/>
      <c r="O144" s="10"/>
    </row>
    <row r="145" spans="2:15" ht="20.25">
      <c r="B145" s="10"/>
      <c r="C145" s="14">
        <v>142</v>
      </c>
      <c r="D145" s="15" t="s">
        <v>219</v>
      </c>
      <c r="E145" s="14">
        <v>95</v>
      </c>
      <c r="F145" s="15">
        <f>_xlfn.XLOOKUP(D145,'Gemini Output'!B:B,'Gemini Output'!C:C,"No Match Yet")</f>
        <v>13</v>
      </c>
      <c r="G145" s="27" t="str">
        <f>_xlfn.XLOOKUP(D145,'Gemini Output'!B:B,'Gemini Output'!E:E,"No Match Yet")</f>
        <v>L2</v>
      </c>
      <c r="H145" s="10"/>
      <c r="I145" s="10"/>
      <c r="J145" s="10"/>
      <c r="K145" s="10"/>
      <c r="L145" s="10"/>
      <c r="M145" s="10"/>
      <c r="N145" s="10"/>
      <c r="O145" s="10"/>
    </row>
    <row r="146" spans="2:15" ht="20.25">
      <c r="B146" s="10"/>
      <c r="C146" s="14">
        <v>143</v>
      </c>
      <c r="D146" s="15" t="s">
        <v>220</v>
      </c>
      <c r="E146" s="14">
        <v>95</v>
      </c>
      <c r="F146" s="15">
        <f>_xlfn.XLOOKUP(D146,'Gemini Output'!B:B,'Gemini Output'!C:C,"No Match Yet")</f>
        <v>13</v>
      </c>
      <c r="G146" s="27" t="str">
        <f>_xlfn.XLOOKUP(D146,'Gemini Output'!B:B,'Gemini Output'!E:E,"No Match Yet")</f>
        <v>L2</v>
      </c>
      <c r="H146" s="10"/>
      <c r="I146" s="10"/>
      <c r="J146" s="10"/>
      <c r="K146" s="10"/>
      <c r="L146" s="10"/>
      <c r="M146" s="10"/>
      <c r="N146" s="10"/>
      <c r="O146" s="10"/>
    </row>
    <row r="147" spans="2:15" ht="20.25">
      <c r="B147" s="10"/>
      <c r="C147" s="14">
        <v>144</v>
      </c>
      <c r="D147" s="15" t="s">
        <v>221</v>
      </c>
      <c r="E147" s="14">
        <v>95</v>
      </c>
      <c r="F147" s="15">
        <f>_xlfn.XLOOKUP(D147,'Gemini Output'!B:B,'Gemini Output'!C:C,"No Match Yet")</f>
        <v>9</v>
      </c>
      <c r="G147" s="27" t="str">
        <f>_xlfn.XLOOKUP(D147,'Gemini Output'!B:B,'Gemini Output'!E:E,"No Match Yet")</f>
        <v>L2</v>
      </c>
      <c r="H147" s="10"/>
      <c r="I147" s="10"/>
      <c r="J147" s="10"/>
      <c r="K147" s="10"/>
      <c r="L147" s="10"/>
      <c r="M147" s="10"/>
      <c r="N147" s="10"/>
      <c r="O147" s="10"/>
    </row>
    <row r="148" spans="2:15" ht="20.25">
      <c r="B148" s="10"/>
      <c r="C148" s="14">
        <v>145</v>
      </c>
      <c r="D148" s="15" t="s">
        <v>222</v>
      </c>
      <c r="E148" s="14">
        <v>94</v>
      </c>
      <c r="F148" s="15">
        <f>_xlfn.XLOOKUP(D148,'Gemini Output'!B:B,'Gemini Output'!C:C,"No Match Yet")</f>
        <v>12</v>
      </c>
      <c r="G148" s="27" t="str">
        <f>_xlfn.XLOOKUP(D148,'Gemini Output'!B:B,'Gemini Output'!E:E,"No Match Yet")</f>
        <v>L2</v>
      </c>
      <c r="H148" s="10"/>
      <c r="I148" s="10"/>
      <c r="J148" s="10"/>
      <c r="K148" s="10"/>
      <c r="L148" s="10"/>
      <c r="M148" s="10"/>
      <c r="N148" s="10"/>
      <c r="O148" s="10"/>
    </row>
    <row r="149" spans="2:15" ht="20.25">
      <c r="B149" s="10"/>
      <c r="C149" s="14">
        <v>146</v>
      </c>
      <c r="D149" s="15" t="s">
        <v>223</v>
      </c>
      <c r="E149" s="14">
        <v>94</v>
      </c>
      <c r="F149" s="15">
        <f>_xlfn.XLOOKUP(D149,'Gemini Output'!B:B,'Gemini Output'!C:C,"No Match Yet")</f>
        <v>12</v>
      </c>
      <c r="G149" s="27" t="str">
        <f>_xlfn.XLOOKUP(D149,'Gemini Output'!B:B,'Gemini Output'!E:E,"No Match Yet")</f>
        <v>L1</v>
      </c>
      <c r="H149" s="10"/>
      <c r="I149" s="10"/>
      <c r="J149" s="10"/>
      <c r="K149" s="10"/>
      <c r="L149" s="10"/>
      <c r="M149" s="10"/>
      <c r="N149" s="10"/>
      <c r="O149" s="10"/>
    </row>
    <row r="150" spans="2:15" ht="20.25">
      <c r="B150" s="10"/>
      <c r="C150" s="14">
        <v>147</v>
      </c>
      <c r="D150" s="15" t="s">
        <v>224</v>
      </c>
      <c r="E150" s="14">
        <v>94</v>
      </c>
      <c r="F150" s="15">
        <f>_xlfn.XLOOKUP(D150,'Gemini Output'!B:B,'Gemini Output'!C:C,"No Match Yet")</f>
        <v>13</v>
      </c>
      <c r="G150" s="27" t="str">
        <f>_xlfn.XLOOKUP(D150,'Gemini Output'!B:B,'Gemini Output'!E:E,"No Match Yet")</f>
        <v>L1</v>
      </c>
      <c r="H150" s="10"/>
      <c r="I150" s="10"/>
      <c r="J150" s="10"/>
      <c r="K150" s="10"/>
      <c r="L150" s="10"/>
      <c r="M150" s="10"/>
      <c r="N150" s="10"/>
      <c r="O150" s="10"/>
    </row>
    <row r="151" spans="2:15" ht="20.25">
      <c r="B151" s="10"/>
      <c r="C151" s="14">
        <v>148</v>
      </c>
      <c r="D151" s="15" t="s">
        <v>225</v>
      </c>
      <c r="E151" s="14">
        <v>94</v>
      </c>
      <c r="F151" s="15">
        <f>_xlfn.XLOOKUP(D151,'Gemini Output'!B:B,'Gemini Output'!C:C,"No Match Yet")</f>
        <v>1</v>
      </c>
      <c r="G151" s="27" t="str">
        <f>_xlfn.XLOOKUP(D151,'Gemini Output'!B:B,'Gemini Output'!E:E,"No Match Yet")</f>
        <v>L2</v>
      </c>
      <c r="H151" s="10"/>
      <c r="I151" s="10"/>
      <c r="J151" s="10"/>
      <c r="K151" s="10"/>
      <c r="L151" s="10"/>
      <c r="M151" s="10"/>
      <c r="N151" s="10"/>
      <c r="O151" s="10"/>
    </row>
    <row r="152" spans="2:15" ht="20.25">
      <c r="B152" s="10"/>
      <c r="C152" s="14">
        <v>149</v>
      </c>
      <c r="D152" s="15" t="s">
        <v>226</v>
      </c>
      <c r="E152" s="14">
        <v>92</v>
      </c>
      <c r="F152" s="15">
        <f>_xlfn.XLOOKUP(D152,'Gemini Output'!B:B,'Gemini Output'!C:C,"No Match Yet")</f>
        <v>12</v>
      </c>
      <c r="G152" s="27" t="str">
        <f>_xlfn.XLOOKUP(D152,'Gemini Output'!B:B,'Gemini Output'!E:E,"No Match Yet")</f>
        <v>L2</v>
      </c>
      <c r="H152" s="10"/>
      <c r="I152" s="10"/>
      <c r="J152" s="10"/>
      <c r="K152" s="10"/>
      <c r="L152" s="10"/>
      <c r="M152" s="10"/>
      <c r="N152" s="10"/>
      <c r="O152" s="10"/>
    </row>
    <row r="153" spans="2:15" ht="20.25">
      <c r="B153" s="10"/>
      <c r="C153" s="14">
        <v>150</v>
      </c>
      <c r="D153" s="15" t="s">
        <v>227</v>
      </c>
      <c r="E153" s="14">
        <v>92</v>
      </c>
      <c r="F153" s="15">
        <f>_xlfn.XLOOKUP(D153,'Gemini Output'!B:B,'Gemini Output'!C:C,"No Match Yet")</f>
        <v>10</v>
      </c>
      <c r="G153" s="27" t="str">
        <f>_xlfn.XLOOKUP(D153,'Gemini Output'!B:B,'Gemini Output'!E:E,"No Match Yet")</f>
        <v>L1</v>
      </c>
      <c r="H153" s="10"/>
      <c r="I153" s="10"/>
      <c r="J153" s="10"/>
      <c r="K153" s="10"/>
      <c r="L153" s="10"/>
      <c r="M153" s="10"/>
      <c r="N153" s="10"/>
      <c r="O153" s="10"/>
    </row>
    <row r="154" spans="2:15" ht="20.25">
      <c r="B154" s="10"/>
      <c r="C154" s="14">
        <v>151</v>
      </c>
      <c r="D154" s="15" t="s">
        <v>228</v>
      </c>
      <c r="E154" s="14">
        <v>92</v>
      </c>
      <c r="F154" s="15">
        <f>_xlfn.XLOOKUP(D154,'Gemini Output'!B:B,'Gemini Output'!C:C,"No Match Yet")</f>
        <v>6</v>
      </c>
      <c r="G154" s="10" t="str">
        <f>_xlfn.XLOOKUP(D154,'Gemini Output'!B:B,'Gemini Output'!E:E,"No Match Yet")</f>
        <v>L2</v>
      </c>
      <c r="H154" s="10"/>
      <c r="I154" s="10"/>
      <c r="J154" s="10"/>
      <c r="K154" s="10"/>
      <c r="L154" s="10"/>
      <c r="M154" s="10"/>
      <c r="N154" s="10"/>
      <c r="O154" s="10"/>
    </row>
    <row r="155" spans="2:15" ht="20.25">
      <c r="B155" s="10"/>
      <c r="C155" s="14">
        <v>152</v>
      </c>
      <c r="D155" s="15" t="s">
        <v>229</v>
      </c>
      <c r="E155" s="14">
        <v>91</v>
      </c>
      <c r="F155" s="15">
        <f>_xlfn.XLOOKUP(D155,'Gemini Output'!B:B,'Gemini Output'!C:C,"No Match Yet")</f>
        <v>14</v>
      </c>
      <c r="G155" s="10" t="str">
        <f>_xlfn.XLOOKUP(D155,'Gemini Output'!B:B,'Gemini Output'!E:E,"No Match Yet")</f>
        <v>L2</v>
      </c>
      <c r="H155" s="10"/>
      <c r="I155" s="10"/>
      <c r="J155" s="10"/>
      <c r="K155" s="10"/>
      <c r="L155" s="10"/>
      <c r="M155" s="10"/>
      <c r="N155" s="10"/>
      <c r="O155" s="10"/>
    </row>
    <row r="156" spans="2:15" ht="20.25">
      <c r="B156" s="10"/>
      <c r="C156" s="14">
        <v>153</v>
      </c>
      <c r="D156" s="15" t="s">
        <v>230</v>
      </c>
      <c r="E156" s="14">
        <v>91</v>
      </c>
      <c r="F156" s="15">
        <f>_xlfn.XLOOKUP(D156,'Gemini Output'!B:B,'Gemini Output'!C:C,"No Match Yet")</f>
        <v>9</v>
      </c>
      <c r="G156" s="10" t="str">
        <f>_xlfn.XLOOKUP(D156,'Gemini Output'!B:B,'Gemini Output'!E:E,"No Match Yet")</f>
        <v>L1</v>
      </c>
      <c r="H156" s="10"/>
      <c r="I156" s="10"/>
      <c r="J156" s="10"/>
      <c r="K156" s="10"/>
      <c r="L156" s="10"/>
      <c r="M156" s="10"/>
      <c r="N156" s="10"/>
      <c r="O156" s="10"/>
    </row>
    <row r="157" spans="2:15" ht="20.25">
      <c r="B157" s="10"/>
      <c r="C157" s="14">
        <v>154</v>
      </c>
      <c r="D157" s="15" t="s">
        <v>231</v>
      </c>
      <c r="E157" s="14">
        <v>90</v>
      </c>
      <c r="F157" s="15">
        <f>_xlfn.XLOOKUP(D157,'Gemini Output'!B:B,'Gemini Output'!C:C,"No Match Yet")</f>
        <v>12</v>
      </c>
      <c r="G157" s="10" t="str">
        <f>_xlfn.XLOOKUP(D157,'Gemini Output'!B:B,'Gemini Output'!E:E,"No Match Yet")</f>
        <v>L1</v>
      </c>
      <c r="H157" s="10"/>
      <c r="I157" s="10"/>
      <c r="J157" s="10"/>
      <c r="K157" s="10"/>
      <c r="L157" s="10"/>
      <c r="M157" s="10"/>
      <c r="N157" s="10"/>
      <c r="O157" s="10"/>
    </row>
    <row r="158" spans="2:15" ht="20.25">
      <c r="B158" s="10"/>
      <c r="C158" s="14">
        <v>155</v>
      </c>
      <c r="D158" s="15" t="s">
        <v>232</v>
      </c>
      <c r="E158" s="14">
        <v>89</v>
      </c>
      <c r="F158" s="15">
        <f>_xlfn.XLOOKUP(D158,'Gemini Output'!B:B,'Gemini Output'!C:C,"No Match Yet")</f>
        <v>4</v>
      </c>
      <c r="G158" s="10" t="str">
        <f>_xlfn.XLOOKUP(D158,'Gemini Output'!B:B,'Gemini Output'!E:E,"No Match Yet")</f>
        <v>L2</v>
      </c>
      <c r="H158" s="10"/>
      <c r="I158" s="10"/>
      <c r="J158" s="10"/>
      <c r="K158" s="10"/>
      <c r="L158" s="10"/>
      <c r="M158" s="10"/>
      <c r="N158" s="10"/>
      <c r="O158" s="10"/>
    </row>
    <row r="159" spans="2:15" ht="20.25">
      <c r="B159" s="10"/>
      <c r="C159" s="14">
        <v>156</v>
      </c>
      <c r="D159" s="15" t="s">
        <v>233</v>
      </c>
      <c r="E159" s="14">
        <v>89</v>
      </c>
      <c r="F159" s="15">
        <f>_xlfn.XLOOKUP(D159,'Gemini Output'!B:B,'Gemini Output'!C:C,"No Match Yet")</f>
        <v>13</v>
      </c>
      <c r="G159" s="10" t="str">
        <f>_xlfn.XLOOKUP(D159,'Gemini Output'!B:B,'Gemini Output'!E:E,"No Match Yet")</f>
        <v>L1</v>
      </c>
      <c r="H159" s="10"/>
      <c r="I159" s="10"/>
      <c r="J159" s="10"/>
      <c r="K159" s="10"/>
      <c r="L159" s="10"/>
      <c r="M159" s="10"/>
      <c r="N159" s="10"/>
      <c r="O159" s="10"/>
    </row>
    <row r="160" spans="2:15" ht="20.25">
      <c r="B160" s="10"/>
      <c r="C160" s="14">
        <v>157</v>
      </c>
      <c r="D160" s="15" t="s">
        <v>234</v>
      </c>
      <c r="E160" s="14">
        <v>89</v>
      </c>
      <c r="F160" s="15">
        <f>_xlfn.XLOOKUP(D160,'Gemini Output'!B:B,'Gemini Output'!C:C,"No Match Yet")</f>
        <v>2</v>
      </c>
      <c r="G160" s="10" t="str">
        <f>_xlfn.XLOOKUP(D160,'Gemini Output'!B:B,'Gemini Output'!E:E,"No Match Yet")</f>
        <v>L1</v>
      </c>
      <c r="H160" s="10"/>
      <c r="I160" s="10"/>
      <c r="J160" s="10"/>
      <c r="K160" s="10"/>
      <c r="L160" s="10"/>
      <c r="M160" s="10"/>
      <c r="N160" s="10"/>
      <c r="O160" s="10"/>
    </row>
    <row r="161" spans="2:15" ht="20.25">
      <c r="B161" s="10"/>
      <c r="C161" s="14">
        <v>158</v>
      </c>
      <c r="D161" s="15" t="s">
        <v>235</v>
      </c>
      <c r="E161" s="14">
        <v>88</v>
      </c>
      <c r="F161" s="15">
        <f>_xlfn.XLOOKUP(D161,'Gemini Output'!B:B,'Gemini Output'!C:C,"No Match Yet")</f>
        <v>13</v>
      </c>
      <c r="G161" s="10" t="str">
        <f>_xlfn.XLOOKUP(D161,'Gemini Output'!B:B,'Gemini Output'!E:E,"No Match Yet")</f>
        <v>L1</v>
      </c>
      <c r="H161" s="10"/>
      <c r="I161" s="10"/>
      <c r="J161" s="10"/>
      <c r="K161" s="10"/>
      <c r="L161" s="10"/>
      <c r="M161" s="10"/>
      <c r="N161" s="10"/>
      <c r="O161" s="10"/>
    </row>
    <row r="162" spans="2:15" ht="20.25">
      <c r="B162" s="10"/>
      <c r="C162" s="14">
        <v>159</v>
      </c>
      <c r="D162" s="15" t="s">
        <v>236</v>
      </c>
      <c r="E162" s="14">
        <v>88</v>
      </c>
      <c r="F162" s="15">
        <f>_xlfn.XLOOKUP(D162,'Gemini Output'!B:B,'Gemini Output'!C:C,"No Match Yet")</f>
        <v>12</v>
      </c>
      <c r="G162" s="10" t="str">
        <f>_xlfn.XLOOKUP(D162,'Gemini Output'!B:B,'Gemini Output'!E:E,"No Match Yet")</f>
        <v>L1</v>
      </c>
      <c r="H162" s="10"/>
      <c r="I162" s="10"/>
      <c r="J162" s="10"/>
      <c r="K162" s="10"/>
      <c r="L162" s="10"/>
      <c r="M162" s="10"/>
      <c r="N162" s="10"/>
      <c r="O162" s="10"/>
    </row>
    <row r="163" spans="2:15" ht="20.25">
      <c r="B163" s="10"/>
      <c r="C163" s="14">
        <v>160</v>
      </c>
      <c r="D163" s="15" t="s">
        <v>237</v>
      </c>
      <c r="E163" s="14">
        <v>87</v>
      </c>
      <c r="F163" s="15">
        <f>_xlfn.XLOOKUP(D163,'Gemini Output'!B:B,'Gemini Output'!C:C,"No Match Yet")</f>
        <v>9</v>
      </c>
      <c r="G163" s="10" t="str">
        <f>_xlfn.XLOOKUP(D163,'Gemini Output'!B:B,'Gemini Output'!E:E,"No Match Yet")</f>
        <v>L1</v>
      </c>
      <c r="H163" s="10"/>
      <c r="I163" s="10"/>
      <c r="J163" s="10"/>
      <c r="K163" s="10"/>
      <c r="L163" s="10"/>
      <c r="M163" s="10"/>
      <c r="N163" s="10"/>
      <c r="O163" s="10"/>
    </row>
    <row r="164" spans="2:15" ht="20.25">
      <c r="B164" s="10"/>
      <c r="C164" s="14">
        <v>161</v>
      </c>
      <c r="D164" s="15" t="s">
        <v>238</v>
      </c>
      <c r="E164" s="14">
        <v>87</v>
      </c>
      <c r="F164" s="15">
        <f>_xlfn.XLOOKUP(D164,'Gemini Output'!B:B,'Gemini Output'!C:C,"No Match Yet")</f>
        <v>3</v>
      </c>
      <c r="G164" s="10" t="str">
        <f>_xlfn.XLOOKUP(D164,'Gemini Output'!B:B,'Gemini Output'!E:E,"No Match Yet")</f>
        <v>L2</v>
      </c>
      <c r="H164" s="10"/>
      <c r="I164" s="10"/>
      <c r="J164" s="10"/>
      <c r="K164" s="10"/>
      <c r="L164" s="10"/>
      <c r="M164" s="10"/>
      <c r="N164" s="10"/>
      <c r="O164" s="10"/>
    </row>
    <row r="165" spans="2:15" ht="20.25">
      <c r="B165" s="10"/>
      <c r="C165" s="14">
        <v>162</v>
      </c>
      <c r="D165" s="15" t="s">
        <v>239</v>
      </c>
      <c r="E165" s="14">
        <v>86</v>
      </c>
      <c r="F165" s="15">
        <f>_xlfn.XLOOKUP(D165,'Gemini Output'!B:B,'Gemini Output'!C:C,"No Match Yet")</f>
        <v>9</v>
      </c>
      <c r="G165" s="10" t="str">
        <f>_xlfn.XLOOKUP(D165,'Gemini Output'!B:B,'Gemini Output'!E:E,"No Match Yet")</f>
        <v>L1</v>
      </c>
      <c r="H165" s="10"/>
      <c r="I165" s="10"/>
      <c r="J165" s="10"/>
      <c r="K165" s="10"/>
      <c r="L165" s="10"/>
      <c r="M165" s="10"/>
      <c r="N165" s="10"/>
      <c r="O165" s="10"/>
    </row>
    <row r="166" spans="2:15" ht="20.25">
      <c r="B166" s="10"/>
      <c r="C166" s="14">
        <v>163</v>
      </c>
      <c r="D166" s="15" t="s">
        <v>240</v>
      </c>
      <c r="E166" s="14">
        <v>86</v>
      </c>
      <c r="F166" s="15">
        <f>_xlfn.XLOOKUP(D166,'Gemini Output'!B:B,'Gemini Output'!C:C,"No Match Yet")</f>
        <v>13</v>
      </c>
      <c r="G166" s="10" t="str">
        <f>_xlfn.XLOOKUP(D166,'Gemini Output'!B:B,'Gemini Output'!E:E,"No Match Yet")</f>
        <v>L1</v>
      </c>
      <c r="H166" s="10"/>
      <c r="I166" s="10"/>
      <c r="J166" s="10"/>
      <c r="K166" s="10"/>
      <c r="L166" s="10"/>
      <c r="M166" s="10"/>
      <c r="N166" s="10"/>
      <c r="O166" s="10"/>
    </row>
    <row r="167" spans="2:15" ht="20.25">
      <c r="B167" s="10"/>
      <c r="C167" s="14">
        <v>164</v>
      </c>
      <c r="D167" s="15" t="s">
        <v>241</v>
      </c>
      <c r="E167" s="14">
        <v>86</v>
      </c>
      <c r="F167" s="15">
        <f>_xlfn.XLOOKUP(D167,'Gemini Output'!B:B,'Gemini Output'!C:C,"No Match Yet")</f>
        <v>12</v>
      </c>
      <c r="G167" s="10" t="str">
        <f>_xlfn.XLOOKUP(D167,'Gemini Output'!B:B,'Gemini Output'!E:E,"No Match Yet")</f>
        <v>L1</v>
      </c>
      <c r="H167" s="10"/>
      <c r="I167" s="10"/>
      <c r="J167" s="10"/>
      <c r="K167" s="10"/>
      <c r="L167" s="10"/>
      <c r="M167" s="10"/>
      <c r="N167" s="10"/>
      <c r="O167" s="10"/>
    </row>
    <row r="168" spans="2:15" ht="20.25">
      <c r="B168" s="10"/>
      <c r="C168" s="14">
        <v>165</v>
      </c>
      <c r="D168" s="15" t="s">
        <v>242</v>
      </c>
      <c r="E168" s="14">
        <v>86</v>
      </c>
      <c r="F168" s="15">
        <f>_xlfn.XLOOKUP(D168,'Gemini Output'!B:B,'Gemini Output'!C:C,"No Match Yet")</f>
        <v>3</v>
      </c>
      <c r="G168" s="10" t="str">
        <f>_xlfn.XLOOKUP(D168,'Gemini Output'!B:B,'Gemini Output'!E:E,"No Match Yet")</f>
        <v>L2</v>
      </c>
      <c r="H168" s="10"/>
      <c r="I168" s="10"/>
      <c r="J168" s="10"/>
      <c r="K168" s="10"/>
      <c r="L168" s="10"/>
      <c r="M168" s="10"/>
      <c r="N168" s="10"/>
      <c r="O168" s="10"/>
    </row>
    <row r="169" spans="2:15" ht="20.25">
      <c r="B169" s="10"/>
      <c r="C169" s="14">
        <v>166</v>
      </c>
      <c r="D169" s="15" t="s">
        <v>243</v>
      </c>
      <c r="E169" s="14">
        <v>85</v>
      </c>
      <c r="F169" s="15">
        <f>_xlfn.XLOOKUP(D169,'Gemini Output'!B:B,'Gemini Output'!C:C,"No Match Yet")</f>
        <v>12</v>
      </c>
      <c r="G169" s="10" t="str">
        <f>_xlfn.XLOOKUP(D169,'Gemini Output'!B:B,'Gemini Output'!E:E,"No Match Yet")</f>
        <v>L1</v>
      </c>
      <c r="H169" s="10"/>
      <c r="I169" s="10"/>
      <c r="J169" s="10"/>
      <c r="K169" s="10"/>
      <c r="L169" s="10"/>
      <c r="M169" s="10"/>
      <c r="N169" s="10"/>
      <c r="O169" s="10"/>
    </row>
    <row r="170" spans="2:15" ht="20.25">
      <c r="B170" s="10"/>
      <c r="C170" s="14">
        <v>167</v>
      </c>
      <c r="D170" s="15" t="s">
        <v>244</v>
      </c>
      <c r="E170" s="14">
        <v>85</v>
      </c>
      <c r="F170" s="15">
        <f>_xlfn.XLOOKUP(D170,'Gemini Output'!B:B,'Gemini Output'!C:C,"No Match Yet")</f>
        <v>13</v>
      </c>
      <c r="G170" s="10" t="str">
        <f>_xlfn.XLOOKUP(D170,'Gemini Output'!B:B,'Gemini Output'!E:E,"No Match Yet")</f>
        <v>L1</v>
      </c>
      <c r="H170" s="10"/>
      <c r="I170" s="10"/>
      <c r="J170" s="10"/>
      <c r="K170" s="10"/>
      <c r="L170" s="10"/>
      <c r="M170" s="10"/>
      <c r="N170" s="10"/>
      <c r="O170" s="10"/>
    </row>
    <row r="171" spans="2:15" ht="20.25">
      <c r="B171" s="10"/>
      <c r="C171" s="14">
        <v>168</v>
      </c>
      <c r="D171" s="15" t="s">
        <v>245</v>
      </c>
      <c r="E171" s="14">
        <v>84</v>
      </c>
      <c r="F171" s="15">
        <f>_xlfn.XLOOKUP(D171,'Gemini Output'!B:B,'Gemini Output'!C:C,"No Match Yet")</f>
        <v>12</v>
      </c>
      <c r="G171" s="10" t="str">
        <f>_xlfn.XLOOKUP(D171,'Gemini Output'!B:B,'Gemini Output'!E:E,"No Match Yet")</f>
        <v>L2</v>
      </c>
      <c r="H171" s="10"/>
      <c r="I171" s="10"/>
      <c r="J171" s="10"/>
      <c r="K171" s="10"/>
      <c r="L171" s="10"/>
      <c r="M171" s="10"/>
      <c r="N171" s="10"/>
      <c r="O171" s="10"/>
    </row>
    <row r="172" spans="2:15" ht="20.25">
      <c r="B172" s="10"/>
      <c r="C172" s="14">
        <v>169</v>
      </c>
      <c r="D172" s="15" t="s">
        <v>246</v>
      </c>
      <c r="E172" s="14">
        <v>84</v>
      </c>
      <c r="F172" s="15">
        <f>_xlfn.XLOOKUP(D172,'Gemini Output'!B:B,'Gemini Output'!C:C,"No Match Yet")</f>
        <v>9</v>
      </c>
      <c r="G172" s="10" t="str">
        <f>_xlfn.XLOOKUP(D172,'Gemini Output'!B:B,'Gemini Output'!E:E,"No Match Yet")</f>
        <v>L1</v>
      </c>
      <c r="H172" s="10"/>
      <c r="I172" s="10"/>
      <c r="J172" s="10"/>
      <c r="K172" s="10"/>
      <c r="L172" s="10"/>
      <c r="M172" s="10"/>
      <c r="N172" s="10"/>
      <c r="O172" s="10"/>
    </row>
    <row r="173" spans="2:15" ht="20.25">
      <c r="B173" s="10"/>
      <c r="C173" s="14">
        <v>170</v>
      </c>
      <c r="D173" s="15" t="s">
        <v>247</v>
      </c>
      <c r="E173" s="14">
        <v>83</v>
      </c>
      <c r="F173" s="15">
        <f>_xlfn.XLOOKUP(D173,'Gemini Output'!B:B,'Gemini Output'!C:C,"No Match Yet")</f>
        <v>12</v>
      </c>
      <c r="G173" s="10" t="str">
        <f>_xlfn.XLOOKUP(D173,'Gemini Output'!B:B,'Gemini Output'!E:E,"No Match Yet")</f>
        <v>L1</v>
      </c>
      <c r="H173" s="10"/>
      <c r="I173" s="10"/>
      <c r="J173" s="10"/>
      <c r="K173" s="10"/>
      <c r="L173" s="10"/>
      <c r="M173" s="10"/>
      <c r="N173" s="10"/>
      <c r="O173" s="10"/>
    </row>
    <row r="174" spans="2:15" ht="20.25">
      <c r="B174" s="10"/>
      <c r="C174" s="14">
        <v>171</v>
      </c>
      <c r="D174" s="15" t="s">
        <v>248</v>
      </c>
      <c r="E174" s="14">
        <v>82</v>
      </c>
      <c r="F174" s="15">
        <f>_xlfn.XLOOKUP(D174,'Gemini Output'!B:B,'Gemini Output'!C:C,"No Match Yet")</f>
        <v>5</v>
      </c>
      <c r="G174" s="10" t="str">
        <f>_xlfn.XLOOKUP(D174,'Gemini Output'!B:B,'Gemini Output'!E:E,"No Match Yet")</f>
        <v>L2</v>
      </c>
      <c r="H174" s="10"/>
      <c r="I174" s="10"/>
      <c r="J174" s="10"/>
      <c r="K174" s="10"/>
      <c r="L174" s="10"/>
      <c r="M174" s="10"/>
      <c r="N174" s="10"/>
      <c r="O174" s="10"/>
    </row>
    <row r="175" spans="2:15" ht="20.25">
      <c r="B175" s="10"/>
      <c r="C175" s="14">
        <v>172</v>
      </c>
      <c r="D175" s="15" t="s">
        <v>249</v>
      </c>
      <c r="E175" s="14">
        <v>82</v>
      </c>
      <c r="F175" s="15">
        <f>_xlfn.XLOOKUP(D175,'Gemini Output'!B:B,'Gemini Output'!C:C,"No Match Yet")</f>
        <v>12</v>
      </c>
      <c r="G175" s="10" t="str">
        <f>_xlfn.XLOOKUP(D175,'Gemini Output'!B:B,'Gemini Output'!E:E,"No Match Yet")</f>
        <v>L1</v>
      </c>
      <c r="H175" s="10"/>
      <c r="I175" s="10"/>
      <c r="J175" s="10"/>
      <c r="K175" s="10"/>
      <c r="L175" s="10"/>
      <c r="M175" s="10"/>
      <c r="N175" s="10"/>
      <c r="O175" s="10"/>
    </row>
    <row r="176" spans="2:15" ht="20.25">
      <c r="B176" s="10"/>
      <c r="C176" s="14">
        <v>173</v>
      </c>
      <c r="D176" s="15" t="s">
        <v>250</v>
      </c>
      <c r="E176" s="14">
        <v>82</v>
      </c>
      <c r="F176" s="15">
        <f>_xlfn.XLOOKUP(D176,'Gemini Output'!B:B,'Gemini Output'!C:C,"No Match Yet")</f>
        <v>2</v>
      </c>
      <c r="G176" s="10" t="str">
        <f>_xlfn.XLOOKUP(D176,'Gemini Output'!B:B,'Gemini Output'!E:E,"No Match Yet")</f>
        <v>L2</v>
      </c>
      <c r="H176" s="10"/>
      <c r="I176" s="10"/>
      <c r="J176" s="10"/>
      <c r="K176" s="10"/>
      <c r="L176" s="10"/>
      <c r="M176" s="10"/>
      <c r="N176" s="10"/>
      <c r="O176" s="10"/>
    </row>
    <row r="177" spans="2:15" ht="20.25">
      <c r="B177" s="10"/>
      <c r="C177" s="14">
        <v>174</v>
      </c>
      <c r="D177" s="15" t="s">
        <v>251</v>
      </c>
      <c r="E177" s="14">
        <v>82</v>
      </c>
      <c r="F177" s="15">
        <f>_xlfn.XLOOKUP(D177,'Gemini Output'!B:B,'Gemini Output'!C:C,"No Match Yet")</f>
        <v>12</v>
      </c>
      <c r="G177" s="10" t="str">
        <f>_xlfn.XLOOKUP(D177,'Gemini Output'!B:B,'Gemini Output'!E:E,"No Match Yet")</f>
        <v>L1</v>
      </c>
      <c r="H177" s="10"/>
      <c r="I177" s="10"/>
      <c r="J177" s="10"/>
      <c r="K177" s="10"/>
      <c r="L177" s="10"/>
      <c r="M177" s="10"/>
      <c r="N177" s="10"/>
      <c r="O177" s="10"/>
    </row>
    <row r="178" spans="2:15" ht="20.25">
      <c r="B178" s="10"/>
      <c r="C178" s="14">
        <v>175</v>
      </c>
      <c r="D178" s="15" t="s">
        <v>252</v>
      </c>
      <c r="E178" s="14">
        <v>82</v>
      </c>
      <c r="F178" s="15">
        <f>_xlfn.XLOOKUP(D178,'Gemini Output'!B:B,'Gemini Output'!C:C,"No Match Yet")</f>
        <v>9</v>
      </c>
      <c r="G178" s="10" t="str">
        <f>_xlfn.XLOOKUP(D178,'Gemini Output'!B:B,'Gemini Output'!E:E,"No Match Yet")</f>
        <v>L1</v>
      </c>
      <c r="H178" s="10"/>
      <c r="I178" s="10"/>
      <c r="J178" s="10"/>
      <c r="K178" s="10"/>
      <c r="L178" s="10"/>
      <c r="M178" s="10"/>
      <c r="N178" s="10"/>
      <c r="O178" s="10"/>
    </row>
    <row r="179" spans="2:15" ht="20.25">
      <c r="B179" s="10"/>
      <c r="C179" s="14">
        <v>176</v>
      </c>
      <c r="D179" s="15" t="s">
        <v>253</v>
      </c>
      <c r="E179" s="14">
        <v>81</v>
      </c>
      <c r="F179" s="15">
        <f>_xlfn.XLOOKUP(D179,'Gemini Output'!B:B,'Gemini Output'!C:C,"No Match Yet")</f>
        <v>9</v>
      </c>
      <c r="G179" s="10" t="str">
        <f>_xlfn.XLOOKUP(D179,'Gemini Output'!B:B,'Gemini Output'!E:E,"No Match Yet")</f>
        <v>L1</v>
      </c>
      <c r="H179" s="10"/>
      <c r="I179" s="10"/>
      <c r="J179" s="10"/>
      <c r="K179" s="10"/>
      <c r="L179" s="10"/>
      <c r="M179" s="10"/>
      <c r="N179" s="10"/>
      <c r="O179" s="10"/>
    </row>
    <row r="180" spans="2:15" ht="20.25">
      <c r="B180" s="10"/>
      <c r="C180" s="14">
        <v>177</v>
      </c>
      <c r="D180" s="15" t="s">
        <v>254</v>
      </c>
      <c r="E180" s="14">
        <v>81</v>
      </c>
      <c r="F180" s="15">
        <f>_xlfn.XLOOKUP(D180,'Gemini Output'!B:B,'Gemini Output'!C:C,"No Match Yet")</f>
        <v>13</v>
      </c>
      <c r="G180" s="10" t="str">
        <f>_xlfn.XLOOKUP(D180,'Gemini Output'!B:B,'Gemini Output'!E:E,"No Match Yet")</f>
        <v>L1</v>
      </c>
      <c r="H180" s="10"/>
      <c r="I180" s="10"/>
      <c r="J180" s="10"/>
      <c r="K180" s="10"/>
      <c r="L180" s="10"/>
      <c r="M180" s="10"/>
      <c r="N180" s="10"/>
      <c r="O180" s="10"/>
    </row>
    <row r="181" spans="2:15" ht="20.25">
      <c r="B181" s="10"/>
      <c r="C181" s="14">
        <v>178</v>
      </c>
      <c r="D181" s="15" t="s">
        <v>255</v>
      </c>
      <c r="E181" s="14">
        <v>81</v>
      </c>
      <c r="F181" s="15">
        <f>_xlfn.XLOOKUP(D181,'Gemini Output'!B:B,'Gemini Output'!C:C,"No Match Yet")</f>
        <v>11</v>
      </c>
      <c r="G181" s="10" t="str">
        <f>_xlfn.XLOOKUP(D181,'Gemini Output'!B:B,'Gemini Output'!E:E,"No Match Yet")</f>
        <v>L2</v>
      </c>
      <c r="H181" s="10"/>
      <c r="I181" s="10"/>
      <c r="J181" s="10"/>
      <c r="K181" s="10"/>
      <c r="L181" s="10"/>
      <c r="M181" s="10"/>
      <c r="N181" s="10"/>
      <c r="O181" s="10"/>
    </row>
    <row r="182" spans="2:15" ht="20.25">
      <c r="B182" s="10"/>
      <c r="C182" s="14">
        <v>179</v>
      </c>
      <c r="D182" s="15" t="s">
        <v>256</v>
      </c>
      <c r="E182" s="14">
        <v>81</v>
      </c>
      <c r="F182" s="15">
        <f>_xlfn.XLOOKUP(D182,'Gemini Output'!B:B,'Gemini Output'!C:C,"No Match Yet")</f>
        <v>10</v>
      </c>
      <c r="G182" s="10" t="str">
        <f>_xlfn.XLOOKUP(D182,'Gemini Output'!B:B,'Gemini Output'!E:E,"No Match Yet")</f>
        <v>L2</v>
      </c>
      <c r="H182" s="10"/>
      <c r="I182" s="10"/>
      <c r="J182" s="10"/>
      <c r="K182" s="10"/>
      <c r="L182" s="10"/>
      <c r="M182" s="10"/>
      <c r="N182" s="10"/>
      <c r="O182" s="10"/>
    </row>
    <row r="183" spans="2:15" ht="20.25">
      <c r="B183" s="10"/>
      <c r="C183" s="14">
        <v>180</v>
      </c>
      <c r="D183" s="15" t="s">
        <v>257</v>
      </c>
      <c r="E183" s="14"/>
      <c r="F183" s="15">
        <f>_xlfn.XLOOKUP(D183,'Gemini Output'!B:B,'Gemini Output'!C:C,"No Match Yet")</f>
        <v>9</v>
      </c>
      <c r="G183" s="10" t="str">
        <f>_xlfn.XLOOKUP(D183,'Gemini Output'!B:B,'Gemini Output'!E:E,"No Match Yet")</f>
        <v>L1</v>
      </c>
      <c r="H183" s="10"/>
      <c r="I183" s="10"/>
      <c r="J183" s="10"/>
      <c r="K183" s="10"/>
      <c r="L183" s="10"/>
      <c r="M183" s="10"/>
      <c r="N183" s="10"/>
      <c r="O183" s="10"/>
    </row>
    <row r="184" spans="2:15" ht="20.25">
      <c r="B184" s="10"/>
      <c r="C184" s="14">
        <v>181</v>
      </c>
      <c r="D184" s="15" t="s">
        <v>258</v>
      </c>
      <c r="E184" s="14">
        <v>80</v>
      </c>
      <c r="F184" s="15">
        <f>_xlfn.XLOOKUP(D184,'Gemini Output'!B:B,'Gemini Output'!C:C,"No Match Yet")</f>
        <v>9</v>
      </c>
      <c r="G184" s="10" t="str">
        <f>_xlfn.XLOOKUP(D184,'Gemini Output'!B:B,'Gemini Output'!E:E,"No Match Yet")</f>
        <v>L1</v>
      </c>
      <c r="H184" s="10"/>
      <c r="I184" s="10"/>
      <c r="J184" s="10"/>
      <c r="K184" s="10"/>
      <c r="L184" s="10"/>
      <c r="M184" s="10"/>
      <c r="N184" s="10"/>
      <c r="O184" s="10"/>
    </row>
    <row r="185" spans="2:15" ht="20.25">
      <c r="B185" s="10"/>
      <c r="C185" s="14">
        <v>182</v>
      </c>
      <c r="D185" s="15" t="s">
        <v>259</v>
      </c>
      <c r="E185" s="14">
        <v>80</v>
      </c>
      <c r="F185" s="15">
        <f>_xlfn.XLOOKUP(D185,'Gemini Output'!B:B,'Gemini Output'!C:C,"No Match Yet")</f>
        <v>12</v>
      </c>
      <c r="G185" s="10" t="str">
        <f>_xlfn.XLOOKUP(D185,'Gemini Output'!B:B,'Gemini Output'!E:E,"No Match Yet")</f>
        <v>L2</v>
      </c>
      <c r="H185" s="10"/>
      <c r="I185" s="10"/>
      <c r="J185" s="10"/>
      <c r="K185" s="10"/>
      <c r="L185" s="10"/>
      <c r="M185" s="10"/>
      <c r="N185" s="10"/>
      <c r="O185" s="10"/>
    </row>
    <row r="186" spans="2:15" ht="20.25">
      <c r="B186" s="10"/>
      <c r="C186" s="14">
        <v>183</v>
      </c>
      <c r="D186" s="15" t="s">
        <v>260</v>
      </c>
      <c r="E186" s="14">
        <v>80</v>
      </c>
      <c r="F186" s="15">
        <f>_xlfn.XLOOKUP(D186,'Gemini Output'!B:B,'Gemini Output'!C:C,"No Match Yet")</f>
        <v>13</v>
      </c>
      <c r="G186" s="10" t="str">
        <f>_xlfn.XLOOKUP(D186,'Gemini Output'!B:B,'Gemini Output'!E:E,"No Match Yet")</f>
        <v>L1</v>
      </c>
      <c r="H186" s="10"/>
      <c r="I186" s="10"/>
      <c r="J186" s="10"/>
      <c r="K186" s="10"/>
      <c r="L186" s="10"/>
      <c r="M186" s="10"/>
      <c r="N186" s="10"/>
      <c r="O186" s="10"/>
    </row>
    <row r="187" spans="2:15" ht="20.25">
      <c r="B187" s="10"/>
      <c r="C187" s="14">
        <v>184</v>
      </c>
      <c r="D187" s="15" t="s">
        <v>261</v>
      </c>
      <c r="E187" s="14">
        <v>80</v>
      </c>
      <c r="F187" s="15">
        <f>_xlfn.XLOOKUP(D187,'Gemini Output'!B:B,'Gemini Output'!C:C,"No Match Yet")</f>
        <v>12</v>
      </c>
      <c r="G187" s="10" t="str">
        <f>_xlfn.XLOOKUP(D187,'Gemini Output'!B:B,'Gemini Output'!E:E,"No Match Yet")</f>
        <v>L2</v>
      </c>
      <c r="H187" s="10"/>
      <c r="I187" s="10"/>
      <c r="J187" s="10"/>
      <c r="K187" s="10"/>
      <c r="L187" s="10"/>
      <c r="M187" s="10"/>
      <c r="N187" s="10"/>
      <c r="O187" s="10"/>
    </row>
    <row r="188" spans="2:15" ht="20.25">
      <c r="B188" s="10"/>
      <c r="C188" s="14">
        <v>185</v>
      </c>
      <c r="D188" s="15" t="s">
        <v>262</v>
      </c>
      <c r="E188" s="14">
        <v>80</v>
      </c>
      <c r="F188" s="15">
        <f>_xlfn.XLOOKUP(D188,'Gemini Output'!B:B,'Gemini Output'!C:C,"No Match Yet")</f>
        <v>12</v>
      </c>
      <c r="G188" s="10" t="str">
        <f>_xlfn.XLOOKUP(D188,'Gemini Output'!B:B,'Gemini Output'!E:E,"No Match Yet")</f>
        <v>L1</v>
      </c>
      <c r="H188" s="10"/>
      <c r="I188" s="10"/>
      <c r="J188" s="10"/>
      <c r="K188" s="10"/>
      <c r="L188" s="10"/>
      <c r="M188" s="10"/>
      <c r="N188" s="10"/>
      <c r="O188" s="10"/>
    </row>
    <row r="189" spans="2:15" ht="20.25">
      <c r="B189" s="10"/>
      <c r="C189" s="14">
        <v>186</v>
      </c>
      <c r="D189" s="15" t="s">
        <v>263</v>
      </c>
      <c r="E189" s="14">
        <v>80</v>
      </c>
      <c r="F189" s="15">
        <f>_xlfn.XLOOKUP(D189,'Gemini Output'!B:B,'Gemini Output'!C:C,"No Match Yet")</f>
        <v>12</v>
      </c>
      <c r="G189" s="10" t="str">
        <f>_xlfn.XLOOKUP(D189,'Gemini Output'!B:B,'Gemini Output'!E:E,"No Match Yet")</f>
        <v>L1</v>
      </c>
      <c r="H189" s="10"/>
      <c r="I189" s="10"/>
      <c r="J189" s="10"/>
      <c r="K189" s="10"/>
      <c r="L189" s="10"/>
      <c r="M189" s="10"/>
      <c r="N189" s="10"/>
      <c r="O189" s="10"/>
    </row>
    <row r="190" spans="2:15" ht="20.25">
      <c r="B190" s="10"/>
      <c r="C190" s="14">
        <v>187</v>
      </c>
      <c r="D190" s="15" t="s">
        <v>264</v>
      </c>
      <c r="E190" s="14">
        <v>80</v>
      </c>
      <c r="F190" s="15">
        <f>_xlfn.XLOOKUP(D190,'Gemini Output'!B:B,'Gemini Output'!C:C,"No Match Yet")</f>
        <v>1</v>
      </c>
      <c r="G190" s="10" t="str">
        <f>_xlfn.XLOOKUP(D190,'Gemini Output'!B:B,'Gemini Output'!E:E,"No Match Yet")</f>
        <v>L2</v>
      </c>
      <c r="H190" s="10"/>
      <c r="I190" s="10"/>
      <c r="J190" s="10"/>
      <c r="K190" s="10"/>
      <c r="L190" s="10"/>
      <c r="M190" s="10"/>
      <c r="N190" s="10"/>
      <c r="O190" s="10"/>
    </row>
    <row r="191" spans="2:15" ht="20.25">
      <c r="B191" s="10"/>
      <c r="C191" s="14">
        <v>188</v>
      </c>
      <c r="D191" s="15" t="s">
        <v>265</v>
      </c>
      <c r="E191" s="14">
        <v>80</v>
      </c>
      <c r="F191" s="15">
        <f>_xlfn.XLOOKUP(D191,'Gemini Output'!B:B,'Gemini Output'!C:C,"No Match Yet")</f>
        <v>9</v>
      </c>
      <c r="G191" s="10" t="str">
        <f>_xlfn.XLOOKUP(D191,'Gemini Output'!B:B,'Gemini Output'!E:E,"No Match Yet")</f>
        <v>L1</v>
      </c>
      <c r="H191" s="10"/>
      <c r="I191" s="10"/>
      <c r="J191" s="10"/>
      <c r="K191" s="10"/>
      <c r="L191" s="10"/>
      <c r="M191" s="10"/>
      <c r="N191" s="10"/>
      <c r="O191" s="10"/>
    </row>
    <row r="192" spans="2:15" ht="20.25">
      <c r="B192" s="10"/>
      <c r="C192" s="14">
        <v>189</v>
      </c>
      <c r="D192" s="15" t="s">
        <v>266</v>
      </c>
      <c r="E192" s="14">
        <v>80</v>
      </c>
      <c r="F192" s="15">
        <f>_xlfn.XLOOKUP(D192,'Gemini Output'!B:B,'Gemini Output'!C:C,"No Match Yet")</f>
        <v>12</v>
      </c>
      <c r="G192" s="10" t="str">
        <f>_xlfn.XLOOKUP(D192,'Gemini Output'!B:B,'Gemini Output'!E:E,"No Match Yet")</f>
        <v>L1</v>
      </c>
      <c r="H192" s="10"/>
      <c r="I192" s="10"/>
      <c r="J192" s="10"/>
      <c r="K192" s="10"/>
      <c r="L192" s="10"/>
      <c r="M192" s="10"/>
      <c r="N192" s="10"/>
      <c r="O192" s="10"/>
    </row>
    <row r="193" spans="2:15" ht="20.25">
      <c r="B193" s="10"/>
      <c r="C193" s="14">
        <v>190</v>
      </c>
      <c r="D193" s="15" t="s">
        <v>267</v>
      </c>
      <c r="E193" s="14">
        <v>79</v>
      </c>
      <c r="F193" s="15">
        <f>_xlfn.XLOOKUP(D193,'Gemini Output'!B:B,'Gemini Output'!C:C,"No Match Yet")</f>
        <v>11</v>
      </c>
      <c r="G193" s="10" t="str">
        <f>_xlfn.XLOOKUP(D193,'Gemini Output'!B:B,'Gemini Output'!E:E,"No Match Yet")</f>
        <v>L1</v>
      </c>
      <c r="H193" s="10"/>
      <c r="I193" s="10"/>
      <c r="J193" s="10"/>
      <c r="K193" s="10"/>
      <c r="L193" s="10"/>
      <c r="M193" s="10"/>
      <c r="N193" s="10"/>
      <c r="O193" s="10"/>
    </row>
    <row r="194" spans="2:15" ht="20.25">
      <c r="B194" s="10"/>
      <c r="C194" s="14">
        <v>191</v>
      </c>
      <c r="D194" s="15" t="s">
        <v>268</v>
      </c>
      <c r="E194" s="14">
        <v>79</v>
      </c>
      <c r="F194" s="15">
        <f>_xlfn.XLOOKUP(D194,'Gemini Output'!B:B,'Gemini Output'!C:C,"No Match Yet")</f>
        <v>9</v>
      </c>
      <c r="G194" s="10" t="str">
        <f>_xlfn.XLOOKUP(D194,'Gemini Output'!B:B,'Gemini Output'!E:E,"No Match Yet")</f>
        <v>L1</v>
      </c>
      <c r="H194" s="10"/>
      <c r="I194" s="10"/>
      <c r="J194" s="10"/>
      <c r="K194" s="10"/>
      <c r="L194" s="10"/>
      <c r="M194" s="10"/>
      <c r="N194" s="10"/>
      <c r="O194" s="10"/>
    </row>
    <row r="195" spans="2:15" ht="20.25">
      <c r="B195" s="10"/>
      <c r="C195" s="14">
        <v>192</v>
      </c>
      <c r="D195" s="15" t="s">
        <v>269</v>
      </c>
      <c r="E195" s="14">
        <v>79</v>
      </c>
      <c r="F195" s="15">
        <f>_xlfn.XLOOKUP(D195,'Gemini Output'!B:B,'Gemini Output'!C:C,"No Match Yet")</f>
        <v>15</v>
      </c>
      <c r="G195" s="10" t="str">
        <f>_xlfn.XLOOKUP(D195,'Gemini Output'!B:B,'Gemini Output'!E:E,"No Match Yet")</f>
        <v>L1</v>
      </c>
      <c r="H195" s="10"/>
      <c r="I195" s="10"/>
      <c r="J195" s="10"/>
      <c r="K195" s="10"/>
      <c r="L195" s="10"/>
      <c r="M195" s="10"/>
      <c r="N195" s="10"/>
      <c r="O195" s="10"/>
    </row>
    <row r="196" spans="2:15" ht="20.25">
      <c r="B196" s="10"/>
      <c r="C196" s="14">
        <v>193</v>
      </c>
      <c r="D196" s="15" t="s">
        <v>270</v>
      </c>
      <c r="E196" s="14">
        <v>79</v>
      </c>
      <c r="F196" s="15">
        <f>_xlfn.XLOOKUP(D196,'Gemini Output'!B:B,'Gemini Output'!C:C,"No Match Yet")</f>
        <v>15</v>
      </c>
      <c r="G196" s="10" t="str">
        <f>_xlfn.XLOOKUP(D196,'Gemini Output'!B:B,'Gemini Output'!E:E,"No Match Yet")</f>
        <v>L1</v>
      </c>
      <c r="H196" s="10"/>
      <c r="I196" s="10"/>
      <c r="J196" s="10"/>
      <c r="K196" s="10"/>
      <c r="L196" s="10"/>
      <c r="M196" s="10"/>
      <c r="N196" s="10"/>
      <c r="O196" s="10"/>
    </row>
    <row r="197" spans="2:15" ht="20.25">
      <c r="B197" s="10"/>
      <c r="C197" s="14">
        <v>194</v>
      </c>
      <c r="D197" s="15" t="s">
        <v>271</v>
      </c>
      <c r="E197" s="14">
        <v>79</v>
      </c>
      <c r="F197" s="15">
        <f>_xlfn.XLOOKUP(D197,'Gemini Output'!B:B,'Gemini Output'!C:C,"No Match Yet")</f>
        <v>8</v>
      </c>
      <c r="G197" s="10" t="str">
        <f>_xlfn.XLOOKUP(D197,'Gemini Output'!B:B,'Gemini Output'!E:E,"No Match Yet")</f>
        <v>L2</v>
      </c>
      <c r="H197" s="10"/>
      <c r="I197" s="10"/>
      <c r="J197" s="10"/>
      <c r="K197" s="10"/>
      <c r="L197" s="10"/>
      <c r="M197" s="10"/>
      <c r="N197" s="10"/>
      <c r="O197" s="10"/>
    </row>
    <row r="198" spans="2:15" ht="20.25">
      <c r="B198" s="10"/>
      <c r="C198" s="14">
        <v>195</v>
      </c>
      <c r="D198" s="15" t="s">
        <v>272</v>
      </c>
      <c r="E198" s="14">
        <v>78</v>
      </c>
      <c r="F198" s="15">
        <f>_xlfn.XLOOKUP(D198,'Gemini Output'!B:B,'Gemini Output'!C:C,"No Match Yet")</f>
        <v>7</v>
      </c>
      <c r="G198" s="10" t="str">
        <f>_xlfn.XLOOKUP(D198,'Gemini Output'!B:B,'Gemini Output'!E:E,"No Match Yet")</f>
        <v>L2</v>
      </c>
      <c r="H198" s="10"/>
      <c r="I198" s="10"/>
      <c r="J198" s="10"/>
      <c r="K198" s="10"/>
      <c r="L198" s="10"/>
      <c r="M198" s="10"/>
      <c r="N198" s="10"/>
      <c r="O198" s="10"/>
    </row>
    <row r="199" spans="2:15" ht="20.25">
      <c r="B199" s="10"/>
      <c r="C199" s="14">
        <v>196</v>
      </c>
      <c r="D199" s="15" t="s">
        <v>273</v>
      </c>
      <c r="E199" s="14">
        <v>78</v>
      </c>
      <c r="F199" s="15">
        <f>_xlfn.XLOOKUP(D199,'Gemini Output'!B:B,'Gemini Output'!C:C,"No Match Yet")</f>
        <v>12</v>
      </c>
      <c r="G199" s="10" t="str">
        <f>_xlfn.XLOOKUP(D199,'Gemini Output'!B:B,'Gemini Output'!E:E,"No Match Yet")</f>
        <v>L2</v>
      </c>
      <c r="H199" s="10"/>
      <c r="I199" s="10"/>
      <c r="J199" s="10"/>
      <c r="K199" s="10"/>
      <c r="L199" s="10"/>
      <c r="M199" s="10"/>
      <c r="N199" s="10"/>
      <c r="O199" s="10"/>
    </row>
    <row r="200" spans="2:15" ht="20.25">
      <c r="B200" s="10"/>
      <c r="C200" s="14">
        <v>197</v>
      </c>
      <c r="D200" s="15" t="s">
        <v>274</v>
      </c>
      <c r="E200" s="14">
        <v>78</v>
      </c>
      <c r="F200" s="15">
        <f>_xlfn.XLOOKUP(D200,'Gemini Output'!B:B,'Gemini Output'!C:C,"No Match Yet")</f>
        <v>9</v>
      </c>
      <c r="G200" s="10" t="str">
        <f>_xlfn.XLOOKUP(D200,'Gemini Output'!B:B,'Gemini Output'!E:E,"No Match Yet")</f>
        <v>L1</v>
      </c>
      <c r="H200" s="10"/>
      <c r="I200" s="10"/>
      <c r="J200" s="10"/>
      <c r="K200" s="10"/>
      <c r="L200" s="10"/>
      <c r="M200" s="10"/>
      <c r="N200" s="10"/>
      <c r="O200" s="10"/>
    </row>
    <row r="201" spans="2:15" ht="20.25">
      <c r="B201" s="10"/>
      <c r="C201" s="14">
        <v>198</v>
      </c>
      <c r="D201" s="15" t="s">
        <v>275</v>
      </c>
      <c r="E201" s="14">
        <v>78</v>
      </c>
      <c r="F201" s="15">
        <f>_xlfn.XLOOKUP(D201,'Gemini Output'!B:B,'Gemini Output'!C:C,"No Match Yet")</f>
        <v>12</v>
      </c>
      <c r="G201" s="10" t="str">
        <f>_xlfn.XLOOKUP(D201,'Gemini Output'!B:B,'Gemini Output'!E:E,"No Match Yet")</f>
        <v>L1</v>
      </c>
      <c r="H201" s="10"/>
      <c r="I201" s="10"/>
      <c r="J201" s="10"/>
      <c r="K201" s="10"/>
      <c r="L201" s="10"/>
      <c r="M201" s="10"/>
      <c r="N201" s="10"/>
      <c r="O201" s="10"/>
    </row>
    <row r="202" spans="2:15" ht="20.25">
      <c r="B202" s="10"/>
      <c r="C202" s="14">
        <v>199</v>
      </c>
      <c r="D202" s="15" t="s">
        <v>276</v>
      </c>
      <c r="E202" s="14">
        <v>77</v>
      </c>
      <c r="F202" s="15">
        <f>_xlfn.XLOOKUP(D202,'Gemini Output'!B:B,'Gemini Output'!C:C,"No Match Yet")</f>
        <v>12</v>
      </c>
      <c r="G202" s="10" t="str">
        <f>_xlfn.XLOOKUP(D202,'Gemini Output'!B:B,'Gemini Output'!E:E,"No Match Yet")</f>
        <v>L1</v>
      </c>
      <c r="H202" s="10"/>
      <c r="I202" s="10"/>
      <c r="J202" s="10"/>
      <c r="K202" s="10"/>
      <c r="L202" s="10"/>
      <c r="M202" s="10"/>
      <c r="N202" s="10"/>
      <c r="O202" s="10"/>
    </row>
    <row r="203" spans="2:15" ht="20.25">
      <c r="B203" s="10"/>
      <c r="C203" s="14">
        <v>200</v>
      </c>
      <c r="D203" s="15" t="s">
        <v>277</v>
      </c>
      <c r="E203" s="14">
        <v>77</v>
      </c>
      <c r="F203" s="15">
        <f>_xlfn.XLOOKUP(D203,'Gemini Output'!B:B,'Gemini Output'!C:C,"No Match Yet")</f>
        <v>12</v>
      </c>
      <c r="G203" s="10" t="str">
        <f>_xlfn.XLOOKUP(D203,'Gemini Output'!B:B,'Gemini Output'!E:E,"No Match Yet")</f>
        <v>L2</v>
      </c>
      <c r="H203" s="10"/>
      <c r="I203" s="10"/>
      <c r="J203" s="10"/>
      <c r="K203" s="10"/>
      <c r="L203" s="10"/>
      <c r="M203" s="10"/>
      <c r="N203" s="10"/>
      <c r="O203" s="10"/>
    </row>
    <row r="204" spans="2:15" ht="20.25">
      <c r="B204" s="10"/>
      <c r="C204" s="14">
        <v>201</v>
      </c>
      <c r="D204" s="15" t="s">
        <v>278</v>
      </c>
      <c r="E204" s="14">
        <v>77</v>
      </c>
      <c r="F204" s="15">
        <f>_xlfn.XLOOKUP(D204,'Gemini Output'!B:B,'Gemini Output'!C:C,"No Match Yet")</f>
        <v>10</v>
      </c>
      <c r="G204" s="10" t="str">
        <f>_xlfn.XLOOKUP(D204,'Gemini Output'!B:B,'Gemini Output'!E:E,"No Match Yet")</f>
        <v>L1</v>
      </c>
      <c r="H204" s="10"/>
      <c r="I204" s="10"/>
      <c r="J204" s="10"/>
      <c r="K204" s="10"/>
      <c r="L204" s="10"/>
      <c r="M204" s="10"/>
      <c r="N204" s="10"/>
      <c r="O204" s="10"/>
    </row>
    <row r="205" spans="2:15" ht="20.25">
      <c r="B205" s="10"/>
      <c r="C205" s="14">
        <v>202</v>
      </c>
      <c r="D205" s="15" t="s">
        <v>279</v>
      </c>
      <c r="E205" s="14">
        <v>76</v>
      </c>
      <c r="F205" s="15">
        <f>_xlfn.XLOOKUP(D205,'Gemini Output'!B:B,'Gemini Output'!C:C,"No Match Yet")</f>
        <v>13</v>
      </c>
      <c r="G205" s="10" t="str">
        <f>_xlfn.XLOOKUP(D205,'Gemini Output'!B:B,'Gemini Output'!E:E,"No Match Yet")</f>
        <v>L1</v>
      </c>
      <c r="H205" s="10"/>
      <c r="I205" s="10"/>
      <c r="J205" s="10"/>
      <c r="K205" s="10"/>
      <c r="L205" s="10"/>
      <c r="M205" s="10"/>
      <c r="N205" s="10"/>
      <c r="O205" s="10"/>
    </row>
    <row r="206" spans="2:15" ht="20.25">
      <c r="B206" s="10"/>
      <c r="C206" s="14">
        <v>203</v>
      </c>
      <c r="D206" s="15" t="s">
        <v>280</v>
      </c>
      <c r="E206" s="14">
        <v>76</v>
      </c>
      <c r="F206" s="15">
        <f>_xlfn.XLOOKUP(D206,'Gemini Output'!B:B,'Gemini Output'!C:C,"No Match Yet")</f>
        <v>9</v>
      </c>
      <c r="G206" s="10" t="str">
        <f>_xlfn.XLOOKUP(D206,'Gemini Output'!B:B,'Gemini Output'!E:E,"No Match Yet")</f>
        <v>L1</v>
      </c>
      <c r="H206" s="10"/>
      <c r="I206" s="10"/>
      <c r="J206" s="10"/>
      <c r="K206" s="10"/>
      <c r="L206" s="10"/>
      <c r="M206" s="10"/>
      <c r="N206" s="10"/>
      <c r="O206" s="10"/>
    </row>
    <row r="207" spans="2:15" ht="20.25">
      <c r="B207" s="10"/>
      <c r="C207" s="14">
        <v>204</v>
      </c>
      <c r="D207" s="15" t="s">
        <v>281</v>
      </c>
      <c r="E207" s="14">
        <v>76</v>
      </c>
      <c r="F207" s="15">
        <f>_xlfn.XLOOKUP(D207,'Gemini Output'!B:B,'Gemini Output'!C:C,"No Match Yet")</f>
        <v>9</v>
      </c>
      <c r="G207" s="10" t="str">
        <f>_xlfn.XLOOKUP(D207,'Gemini Output'!B:B,'Gemini Output'!E:E,"No Match Yet")</f>
        <v>L1</v>
      </c>
      <c r="H207" s="10"/>
      <c r="I207" s="10"/>
      <c r="J207" s="10"/>
      <c r="K207" s="10"/>
      <c r="L207" s="10"/>
      <c r="M207" s="10"/>
      <c r="N207" s="10"/>
      <c r="O207" s="10"/>
    </row>
    <row r="208" spans="2:15" ht="20.25">
      <c r="B208" s="10"/>
      <c r="C208" s="14">
        <v>205</v>
      </c>
      <c r="D208" s="15" t="s">
        <v>282</v>
      </c>
      <c r="E208" s="14">
        <v>76</v>
      </c>
      <c r="F208" s="15">
        <f>_xlfn.XLOOKUP(D208,'Gemini Output'!B:B,'Gemini Output'!C:C,"No Match Yet")</f>
        <v>12</v>
      </c>
      <c r="G208" s="10" t="str">
        <f>_xlfn.XLOOKUP(D208,'Gemini Output'!B:B,'Gemini Output'!E:E,"No Match Yet")</f>
        <v>L1</v>
      </c>
      <c r="H208" s="10"/>
      <c r="I208" s="10"/>
      <c r="J208" s="10"/>
      <c r="K208" s="10"/>
      <c r="L208" s="10"/>
      <c r="M208" s="10"/>
      <c r="N208" s="10"/>
      <c r="O208" s="10"/>
    </row>
    <row r="209" spans="2:15" ht="20.25">
      <c r="B209" s="10"/>
      <c r="C209" s="14">
        <v>206</v>
      </c>
      <c r="D209" s="15" t="s">
        <v>283</v>
      </c>
      <c r="E209" s="14">
        <v>75</v>
      </c>
      <c r="F209" s="15">
        <f>_xlfn.XLOOKUP(D209,'Gemini Output'!B:B,'Gemini Output'!C:C,"No Match Yet")</f>
        <v>2</v>
      </c>
      <c r="G209" s="10" t="str">
        <f>_xlfn.XLOOKUP(D209,'Gemini Output'!B:B,'Gemini Output'!E:E,"No Match Yet")</f>
        <v>L1</v>
      </c>
      <c r="H209" s="10"/>
      <c r="I209" s="10"/>
      <c r="J209" s="10"/>
      <c r="K209" s="10"/>
      <c r="L209" s="10"/>
      <c r="M209" s="10"/>
      <c r="N209" s="10"/>
      <c r="O209" s="10"/>
    </row>
    <row r="210" spans="2:15" ht="20.25">
      <c r="B210" s="10"/>
      <c r="C210" s="14">
        <v>207</v>
      </c>
      <c r="D210" s="15" t="s">
        <v>284</v>
      </c>
      <c r="E210" s="14">
        <v>75</v>
      </c>
      <c r="F210" s="15">
        <f>_xlfn.XLOOKUP(D210,'Gemini Output'!B:B,'Gemini Output'!C:C,"No Match Yet")</f>
        <v>9</v>
      </c>
      <c r="G210" s="10" t="str">
        <f>_xlfn.XLOOKUP(D210,'Gemini Output'!B:B,'Gemini Output'!E:E,"No Match Yet")</f>
        <v>L2</v>
      </c>
      <c r="H210" s="10"/>
      <c r="I210" s="10"/>
      <c r="J210" s="10"/>
      <c r="K210" s="10"/>
      <c r="L210" s="10"/>
      <c r="M210" s="10"/>
      <c r="N210" s="10"/>
      <c r="O210" s="10"/>
    </row>
    <row r="211" spans="2:15" ht="20.25">
      <c r="B211" s="10"/>
      <c r="C211" s="14">
        <v>208</v>
      </c>
      <c r="D211" s="15" t="s">
        <v>285</v>
      </c>
      <c r="E211" s="14">
        <v>75</v>
      </c>
      <c r="F211" s="15">
        <f>_xlfn.XLOOKUP(D211,'Gemini Output'!B:B,'Gemini Output'!C:C,"No Match Yet")</f>
        <v>3</v>
      </c>
      <c r="G211" s="10" t="str">
        <f>_xlfn.XLOOKUP(D211,'Gemini Output'!B:B,'Gemini Output'!E:E,"No Match Yet")</f>
        <v>L2</v>
      </c>
      <c r="H211" s="10"/>
      <c r="I211" s="10"/>
      <c r="J211" s="10"/>
      <c r="K211" s="10"/>
      <c r="L211" s="10"/>
      <c r="M211" s="10"/>
      <c r="N211" s="10"/>
      <c r="O211" s="10"/>
    </row>
    <row r="212" spans="2:15" ht="20.25">
      <c r="B212" s="10"/>
      <c r="C212" s="14">
        <v>209</v>
      </c>
      <c r="D212" s="15" t="s">
        <v>286</v>
      </c>
      <c r="E212" s="14">
        <v>74</v>
      </c>
      <c r="F212" s="15">
        <f>_xlfn.XLOOKUP(D212,'Gemini Output'!B:B,'Gemini Output'!C:C,"No Match Yet")</f>
        <v>12</v>
      </c>
      <c r="G212" s="10" t="str">
        <f>_xlfn.XLOOKUP(D212,'Gemini Output'!B:B,'Gemini Output'!E:E,"No Match Yet")</f>
        <v>L2</v>
      </c>
      <c r="H212" s="10"/>
      <c r="I212" s="10"/>
      <c r="J212" s="10"/>
      <c r="K212" s="10"/>
      <c r="L212" s="10"/>
      <c r="M212" s="10"/>
      <c r="N212" s="10"/>
      <c r="O212" s="10"/>
    </row>
    <row r="213" spans="2:15" ht="20.25">
      <c r="B213" s="10"/>
      <c r="C213" s="14">
        <v>210</v>
      </c>
      <c r="D213" s="15" t="s">
        <v>287</v>
      </c>
      <c r="E213" s="14">
        <v>73</v>
      </c>
      <c r="F213" s="15">
        <f>_xlfn.XLOOKUP(D213,'Gemini Output'!B:B,'Gemini Output'!C:C,"No Match Yet")</f>
        <v>10</v>
      </c>
      <c r="G213" s="10" t="str">
        <f>_xlfn.XLOOKUP(D213,'Gemini Output'!B:B,'Gemini Output'!E:E,"No Match Yet")</f>
        <v>L1</v>
      </c>
      <c r="H213" s="10"/>
      <c r="I213" s="10"/>
      <c r="J213" s="10"/>
      <c r="K213" s="10"/>
      <c r="L213" s="10"/>
      <c r="M213" s="10"/>
      <c r="N213" s="10"/>
      <c r="O213" s="10"/>
    </row>
    <row r="214" spans="2:15" ht="20.25">
      <c r="B214" s="10"/>
      <c r="C214" s="14">
        <v>211</v>
      </c>
      <c r="D214" s="15" t="s">
        <v>288</v>
      </c>
      <c r="E214" s="14">
        <v>72</v>
      </c>
      <c r="F214" s="15">
        <f>_xlfn.XLOOKUP(D214,'Gemini Output'!B:B,'Gemini Output'!C:C,"No Match Yet")</f>
        <v>1</v>
      </c>
      <c r="G214" s="10" t="str">
        <f>_xlfn.XLOOKUP(D214,'Gemini Output'!B:B,'Gemini Output'!E:E,"No Match Yet")</f>
        <v>L2</v>
      </c>
      <c r="H214" s="10"/>
      <c r="I214" s="10"/>
      <c r="J214" s="10"/>
      <c r="K214" s="10"/>
      <c r="L214" s="10"/>
      <c r="M214" s="10"/>
      <c r="N214" s="10"/>
      <c r="O214" s="10"/>
    </row>
    <row r="215" spans="2:15" ht="20.25">
      <c r="B215" s="10"/>
      <c r="C215" s="14">
        <v>212</v>
      </c>
      <c r="D215" s="15" t="s">
        <v>289</v>
      </c>
      <c r="E215" s="14">
        <v>72</v>
      </c>
      <c r="F215" s="15">
        <f>_xlfn.XLOOKUP(D215,'Gemini Output'!B:B,'Gemini Output'!C:C,"No Match Yet")</f>
        <v>12</v>
      </c>
      <c r="G215" s="10" t="str">
        <f>_xlfn.XLOOKUP(D215,'Gemini Output'!B:B,'Gemini Output'!E:E,"No Match Yet")</f>
        <v>L1</v>
      </c>
      <c r="H215" s="10"/>
      <c r="I215" s="10"/>
      <c r="J215" s="10"/>
      <c r="K215" s="10"/>
      <c r="L215" s="10"/>
      <c r="M215" s="10"/>
      <c r="N215" s="10"/>
      <c r="O215" s="10"/>
    </row>
    <row r="216" spans="2:15" ht="20.25">
      <c r="B216" s="10"/>
      <c r="C216" s="14">
        <v>213</v>
      </c>
      <c r="D216" s="15" t="s">
        <v>290</v>
      </c>
      <c r="E216" s="14">
        <v>72</v>
      </c>
      <c r="F216" s="15">
        <f>_xlfn.XLOOKUP(D216,'Gemini Output'!B:B,'Gemini Output'!C:C,"No Match Yet")</f>
        <v>7</v>
      </c>
      <c r="G216" s="10" t="str">
        <f>_xlfn.XLOOKUP(D216,'Gemini Output'!B:B,'Gemini Output'!E:E,"No Match Yet")</f>
        <v>L2</v>
      </c>
      <c r="H216" s="10"/>
      <c r="I216" s="10"/>
      <c r="J216" s="10"/>
      <c r="K216" s="10"/>
      <c r="L216" s="10"/>
      <c r="M216" s="10"/>
      <c r="N216" s="10"/>
      <c r="O216" s="10"/>
    </row>
    <row r="217" spans="2:15" ht="20.25">
      <c r="B217" s="10"/>
      <c r="C217" s="14">
        <v>214</v>
      </c>
      <c r="D217" s="15" t="s">
        <v>291</v>
      </c>
      <c r="E217" s="14">
        <v>72</v>
      </c>
      <c r="F217" s="15">
        <f>_xlfn.XLOOKUP(D217,'Gemini Output'!B:B,'Gemini Output'!C:C,"No Match Yet")</f>
        <v>13</v>
      </c>
      <c r="G217" s="10" t="str">
        <f>_xlfn.XLOOKUP(D217,'Gemini Output'!B:B,'Gemini Output'!E:E,"No Match Yet")</f>
        <v>L1</v>
      </c>
      <c r="H217" s="10"/>
      <c r="I217" s="10"/>
      <c r="J217" s="10"/>
      <c r="K217" s="10"/>
      <c r="L217" s="10"/>
      <c r="M217" s="10"/>
      <c r="N217" s="10"/>
      <c r="O217" s="10"/>
    </row>
    <row r="218" spans="2:15" ht="20.25">
      <c r="B218" s="10"/>
      <c r="C218" s="14">
        <v>215</v>
      </c>
      <c r="D218" s="15" t="s">
        <v>292</v>
      </c>
      <c r="E218" s="14">
        <v>72</v>
      </c>
      <c r="F218" s="15">
        <f>_xlfn.XLOOKUP(D218,'Gemini Output'!B:B,'Gemini Output'!C:C,"No Match Yet")</f>
        <v>9</v>
      </c>
      <c r="G218" s="10" t="str">
        <f>_xlfn.XLOOKUP(D218,'Gemini Output'!B:B,'Gemini Output'!E:E,"No Match Yet")</f>
        <v>L2</v>
      </c>
      <c r="H218" s="10"/>
      <c r="I218" s="10"/>
      <c r="J218" s="10"/>
      <c r="K218" s="10"/>
      <c r="L218" s="10"/>
      <c r="M218" s="10"/>
      <c r="N218" s="10"/>
      <c r="O218" s="10"/>
    </row>
    <row r="219" spans="2:15" ht="20.25">
      <c r="B219" s="10"/>
      <c r="C219" s="14">
        <v>216</v>
      </c>
      <c r="D219" s="15" t="s">
        <v>293</v>
      </c>
      <c r="E219" s="14">
        <v>71</v>
      </c>
      <c r="F219" s="15">
        <f>_xlfn.XLOOKUP(D219,'Gemini Output'!B:B,'Gemini Output'!C:C,"No Match Yet")</f>
        <v>13</v>
      </c>
      <c r="G219" s="10" t="str">
        <f>_xlfn.XLOOKUP(D219,'Gemini Output'!B:B,'Gemini Output'!E:E,"No Match Yet")</f>
        <v>L1</v>
      </c>
      <c r="H219" s="10"/>
      <c r="I219" s="10"/>
      <c r="J219" s="10"/>
      <c r="K219" s="10"/>
      <c r="L219" s="10"/>
      <c r="M219" s="10"/>
      <c r="N219" s="10"/>
      <c r="O219" s="10"/>
    </row>
    <row r="220" spans="2:15" ht="20.25">
      <c r="B220" s="10"/>
      <c r="C220" s="14">
        <v>217</v>
      </c>
      <c r="D220" s="15" t="s">
        <v>294</v>
      </c>
      <c r="E220" s="14">
        <v>71</v>
      </c>
      <c r="F220" s="15">
        <f>_xlfn.XLOOKUP(D220,'Gemini Output'!B:B,'Gemini Output'!C:C,"No Match Yet")</f>
        <v>15</v>
      </c>
      <c r="G220" s="10" t="str">
        <f>_xlfn.XLOOKUP(D220,'Gemini Output'!B:B,'Gemini Output'!E:E,"No Match Yet")</f>
        <v>L1</v>
      </c>
      <c r="H220" s="10"/>
      <c r="I220" s="10"/>
      <c r="J220" s="10"/>
      <c r="K220" s="10"/>
      <c r="L220" s="10"/>
      <c r="M220" s="10"/>
      <c r="N220" s="10"/>
      <c r="O220" s="10"/>
    </row>
    <row r="221" spans="2:15" ht="20.25">
      <c r="B221" s="10"/>
      <c r="C221" s="14">
        <v>218</v>
      </c>
      <c r="D221" s="15" t="s">
        <v>295</v>
      </c>
      <c r="E221" s="14">
        <v>71</v>
      </c>
      <c r="F221" s="15">
        <f>_xlfn.XLOOKUP(D221,'Gemini Output'!B:B,'Gemini Output'!C:C,"No Match Yet")</f>
        <v>12</v>
      </c>
      <c r="G221" s="10" t="str">
        <f>_xlfn.XLOOKUP(D221,'Gemini Output'!B:B,'Gemini Output'!E:E,"No Match Yet")</f>
        <v>L2</v>
      </c>
      <c r="H221" s="10"/>
      <c r="I221" s="10"/>
      <c r="J221" s="10"/>
      <c r="K221" s="10"/>
      <c r="L221" s="10"/>
      <c r="M221" s="10"/>
      <c r="N221" s="10"/>
      <c r="O221" s="10"/>
    </row>
    <row r="222" spans="2:15" ht="20.25">
      <c r="B222" s="10"/>
      <c r="C222" s="14">
        <v>219</v>
      </c>
      <c r="D222" s="15" t="s">
        <v>296</v>
      </c>
      <c r="E222" s="14">
        <v>71</v>
      </c>
      <c r="F222" s="15">
        <f>_xlfn.XLOOKUP(D222,'Gemini Output'!B:B,'Gemini Output'!C:C,"No Match Yet")</f>
        <v>11</v>
      </c>
      <c r="G222" s="10" t="str">
        <f>_xlfn.XLOOKUP(D222,'Gemini Output'!B:B,'Gemini Output'!E:E,"No Match Yet")</f>
        <v>L1</v>
      </c>
      <c r="H222" s="10"/>
      <c r="I222" s="10"/>
      <c r="J222" s="10"/>
      <c r="K222" s="10"/>
      <c r="L222" s="10"/>
      <c r="M222" s="10"/>
      <c r="N222" s="10"/>
      <c r="O222" s="10"/>
    </row>
    <row r="223" spans="2:15" ht="20.25">
      <c r="B223" s="10"/>
      <c r="C223" s="14">
        <v>220</v>
      </c>
      <c r="D223" s="15" t="s">
        <v>297</v>
      </c>
      <c r="E223" s="14">
        <v>70</v>
      </c>
      <c r="F223" s="15">
        <f>_xlfn.XLOOKUP(D223,'Gemini Output'!B:B,'Gemini Output'!C:C,"No Match Yet")</f>
        <v>15</v>
      </c>
      <c r="G223" s="10" t="str">
        <f>_xlfn.XLOOKUP(D223,'Gemini Output'!B:B,'Gemini Output'!E:E,"No Match Yet")</f>
        <v>L1</v>
      </c>
      <c r="H223" s="10"/>
      <c r="I223" s="10"/>
      <c r="J223" s="10"/>
      <c r="K223" s="10"/>
      <c r="L223" s="10"/>
      <c r="M223" s="10"/>
      <c r="N223" s="10"/>
      <c r="O223" s="10"/>
    </row>
    <row r="224" spans="2:15" ht="20.25">
      <c r="B224" s="10"/>
      <c r="C224" s="14">
        <v>221</v>
      </c>
      <c r="D224" s="15" t="s">
        <v>298</v>
      </c>
      <c r="E224" s="14">
        <v>70</v>
      </c>
      <c r="F224" s="15">
        <f>_xlfn.XLOOKUP(D224,'Gemini Output'!B:B,'Gemini Output'!C:C,"No Match Yet")</f>
        <v>12</v>
      </c>
      <c r="G224" s="10" t="str">
        <f>_xlfn.XLOOKUP(D224,'Gemini Output'!B:B,'Gemini Output'!E:E,"No Match Yet")</f>
        <v>L1</v>
      </c>
      <c r="H224" s="10"/>
      <c r="I224" s="10"/>
      <c r="J224" s="10"/>
      <c r="K224" s="10"/>
      <c r="L224" s="10"/>
      <c r="M224" s="10"/>
      <c r="N224" s="10"/>
      <c r="O224" s="10"/>
    </row>
    <row r="225" spans="2:15" ht="20.25">
      <c r="B225" s="10"/>
      <c r="C225" s="14">
        <v>222</v>
      </c>
      <c r="D225" s="15" t="s">
        <v>299</v>
      </c>
      <c r="E225" s="14">
        <v>70</v>
      </c>
      <c r="F225" s="15">
        <f>_xlfn.XLOOKUP(D225,'Gemini Output'!B:B,'Gemini Output'!C:C,"No Match Yet")</f>
        <v>2</v>
      </c>
      <c r="G225" s="10" t="str">
        <f>_xlfn.XLOOKUP(D225,'Gemini Output'!B:B,'Gemini Output'!E:E,"No Match Yet")</f>
        <v>L2</v>
      </c>
      <c r="H225" s="10"/>
      <c r="I225" s="10"/>
      <c r="J225" s="10"/>
      <c r="K225" s="10"/>
      <c r="L225" s="10"/>
      <c r="M225" s="10"/>
      <c r="N225" s="10"/>
      <c r="O225" s="10"/>
    </row>
    <row r="226" spans="2:15" ht="20.25">
      <c r="B226" s="10"/>
      <c r="C226" s="14">
        <v>223</v>
      </c>
      <c r="D226" s="15" t="s">
        <v>300</v>
      </c>
      <c r="E226" s="14">
        <v>70</v>
      </c>
      <c r="F226" s="15">
        <f>_xlfn.XLOOKUP(D226,'Gemini Output'!B:B,'Gemini Output'!C:C,"No Match Yet")</f>
        <v>12</v>
      </c>
      <c r="G226" s="10" t="str">
        <f>_xlfn.XLOOKUP(D226,'Gemini Output'!B:B,'Gemini Output'!E:E,"No Match Yet")</f>
        <v>L2</v>
      </c>
      <c r="H226" s="10"/>
      <c r="I226" s="10"/>
      <c r="J226" s="10"/>
      <c r="K226" s="10"/>
      <c r="L226" s="10"/>
      <c r="M226" s="10"/>
      <c r="N226" s="10"/>
      <c r="O226" s="10"/>
    </row>
    <row r="227" spans="2:15" ht="20.25">
      <c r="B227" s="10"/>
      <c r="C227" s="14">
        <v>224</v>
      </c>
      <c r="D227" s="15" t="s">
        <v>301</v>
      </c>
      <c r="E227" s="14">
        <v>69</v>
      </c>
      <c r="F227" s="15">
        <f>_xlfn.XLOOKUP(D227,'Gemini Output'!B:B,'Gemini Output'!C:C,"No Match Yet")</f>
        <v>2</v>
      </c>
      <c r="G227" s="10" t="str">
        <f>_xlfn.XLOOKUP(D227,'Gemini Output'!B:B,'Gemini Output'!E:E,"No Match Yet")</f>
        <v>L2</v>
      </c>
      <c r="H227" s="10"/>
      <c r="I227" s="10"/>
      <c r="J227" s="10"/>
      <c r="K227" s="10"/>
      <c r="L227" s="10"/>
      <c r="M227" s="10"/>
      <c r="N227" s="10"/>
      <c r="O227" s="10"/>
    </row>
    <row r="228" spans="2:15" ht="20.25">
      <c r="B228" s="10"/>
      <c r="C228" s="14">
        <v>225</v>
      </c>
      <c r="D228" s="15" t="s">
        <v>302</v>
      </c>
      <c r="E228" s="14">
        <v>69</v>
      </c>
      <c r="F228" s="15">
        <f>_xlfn.XLOOKUP(D228,'Gemini Output'!B:B,'Gemini Output'!C:C,"No Match Yet")</f>
        <v>9</v>
      </c>
      <c r="G228" s="10" t="str">
        <f>_xlfn.XLOOKUP(D228,'Gemini Output'!B:B,'Gemini Output'!E:E,"No Match Yet")</f>
        <v>L2</v>
      </c>
      <c r="H228" s="10"/>
      <c r="I228" s="10"/>
      <c r="J228" s="10"/>
      <c r="K228" s="10"/>
      <c r="L228" s="10"/>
      <c r="M228" s="10"/>
      <c r="N228" s="10"/>
      <c r="O228" s="10"/>
    </row>
    <row r="229" spans="2:15" ht="20.25">
      <c r="B229" s="10"/>
      <c r="C229" s="14">
        <v>226</v>
      </c>
      <c r="D229" s="15" t="s">
        <v>303</v>
      </c>
      <c r="E229" s="14">
        <v>69</v>
      </c>
      <c r="F229" s="15">
        <f>_xlfn.XLOOKUP(D229,'Gemini Output'!B:B,'Gemini Output'!C:C,"No Match Yet")</f>
        <v>12</v>
      </c>
      <c r="G229" s="10" t="str">
        <f>_xlfn.XLOOKUP(D229,'Gemini Output'!B:B,'Gemini Output'!E:E,"No Match Yet")</f>
        <v>L1</v>
      </c>
      <c r="H229" s="10"/>
      <c r="I229" s="10"/>
      <c r="J229" s="10"/>
      <c r="K229" s="10"/>
      <c r="L229" s="10"/>
      <c r="M229" s="10"/>
      <c r="N229" s="10"/>
      <c r="O229" s="10"/>
    </row>
    <row r="230" spans="2:15" ht="20.25">
      <c r="B230" s="10"/>
      <c r="C230" s="14">
        <v>227</v>
      </c>
      <c r="D230" s="15" t="s">
        <v>304</v>
      </c>
      <c r="E230" s="14">
        <v>68</v>
      </c>
      <c r="F230" s="15">
        <f>_xlfn.XLOOKUP(D230,'Gemini Output'!B:B,'Gemini Output'!C:C,"No Match Yet")</f>
        <v>9</v>
      </c>
      <c r="G230" s="10" t="str">
        <f>_xlfn.XLOOKUP(D230,'Gemini Output'!B:B,'Gemini Output'!E:E,"No Match Yet")</f>
        <v>L2</v>
      </c>
      <c r="H230" s="10"/>
      <c r="I230" s="10"/>
      <c r="J230" s="10"/>
      <c r="K230" s="10"/>
      <c r="L230" s="10"/>
      <c r="M230" s="10"/>
      <c r="N230" s="10"/>
      <c r="O230" s="10"/>
    </row>
    <row r="231" spans="2:15" ht="20.25">
      <c r="B231" s="10"/>
      <c r="C231" s="14">
        <v>228</v>
      </c>
      <c r="D231" s="15" t="s">
        <v>305</v>
      </c>
      <c r="E231" s="14">
        <v>68</v>
      </c>
      <c r="F231" s="15">
        <f>_xlfn.XLOOKUP(D231,'Gemini Output'!B:B,'Gemini Output'!C:C,"No Match Yet")</f>
        <v>3</v>
      </c>
      <c r="G231" s="10" t="str">
        <f>_xlfn.XLOOKUP(D231,'Gemini Output'!B:B,'Gemini Output'!E:E,"No Match Yet")</f>
        <v>L2</v>
      </c>
      <c r="H231" s="10"/>
      <c r="I231" s="10"/>
      <c r="J231" s="10"/>
      <c r="K231" s="10"/>
      <c r="L231" s="10"/>
      <c r="M231" s="10"/>
      <c r="N231" s="10"/>
      <c r="O231" s="10"/>
    </row>
    <row r="232" spans="2:15" ht="20.25">
      <c r="B232" s="10"/>
      <c r="C232" s="14">
        <v>229</v>
      </c>
      <c r="D232" s="15" t="s">
        <v>306</v>
      </c>
      <c r="E232" s="14">
        <v>68</v>
      </c>
      <c r="F232" s="15">
        <f>_xlfn.XLOOKUP(D232,'Gemini Output'!B:B,'Gemini Output'!C:C,"No Match Yet")</f>
        <v>12</v>
      </c>
      <c r="G232" s="10" t="str">
        <f>_xlfn.XLOOKUP(D232,'Gemini Output'!B:B,'Gemini Output'!E:E,"No Match Yet")</f>
        <v>L2</v>
      </c>
      <c r="H232" s="10"/>
      <c r="I232" s="10"/>
      <c r="J232" s="10"/>
      <c r="K232" s="10"/>
      <c r="L232" s="10"/>
      <c r="M232" s="10"/>
      <c r="N232" s="10"/>
      <c r="O232" s="10"/>
    </row>
    <row r="233" spans="2:15" ht="20.25">
      <c r="B233" s="10"/>
      <c r="C233" s="14">
        <v>230</v>
      </c>
      <c r="D233" s="15" t="s">
        <v>307</v>
      </c>
      <c r="E233" s="14">
        <v>67</v>
      </c>
      <c r="F233" s="15">
        <f>_xlfn.XLOOKUP(D233,'Gemini Output'!B:B,'Gemini Output'!C:C,"No Match Yet")</f>
        <v>12</v>
      </c>
      <c r="G233" s="10" t="str">
        <f>_xlfn.XLOOKUP(D233,'Gemini Output'!B:B,'Gemini Output'!E:E,"No Match Yet")</f>
        <v>L1</v>
      </c>
      <c r="H233" s="10"/>
      <c r="I233" s="10"/>
      <c r="J233" s="10"/>
      <c r="K233" s="10"/>
      <c r="L233" s="10"/>
      <c r="M233" s="10"/>
      <c r="N233" s="10"/>
      <c r="O233" s="10"/>
    </row>
    <row r="234" spans="2:15" ht="20.25">
      <c r="B234" s="10"/>
      <c r="C234" s="14">
        <v>231</v>
      </c>
      <c r="D234" s="15" t="s">
        <v>308</v>
      </c>
      <c r="E234" s="14">
        <v>67</v>
      </c>
      <c r="F234" s="15">
        <f>_xlfn.XLOOKUP(D234,'Gemini Output'!B:B,'Gemini Output'!C:C,"No Match Yet")</f>
        <v>1</v>
      </c>
      <c r="G234" s="10" t="str">
        <f>_xlfn.XLOOKUP(D234,'Gemini Output'!B:B,'Gemini Output'!E:E,"No Match Yet")</f>
        <v>L2</v>
      </c>
      <c r="H234" s="10"/>
      <c r="I234" s="10"/>
      <c r="J234" s="10"/>
      <c r="K234" s="10"/>
      <c r="L234" s="10"/>
      <c r="M234" s="10"/>
      <c r="N234" s="10"/>
      <c r="O234" s="10"/>
    </row>
    <row r="235" spans="2:15" ht="20.25">
      <c r="B235" s="10"/>
      <c r="C235" s="14">
        <v>232</v>
      </c>
      <c r="D235" s="15" t="s">
        <v>309</v>
      </c>
      <c r="E235" s="14">
        <v>67</v>
      </c>
      <c r="F235" s="15">
        <f>_xlfn.XLOOKUP(D235,'Gemini Output'!B:B,'Gemini Output'!C:C,"No Match Yet")</f>
        <v>13</v>
      </c>
      <c r="G235" s="10" t="str">
        <f>_xlfn.XLOOKUP(D235,'Gemini Output'!B:B,'Gemini Output'!E:E,"No Match Yet")</f>
        <v>L1</v>
      </c>
      <c r="H235" s="10"/>
      <c r="I235" s="10"/>
      <c r="J235" s="10"/>
      <c r="K235" s="10"/>
      <c r="L235" s="10"/>
      <c r="M235" s="10"/>
      <c r="N235" s="10"/>
      <c r="O235" s="10"/>
    </row>
    <row r="236" spans="2:15" ht="20.25">
      <c r="B236" s="10"/>
      <c r="C236" s="14">
        <v>233</v>
      </c>
      <c r="D236" s="15" t="s">
        <v>310</v>
      </c>
      <c r="E236" s="14">
        <v>67</v>
      </c>
      <c r="F236" s="15">
        <f>_xlfn.XLOOKUP(D236,'Gemini Output'!B:B,'Gemini Output'!C:C,"No Match Yet")</f>
        <v>13</v>
      </c>
      <c r="G236" s="10" t="str">
        <f>_xlfn.XLOOKUP(D236,'Gemini Output'!B:B,'Gemini Output'!E:E,"No Match Yet")</f>
        <v>L1</v>
      </c>
      <c r="H236" s="10"/>
      <c r="I236" s="10"/>
      <c r="J236" s="10"/>
      <c r="K236" s="10"/>
      <c r="L236" s="10"/>
      <c r="M236" s="10"/>
      <c r="N236" s="10"/>
      <c r="O236" s="10"/>
    </row>
    <row r="237" spans="2:15" ht="20.25">
      <c r="B237" s="10"/>
      <c r="C237" s="14">
        <v>234</v>
      </c>
      <c r="D237" s="15" t="s">
        <v>311</v>
      </c>
      <c r="E237" s="14">
        <v>67</v>
      </c>
      <c r="F237" s="15">
        <f>_xlfn.XLOOKUP(D237,'Gemini Output'!B:B,'Gemini Output'!C:C,"No Match Yet")</f>
        <v>15</v>
      </c>
      <c r="G237" s="10" t="str">
        <f>_xlfn.XLOOKUP(D237,'Gemini Output'!B:B,'Gemini Output'!E:E,"No Match Yet")</f>
        <v>L1</v>
      </c>
      <c r="H237" s="10"/>
      <c r="I237" s="10"/>
      <c r="J237" s="10"/>
      <c r="K237" s="10"/>
      <c r="L237" s="10"/>
      <c r="M237" s="10"/>
      <c r="N237" s="10"/>
      <c r="O237" s="10"/>
    </row>
    <row r="238" spans="2:15" ht="20.25">
      <c r="B238" s="10"/>
      <c r="C238" s="14">
        <v>235</v>
      </c>
      <c r="D238" s="15" t="s">
        <v>312</v>
      </c>
      <c r="E238" s="14"/>
      <c r="F238" s="15">
        <f>_xlfn.XLOOKUP(D238,'Gemini Output'!B:B,'Gemini Output'!C:C,"No Match Yet")</f>
        <v>13</v>
      </c>
      <c r="G238" s="10" t="str">
        <f>_xlfn.XLOOKUP(D238,'Gemini Output'!B:B,'Gemini Output'!E:E,"No Match Yet")</f>
        <v>L1</v>
      </c>
      <c r="H238" s="10"/>
      <c r="I238" s="10"/>
      <c r="J238" s="10"/>
      <c r="K238" s="10"/>
      <c r="L238" s="10"/>
      <c r="M238" s="10"/>
      <c r="N238" s="10"/>
      <c r="O238" s="10"/>
    </row>
    <row r="239" spans="2:15" ht="20.25">
      <c r="B239" s="10"/>
      <c r="C239" s="14">
        <v>236</v>
      </c>
      <c r="D239" s="15" t="s">
        <v>313</v>
      </c>
      <c r="E239" s="14">
        <v>66</v>
      </c>
      <c r="F239" s="15">
        <f>_xlfn.XLOOKUP(D239,'Gemini Output'!B:B,'Gemini Output'!C:C,"No Match Yet")</f>
        <v>6</v>
      </c>
      <c r="G239" s="10" t="str">
        <f>_xlfn.XLOOKUP(D239,'Gemini Output'!B:B,'Gemini Output'!E:E,"No Match Yet")</f>
        <v>L2</v>
      </c>
      <c r="H239" s="10"/>
      <c r="I239" s="10"/>
      <c r="J239" s="10"/>
      <c r="K239" s="10"/>
      <c r="L239" s="10"/>
      <c r="M239" s="10"/>
      <c r="N239" s="10"/>
      <c r="O239" s="10"/>
    </row>
    <row r="240" spans="2:15" ht="20.25">
      <c r="B240" s="10"/>
      <c r="C240" s="14">
        <v>237</v>
      </c>
      <c r="D240" s="15" t="s">
        <v>314</v>
      </c>
      <c r="E240" s="14">
        <v>66</v>
      </c>
      <c r="F240" s="15">
        <f>_xlfn.XLOOKUP(D240,'Gemini Output'!B:B,'Gemini Output'!C:C,"No Match Yet")</f>
        <v>1</v>
      </c>
      <c r="G240" s="10" t="str">
        <f>_xlfn.XLOOKUP(D240,'Gemini Output'!B:B,'Gemini Output'!E:E,"No Match Yet")</f>
        <v>L2</v>
      </c>
      <c r="H240" s="10"/>
      <c r="I240" s="10"/>
      <c r="J240" s="10"/>
      <c r="K240" s="10"/>
      <c r="L240" s="10"/>
      <c r="M240" s="10"/>
      <c r="N240" s="10"/>
      <c r="O240" s="10"/>
    </row>
    <row r="241" spans="2:15" ht="20.25">
      <c r="B241" s="10"/>
      <c r="C241" s="14">
        <v>238</v>
      </c>
      <c r="D241" s="15" t="s">
        <v>315</v>
      </c>
      <c r="E241" s="14">
        <v>66</v>
      </c>
      <c r="F241" s="15">
        <f>_xlfn.XLOOKUP(D241,'Gemini Output'!B:B,'Gemini Output'!C:C,"No Match Yet")</f>
        <v>7</v>
      </c>
      <c r="G241" s="10" t="str">
        <f>_xlfn.XLOOKUP(D241,'Gemini Output'!B:B,'Gemini Output'!E:E,"No Match Yet")</f>
        <v>L2</v>
      </c>
      <c r="H241" s="10"/>
      <c r="I241" s="10"/>
      <c r="J241" s="10"/>
      <c r="K241" s="10"/>
      <c r="L241" s="10"/>
      <c r="M241" s="10"/>
      <c r="N241" s="10"/>
      <c r="O241" s="10"/>
    </row>
    <row r="242" spans="2:15" ht="20.25">
      <c r="B242" s="10"/>
      <c r="C242" s="14">
        <v>239</v>
      </c>
      <c r="D242" s="15" t="s">
        <v>316</v>
      </c>
      <c r="E242" s="14"/>
      <c r="F242" s="15">
        <f>_xlfn.XLOOKUP(D242,'Gemini Output'!B:B,'Gemini Output'!C:C,"No Match Yet")</f>
        <v>3</v>
      </c>
      <c r="G242" s="10" t="str">
        <f>_xlfn.XLOOKUP(D242,'Gemini Output'!B:B,'Gemini Output'!E:E,"No Match Yet")</f>
        <v>L2</v>
      </c>
      <c r="H242" s="10"/>
      <c r="I242" s="10"/>
      <c r="J242" s="10"/>
      <c r="K242" s="10"/>
      <c r="L242" s="10"/>
      <c r="M242" s="10"/>
      <c r="N242" s="10"/>
      <c r="O242" s="10"/>
    </row>
    <row r="243" spans="2:15" ht="20.25">
      <c r="B243" s="10"/>
      <c r="C243" s="14">
        <v>240</v>
      </c>
      <c r="D243" s="15" t="s">
        <v>317</v>
      </c>
      <c r="E243" s="14">
        <v>65</v>
      </c>
      <c r="F243" s="15">
        <f>_xlfn.XLOOKUP(D243,'Gemini Output'!B:B,'Gemini Output'!C:C,"No Match Yet")</f>
        <v>6</v>
      </c>
      <c r="G243" s="10" t="str">
        <f>_xlfn.XLOOKUP(D243,'Gemini Output'!B:B,'Gemini Output'!E:E,"No Match Yet")</f>
        <v>L3</v>
      </c>
      <c r="H243" s="10"/>
      <c r="I243" s="10"/>
      <c r="J243" s="10"/>
      <c r="K243" s="10"/>
      <c r="L243" s="10"/>
      <c r="M243" s="10"/>
      <c r="N243" s="10"/>
      <c r="O243" s="10"/>
    </row>
    <row r="244" spans="2:15" ht="20.25">
      <c r="B244" s="10"/>
      <c r="C244" s="14">
        <v>241</v>
      </c>
      <c r="D244" s="15" t="s">
        <v>318</v>
      </c>
      <c r="E244" s="14">
        <v>65</v>
      </c>
      <c r="F244" s="15">
        <f>_xlfn.XLOOKUP(D244,'Gemini Output'!B:B,'Gemini Output'!C:C,"No Match Yet")</f>
        <v>13</v>
      </c>
      <c r="G244" s="10" t="str">
        <f>_xlfn.XLOOKUP(D244,'Gemini Output'!B:B,'Gemini Output'!E:E,"No Match Yet")</f>
        <v>L1</v>
      </c>
      <c r="H244" s="10"/>
      <c r="I244" s="10"/>
      <c r="J244" s="10"/>
      <c r="K244" s="10"/>
      <c r="L244" s="10"/>
      <c r="M244" s="10"/>
      <c r="N244" s="10"/>
      <c r="O244" s="10"/>
    </row>
    <row r="245" spans="2:15" ht="20.25">
      <c r="B245" s="10"/>
      <c r="C245" s="14">
        <v>242</v>
      </c>
      <c r="D245" s="15" t="s">
        <v>319</v>
      </c>
      <c r="E245" s="14">
        <v>65</v>
      </c>
      <c r="F245" s="15">
        <f>_xlfn.XLOOKUP(D245,'Gemini Output'!B:B,'Gemini Output'!C:C,"No Match Yet")</f>
        <v>13</v>
      </c>
      <c r="G245" s="10" t="str">
        <f>_xlfn.XLOOKUP(D245,'Gemini Output'!B:B,'Gemini Output'!E:E,"No Match Yet")</f>
        <v>L1</v>
      </c>
      <c r="H245" s="10"/>
      <c r="I245" s="10"/>
      <c r="J245" s="10"/>
      <c r="K245" s="10"/>
      <c r="L245" s="10"/>
      <c r="M245" s="10"/>
      <c r="N245" s="10"/>
      <c r="O245" s="10"/>
    </row>
    <row r="246" spans="2:15" ht="20.25">
      <c r="B246" s="10"/>
      <c r="C246" s="14">
        <v>243</v>
      </c>
      <c r="D246" s="15" t="s">
        <v>320</v>
      </c>
      <c r="E246" s="14">
        <v>65</v>
      </c>
      <c r="F246" s="15">
        <f>_xlfn.XLOOKUP(D246,'Gemini Output'!B:B,'Gemini Output'!C:C,"No Match Yet")</f>
        <v>13</v>
      </c>
      <c r="G246" s="10" t="str">
        <f>_xlfn.XLOOKUP(D246,'Gemini Output'!B:B,'Gemini Output'!E:E,"No Match Yet")</f>
        <v>L1</v>
      </c>
      <c r="H246" s="10"/>
      <c r="I246" s="10"/>
      <c r="J246" s="10"/>
      <c r="K246" s="10"/>
      <c r="L246" s="10"/>
      <c r="M246" s="10"/>
      <c r="N246" s="10"/>
      <c r="O246" s="10"/>
    </row>
    <row r="247" spans="2:15" ht="20.25">
      <c r="B247" s="10"/>
      <c r="C247" s="14">
        <v>244</v>
      </c>
      <c r="D247" s="15" t="s">
        <v>321</v>
      </c>
      <c r="E247" s="14">
        <v>65</v>
      </c>
      <c r="F247" s="15">
        <f>_xlfn.XLOOKUP(D247,'Gemini Output'!B:B,'Gemini Output'!C:C,"No Match Yet")</f>
        <v>9</v>
      </c>
      <c r="G247" s="10" t="str">
        <f>_xlfn.XLOOKUP(D247,'Gemini Output'!B:B,'Gemini Output'!E:E,"No Match Yet")</f>
        <v>L2</v>
      </c>
      <c r="H247" s="10"/>
      <c r="I247" s="10"/>
      <c r="J247" s="10"/>
      <c r="K247" s="10"/>
      <c r="L247" s="10"/>
      <c r="M247" s="10"/>
      <c r="N247" s="10"/>
      <c r="O247" s="10"/>
    </row>
    <row r="248" spans="2:15" ht="20.25">
      <c r="B248" s="10"/>
      <c r="C248" s="14">
        <v>245</v>
      </c>
      <c r="D248" s="15" t="s">
        <v>322</v>
      </c>
      <c r="E248" s="14">
        <v>65</v>
      </c>
      <c r="F248" s="15">
        <f>_xlfn.XLOOKUP(D248,'Gemini Output'!B:B,'Gemini Output'!C:C,"No Match Yet")</f>
        <v>13</v>
      </c>
      <c r="G248" s="10" t="str">
        <f>_xlfn.XLOOKUP(D248,'Gemini Output'!B:B,'Gemini Output'!E:E,"No Match Yet")</f>
        <v>L1</v>
      </c>
      <c r="H248" s="10"/>
      <c r="I248" s="10"/>
      <c r="J248" s="10"/>
      <c r="K248" s="10"/>
      <c r="L248" s="10"/>
      <c r="M248" s="10"/>
      <c r="N248" s="10"/>
      <c r="O248" s="10"/>
    </row>
    <row r="249" spans="2:15" ht="20.25">
      <c r="B249" s="10"/>
      <c r="C249" s="14">
        <v>246</v>
      </c>
      <c r="D249" s="15" t="s">
        <v>323</v>
      </c>
      <c r="E249" s="14">
        <v>65</v>
      </c>
      <c r="F249" s="15">
        <f>_xlfn.XLOOKUP(D249,'Gemini Output'!B:B,'Gemini Output'!C:C,"No Match Yet")</f>
        <v>13</v>
      </c>
      <c r="G249" s="10" t="str">
        <f>_xlfn.XLOOKUP(D249,'Gemini Output'!B:B,'Gemini Output'!E:E,"No Match Yet")</f>
        <v>L1</v>
      </c>
      <c r="H249" s="10"/>
      <c r="I249" s="10"/>
      <c r="J249" s="10"/>
      <c r="K249" s="10"/>
      <c r="L249" s="10"/>
      <c r="M249" s="10"/>
      <c r="N249" s="10"/>
      <c r="O249" s="10"/>
    </row>
    <row r="250" spans="2:15" ht="20.25">
      <c r="B250" s="10"/>
      <c r="C250" s="14">
        <v>247</v>
      </c>
      <c r="D250" s="15" t="s">
        <v>324</v>
      </c>
      <c r="E250" s="14">
        <v>64</v>
      </c>
      <c r="F250" s="15">
        <f>_xlfn.XLOOKUP(D250,'Gemini Output'!B:B,'Gemini Output'!C:C,"No Match Yet")</f>
        <v>9</v>
      </c>
      <c r="G250" s="10" t="str">
        <f>_xlfn.XLOOKUP(D250,'Gemini Output'!B:B,'Gemini Output'!E:E,"No Match Yet")</f>
        <v>L1</v>
      </c>
      <c r="H250" s="10"/>
      <c r="I250" s="10"/>
      <c r="J250" s="10"/>
      <c r="K250" s="10"/>
      <c r="L250" s="10"/>
      <c r="M250" s="10"/>
      <c r="N250" s="10"/>
      <c r="O250" s="10"/>
    </row>
    <row r="251" spans="2:15" ht="20.25">
      <c r="B251" s="10"/>
      <c r="C251" s="14">
        <v>248</v>
      </c>
      <c r="D251" s="15" t="s">
        <v>325</v>
      </c>
      <c r="E251" s="14">
        <v>64</v>
      </c>
      <c r="F251" s="15">
        <f>_xlfn.XLOOKUP(D251,'Gemini Output'!B:B,'Gemini Output'!C:C,"No Match Yet")</f>
        <v>12</v>
      </c>
      <c r="G251" s="10" t="str">
        <f>_xlfn.XLOOKUP(D251,'Gemini Output'!B:B,'Gemini Output'!E:E,"No Match Yet")</f>
        <v>L1</v>
      </c>
      <c r="H251" s="10"/>
      <c r="I251" s="10"/>
      <c r="J251" s="10"/>
      <c r="K251" s="10"/>
      <c r="L251" s="10"/>
      <c r="M251" s="10"/>
      <c r="N251" s="10"/>
      <c r="O251" s="10"/>
    </row>
    <row r="252" spans="2:15" ht="20.25">
      <c r="B252" s="10"/>
      <c r="C252" s="14">
        <v>249</v>
      </c>
      <c r="D252" s="15" t="s">
        <v>326</v>
      </c>
      <c r="E252" s="14">
        <v>64</v>
      </c>
      <c r="F252" s="15">
        <f>_xlfn.XLOOKUP(D252,'Gemini Output'!B:B,'Gemini Output'!C:C,"No Match Yet")</f>
        <v>13</v>
      </c>
      <c r="G252" s="10" t="str">
        <f>_xlfn.XLOOKUP(D252,'Gemini Output'!B:B,'Gemini Output'!E:E,"No Match Yet")</f>
        <v>L1</v>
      </c>
      <c r="H252" s="10"/>
      <c r="I252" s="10"/>
      <c r="J252" s="10"/>
      <c r="K252" s="10"/>
      <c r="L252" s="10"/>
      <c r="M252" s="10"/>
      <c r="N252" s="10"/>
      <c r="O252" s="10"/>
    </row>
    <row r="253" spans="2:15" ht="20.25">
      <c r="B253" s="10"/>
      <c r="C253" s="14">
        <v>250</v>
      </c>
      <c r="D253" s="15" t="s">
        <v>327</v>
      </c>
      <c r="E253" s="14">
        <v>64</v>
      </c>
      <c r="F253" s="15">
        <f>_xlfn.XLOOKUP(D253,'Gemini Output'!B:B,'Gemini Output'!C:C,"No Match Yet")</f>
        <v>1</v>
      </c>
      <c r="G253" s="10" t="str">
        <f>_xlfn.XLOOKUP(D253,'Gemini Output'!B:B,'Gemini Output'!E:E,"No Match Yet")</f>
        <v>L1</v>
      </c>
      <c r="H253" s="10"/>
      <c r="I253" s="10"/>
      <c r="J253" s="10"/>
      <c r="K253" s="10"/>
      <c r="L253" s="10"/>
      <c r="M253" s="10"/>
      <c r="N253" s="10"/>
      <c r="O253" s="10"/>
    </row>
    <row r="254" spans="2:15" ht="20.25">
      <c r="B254" s="10"/>
      <c r="C254" s="14">
        <v>251</v>
      </c>
      <c r="D254" s="15" t="s">
        <v>328</v>
      </c>
      <c r="E254" s="14">
        <v>64</v>
      </c>
      <c r="F254" s="15">
        <f>_xlfn.XLOOKUP(D254,'Gemini Output'!B:B,'Gemini Output'!C:C,"No Match Yet")</f>
        <v>1</v>
      </c>
      <c r="G254" s="10" t="str">
        <f>_xlfn.XLOOKUP(D254,'Gemini Output'!B:B,'Gemini Output'!E:E,"No Match Yet")</f>
        <v>L2</v>
      </c>
      <c r="H254" s="10"/>
      <c r="I254" s="10"/>
      <c r="J254" s="10"/>
      <c r="K254" s="10"/>
      <c r="L254" s="10"/>
      <c r="M254" s="10"/>
      <c r="N254" s="10"/>
      <c r="O254" s="10"/>
    </row>
    <row r="255" spans="2:15" ht="20.25">
      <c r="B255" s="10"/>
      <c r="C255" s="14">
        <v>252</v>
      </c>
      <c r="D255" s="15" t="s">
        <v>329</v>
      </c>
      <c r="E255" s="14">
        <v>63</v>
      </c>
      <c r="F255" s="15">
        <f>_xlfn.XLOOKUP(D255,'Gemini Output'!B:B,'Gemini Output'!C:C,"No Match Yet")</f>
        <v>13</v>
      </c>
      <c r="G255" s="10" t="str">
        <f>_xlfn.XLOOKUP(D255,'Gemini Output'!B:B,'Gemini Output'!E:E,"No Match Yet")</f>
        <v>L1</v>
      </c>
      <c r="H255" s="10"/>
      <c r="I255" s="10"/>
      <c r="J255" s="10"/>
      <c r="K255" s="10"/>
      <c r="L255" s="10"/>
      <c r="M255" s="10"/>
      <c r="N255" s="10"/>
      <c r="O255" s="10"/>
    </row>
    <row r="256" spans="2:15" ht="20.25">
      <c r="B256" s="10"/>
      <c r="C256" s="14">
        <v>253</v>
      </c>
      <c r="D256" s="15" t="s">
        <v>330</v>
      </c>
      <c r="E256" s="14">
        <v>62</v>
      </c>
      <c r="F256" s="15">
        <f>_xlfn.XLOOKUP(D256,'Gemini Output'!B:B,'Gemini Output'!C:C,"No Match Yet")</f>
        <v>13</v>
      </c>
      <c r="G256" s="10" t="str">
        <f>_xlfn.XLOOKUP(D256,'Gemini Output'!B:B,'Gemini Output'!E:E,"No Match Yet")</f>
        <v>L2</v>
      </c>
      <c r="H256" s="10"/>
      <c r="I256" s="10"/>
      <c r="J256" s="10"/>
      <c r="K256" s="10"/>
      <c r="L256" s="10"/>
      <c r="M256" s="10"/>
      <c r="N256" s="10"/>
      <c r="O256" s="10"/>
    </row>
    <row r="257" spans="2:15" ht="20.25">
      <c r="B257" s="10"/>
      <c r="C257" s="14">
        <v>254</v>
      </c>
      <c r="D257" s="15" t="s">
        <v>331</v>
      </c>
      <c r="E257" s="14">
        <v>62</v>
      </c>
      <c r="F257" s="15">
        <f>_xlfn.XLOOKUP(D257,'Gemini Output'!B:B,'Gemini Output'!C:C,"No Match Yet")</f>
        <v>10</v>
      </c>
      <c r="G257" s="10" t="str">
        <f>_xlfn.XLOOKUP(D257,'Gemini Output'!B:B,'Gemini Output'!E:E,"No Match Yet")</f>
        <v>L2</v>
      </c>
      <c r="H257" s="10"/>
      <c r="I257" s="10"/>
      <c r="J257" s="10"/>
      <c r="K257" s="10"/>
      <c r="L257" s="10"/>
      <c r="M257" s="10"/>
      <c r="N257" s="10"/>
      <c r="O257" s="10"/>
    </row>
    <row r="258" spans="2:15" ht="20.25">
      <c r="B258" s="10"/>
      <c r="C258" s="14">
        <v>255</v>
      </c>
      <c r="D258" s="15" t="s">
        <v>332</v>
      </c>
      <c r="E258" s="14">
        <v>62</v>
      </c>
      <c r="F258" s="15">
        <f>_xlfn.XLOOKUP(D258,'Gemini Output'!B:B,'Gemini Output'!C:C,"No Match Yet")</f>
        <v>3</v>
      </c>
      <c r="G258" s="10" t="str">
        <f>_xlfn.XLOOKUP(D258,'Gemini Output'!B:B,'Gemini Output'!E:E,"No Match Yet")</f>
        <v>L2</v>
      </c>
      <c r="H258" s="10"/>
      <c r="I258" s="10"/>
      <c r="J258" s="10"/>
      <c r="K258" s="10"/>
      <c r="L258" s="10"/>
      <c r="M258" s="10"/>
      <c r="N258" s="10"/>
      <c r="O258" s="10"/>
    </row>
    <row r="259" spans="2:15" ht="20.25">
      <c r="B259" s="10"/>
      <c r="C259" s="14">
        <v>256</v>
      </c>
      <c r="D259" s="15" t="s">
        <v>333</v>
      </c>
      <c r="E259" s="14">
        <v>62</v>
      </c>
      <c r="F259" s="15">
        <f>_xlfn.XLOOKUP(D259,'Gemini Output'!B:B,'Gemini Output'!C:C,"No Match Yet")</f>
        <v>1</v>
      </c>
      <c r="G259" s="10" t="str">
        <f>_xlfn.XLOOKUP(D259,'Gemini Output'!B:B,'Gemini Output'!E:E,"No Match Yet")</f>
        <v>L2</v>
      </c>
      <c r="H259" s="10"/>
      <c r="I259" s="10"/>
      <c r="J259" s="10"/>
      <c r="K259" s="10"/>
      <c r="L259" s="10"/>
      <c r="M259" s="10"/>
      <c r="N259" s="10"/>
      <c r="O259" s="10"/>
    </row>
    <row r="260" spans="2:15" ht="20.25">
      <c r="B260" s="10"/>
      <c r="C260" s="14">
        <v>257</v>
      </c>
      <c r="D260" s="15" t="s">
        <v>334</v>
      </c>
      <c r="E260" s="14">
        <v>62</v>
      </c>
      <c r="F260" s="15">
        <f>_xlfn.XLOOKUP(D260,'Gemini Output'!B:B,'Gemini Output'!C:C,"No Match Yet")</f>
        <v>12</v>
      </c>
      <c r="G260" s="10" t="str">
        <f>_xlfn.XLOOKUP(D260,'Gemini Output'!B:B,'Gemini Output'!E:E,"No Match Yet")</f>
        <v>L1</v>
      </c>
      <c r="H260" s="10"/>
      <c r="I260" s="10"/>
      <c r="J260" s="10"/>
      <c r="K260" s="10"/>
      <c r="L260" s="10"/>
      <c r="M260" s="10"/>
      <c r="N260" s="10"/>
      <c r="O260" s="10"/>
    </row>
    <row r="261" spans="2:15" ht="20.25">
      <c r="B261" s="10"/>
      <c r="C261" s="14">
        <v>258</v>
      </c>
      <c r="D261" s="15" t="s">
        <v>335</v>
      </c>
      <c r="E261" s="14">
        <v>62</v>
      </c>
      <c r="F261" s="15">
        <f>_xlfn.XLOOKUP(D261,'Gemini Output'!B:B,'Gemini Output'!C:C,"No Match Yet")</f>
        <v>15</v>
      </c>
      <c r="G261" s="10" t="str">
        <f>_xlfn.XLOOKUP(D261,'Gemini Output'!B:B,'Gemini Output'!E:E,"No Match Yet")</f>
        <v>L1</v>
      </c>
      <c r="H261" s="10"/>
      <c r="I261" s="10"/>
      <c r="J261" s="10"/>
      <c r="K261" s="10"/>
      <c r="L261" s="10"/>
      <c r="M261" s="10"/>
      <c r="N261" s="10"/>
      <c r="O261" s="10"/>
    </row>
    <row r="262" spans="2:15" ht="20.25">
      <c r="B262" s="10"/>
      <c r="C262" s="14">
        <v>259</v>
      </c>
      <c r="D262" s="15" t="s">
        <v>336</v>
      </c>
      <c r="E262" s="14">
        <v>62</v>
      </c>
      <c r="F262" s="15">
        <f>_xlfn.XLOOKUP(D262,'Gemini Output'!B:B,'Gemini Output'!C:C,"No Match Yet")</f>
        <v>9</v>
      </c>
      <c r="G262" s="10" t="str">
        <f>_xlfn.XLOOKUP(D262,'Gemini Output'!B:B,'Gemini Output'!E:E,"No Match Yet")</f>
        <v>L2</v>
      </c>
      <c r="H262" s="10"/>
      <c r="I262" s="10"/>
      <c r="J262" s="10"/>
      <c r="K262" s="10"/>
      <c r="L262" s="10"/>
      <c r="M262" s="10"/>
      <c r="N262" s="10"/>
      <c r="O262" s="10"/>
    </row>
    <row r="263" spans="2:15" ht="20.25">
      <c r="B263" s="10"/>
      <c r="C263" s="14">
        <v>260</v>
      </c>
      <c r="D263" s="15" t="s">
        <v>337</v>
      </c>
      <c r="E263" s="14">
        <v>61</v>
      </c>
      <c r="F263" s="15">
        <f>_xlfn.XLOOKUP(D263,'Gemini Output'!B:B,'Gemini Output'!C:C,"No Match Yet")</f>
        <v>9</v>
      </c>
      <c r="G263" s="10" t="str">
        <f>_xlfn.XLOOKUP(D263,'Gemini Output'!B:B,'Gemini Output'!E:E,"No Match Yet")</f>
        <v>L2</v>
      </c>
      <c r="H263" s="10"/>
      <c r="I263" s="10"/>
      <c r="J263" s="10"/>
      <c r="K263" s="10"/>
      <c r="L263" s="10"/>
      <c r="M263" s="10"/>
      <c r="N263" s="10"/>
      <c r="O263" s="10"/>
    </row>
    <row r="264" spans="2:15" ht="20.25">
      <c r="B264" s="10"/>
      <c r="C264" s="14">
        <v>261</v>
      </c>
      <c r="D264" s="15" t="s">
        <v>338</v>
      </c>
      <c r="E264" s="14">
        <v>61</v>
      </c>
      <c r="F264" s="15">
        <f>_xlfn.XLOOKUP(D264,'Gemini Output'!B:B,'Gemini Output'!C:C,"No Match Yet")</f>
        <v>12</v>
      </c>
      <c r="G264" s="10" t="str">
        <f>_xlfn.XLOOKUP(D264,'Gemini Output'!B:B,'Gemini Output'!E:E,"No Match Yet")</f>
        <v>L1</v>
      </c>
      <c r="H264" s="10"/>
      <c r="I264" s="10"/>
      <c r="J264" s="10"/>
      <c r="K264" s="10"/>
      <c r="L264" s="10"/>
      <c r="M264" s="10"/>
      <c r="N264" s="10"/>
      <c r="O264" s="10"/>
    </row>
    <row r="265" spans="2:15" ht="20.25">
      <c r="B265" s="10"/>
      <c r="C265" s="14">
        <v>262</v>
      </c>
      <c r="D265" s="15" t="s">
        <v>339</v>
      </c>
      <c r="E265" s="14">
        <v>61</v>
      </c>
      <c r="F265" s="15">
        <f>_xlfn.XLOOKUP(D265,'Gemini Output'!B:B,'Gemini Output'!C:C,"No Match Yet")</f>
        <v>9</v>
      </c>
      <c r="G265" s="10" t="str">
        <f>_xlfn.XLOOKUP(D265,'Gemini Output'!B:B,'Gemini Output'!E:E,"No Match Yet")</f>
        <v>L1</v>
      </c>
      <c r="H265" s="10"/>
      <c r="I265" s="10"/>
      <c r="J265" s="10"/>
      <c r="K265" s="10"/>
      <c r="L265" s="10"/>
      <c r="M265" s="10"/>
      <c r="N265" s="10"/>
      <c r="O265" s="10"/>
    </row>
    <row r="266" spans="2:15" ht="20.25">
      <c r="B266" s="10"/>
      <c r="C266" s="14">
        <v>263</v>
      </c>
      <c r="D266" s="15" t="s">
        <v>340</v>
      </c>
      <c r="E266" s="14">
        <v>61</v>
      </c>
      <c r="F266" s="15">
        <f>_xlfn.XLOOKUP(D266,'Gemini Output'!B:B,'Gemini Output'!C:C,"No Match Yet")</f>
        <v>5</v>
      </c>
      <c r="G266" s="10" t="str">
        <f>_xlfn.XLOOKUP(D266,'Gemini Output'!B:B,'Gemini Output'!E:E,"No Match Yet")</f>
        <v>L2</v>
      </c>
      <c r="H266" s="10"/>
      <c r="I266" s="10"/>
      <c r="J266" s="10"/>
      <c r="K266" s="10"/>
      <c r="L266" s="10"/>
      <c r="M266" s="10"/>
      <c r="N266" s="10"/>
      <c r="O266" s="10"/>
    </row>
    <row r="267" spans="2:15" ht="20.25">
      <c r="B267" s="10"/>
      <c r="C267" s="14">
        <v>264</v>
      </c>
      <c r="D267" s="15" t="s">
        <v>341</v>
      </c>
      <c r="E267" s="14"/>
      <c r="F267" s="15">
        <f>_xlfn.XLOOKUP(D267,'Gemini Output'!B:B,'Gemini Output'!C:C,"No Match Yet")</f>
        <v>9</v>
      </c>
      <c r="G267" s="10" t="str">
        <f>_xlfn.XLOOKUP(D267,'Gemini Output'!B:B,'Gemini Output'!E:E,"No Match Yet")</f>
        <v>L1</v>
      </c>
      <c r="H267" s="10"/>
      <c r="I267" s="10"/>
      <c r="J267" s="10"/>
      <c r="K267" s="10"/>
      <c r="L267" s="10"/>
      <c r="M267" s="10"/>
      <c r="N267" s="10"/>
      <c r="O267" s="10"/>
    </row>
    <row r="268" spans="2:15" ht="20.25">
      <c r="B268" s="10"/>
      <c r="C268" s="14">
        <v>265</v>
      </c>
      <c r="D268" s="15" t="s">
        <v>342</v>
      </c>
      <c r="E268" s="14">
        <v>60</v>
      </c>
      <c r="F268" s="15">
        <f>_xlfn.XLOOKUP(D268,'Gemini Output'!B:B,'Gemini Output'!C:C,"No Match Yet")</f>
        <v>7</v>
      </c>
      <c r="G268" s="10" t="str">
        <f>_xlfn.XLOOKUP(D268,'Gemini Output'!B:B,'Gemini Output'!E:E,"No Match Yet")</f>
        <v>L2</v>
      </c>
      <c r="H268" s="10"/>
      <c r="I268" s="10"/>
      <c r="J268" s="10"/>
      <c r="K268" s="10"/>
      <c r="L268" s="10"/>
      <c r="M268" s="10"/>
      <c r="N268" s="10"/>
      <c r="O268" s="10"/>
    </row>
    <row r="269" spans="2:15" ht="20.25">
      <c r="B269" s="10"/>
      <c r="C269" s="14">
        <v>266</v>
      </c>
      <c r="D269" s="15" t="s">
        <v>343</v>
      </c>
      <c r="E269" s="14">
        <v>60</v>
      </c>
      <c r="F269" s="15">
        <f>_xlfn.XLOOKUP(D269,'Gemini Output'!B:B,'Gemini Output'!C:C,"No Match Yet")</f>
        <v>3</v>
      </c>
      <c r="G269" s="10" t="str">
        <f>_xlfn.XLOOKUP(D269,'Gemini Output'!B:B,'Gemini Output'!E:E,"No Match Yet")</f>
        <v>L1</v>
      </c>
      <c r="H269" s="10"/>
      <c r="I269" s="10"/>
      <c r="J269" s="10"/>
      <c r="K269" s="10"/>
      <c r="L269" s="10"/>
      <c r="M269" s="10"/>
      <c r="N269" s="10"/>
      <c r="O269" s="10"/>
    </row>
    <row r="270" spans="2:15" ht="20.25">
      <c r="B270" s="10"/>
      <c r="C270" s="14">
        <v>267</v>
      </c>
      <c r="D270" s="15" t="s">
        <v>344</v>
      </c>
      <c r="E270" s="14">
        <v>60</v>
      </c>
      <c r="F270" s="15">
        <f>_xlfn.XLOOKUP(D270,'Gemini Output'!B:B,'Gemini Output'!C:C,"No Match Yet")</f>
        <v>3</v>
      </c>
      <c r="G270" s="10" t="str">
        <f>_xlfn.XLOOKUP(D270,'Gemini Output'!B:B,'Gemini Output'!E:E,"No Match Yet")</f>
        <v>L2</v>
      </c>
      <c r="H270" s="10"/>
      <c r="I270" s="10"/>
      <c r="J270" s="10"/>
      <c r="K270" s="10"/>
      <c r="L270" s="10"/>
      <c r="M270" s="10"/>
      <c r="N270" s="10"/>
      <c r="O270" s="10"/>
    </row>
    <row r="271" spans="2:15" ht="20.25">
      <c r="B271" s="10"/>
      <c r="C271" s="14">
        <v>268</v>
      </c>
      <c r="D271" s="15" t="s">
        <v>345</v>
      </c>
      <c r="E271" s="14">
        <v>60</v>
      </c>
      <c r="F271" s="15">
        <f>_xlfn.XLOOKUP(D271,'Gemini Output'!B:B,'Gemini Output'!C:C,"No Match Yet")</f>
        <v>6</v>
      </c>
      <c r="G271" s="10" t="str">
        <f>_xlfn.XLOOKUP(D271,'Gemini Output'!B:B,'Gemini Output'!E:E,"No Match Yet")</f>
        <v>L2</v>
      </c>
      <c r="H271" s="10"/>
      <c r="I271" s="10"/>
      <c r="J271" s="10"/>
      <c r="K271" s="10"/>
      <c r="L271" s="10"/>
      <c r="M271" s="10"/>
      <c r="N271" s="10"/>
      <c r="O271" s="10"/>
    </row>
    <row r="272" spans="2:15" ht="20.25">
      <c r="B272" s="10"/>
      <c r="C272" s="14">
        <v>269</v>
      </c>
      <c r="D272" s="15" t="s">
        <v>346</v>
      </c>
      <c r="E272" s="14">
        <v>60</v>
      </c>
      <c r="F272" s="15">
        <f>_xlfn.XLOOKUP(D272,'Gemini Output'!B:B,'Gemini Output'!C:C,"No Match Yet")</f>
        <v>9</v>
      </c>
      <c r="G272" s="10" t="str">
        <f>_xlfn.XLOOKUP(D272,'Gemini Output'!B:B,'Gemini Output'!E:E,"No Match Yet")</f>
        <v>L2</v>
      </c>
      <c r="H272" s="10"/>
      <c r="I272" s="10"/>
      <c r="J272" s="10"/>
      <c r="K272" s="10"/>
      <c r="L272" s="10"/>
      <c r="M272" s="10"/>
      <c r="N272" s="10"/>
      <c r="O272" s="10"/>
    </row>
    <row r="273" spans="2:15" ht="20.25">
      <c r="B273" s="10"/>
      <c r="C273" s="14">
        <v>270</v>
      </c>
      <c r="D273" s="15" t="s">
        <v>347</v>
      </c>
      <c r="E273" s="14">
        <v>60</v>
      </c>
      <c r="F273" s="15">
        <f>_xlfn.XLOOKUP(D273,'Gemini Output'!B:B,'Gemini Output'!C:C,"No Match Yet")</f>
        <v>9</v>
      </c>
      <c r="G273" s="10" t="str">
        <f>_xlfn.XLOOKUP(D273,'Gemini Output'!B:B,'Gemini Output'!E:E,"No Match Yet")</f>
        <v>L1</v>
      </c>
      <c r="H273" s="10"/>
      <c r="I273" s="10"/>
      <c r="J273" s="10"/>
      <c r="K273" s="10"/>
      <c r="L273" s="10"/>
      <c r="M273" s="10"/>
      <c r="N273" s="10"/>
      <c r="O273" s="10"/>
    </row>
    <row r="274" spans="2:15" ht="20.25">
      <c r="B274" s="10"/>
      <c r="C274" s="14">
        <v>271</v>
      </c>
      <c r="D274" s="15" t="s">
        <v>348</v>
      </c>
      <c r="E274" s="14">
        <v>59</v>
      </c>
      <c r="F274" s="15">
        <f>_xlfn.XLOOKUP(D274,'Gemini Output'!B:B,'Gemini Output'!C:C,"No Match Yet")</f>
        <v>7</v>
      </c>
      <c r="G274" s="10" t="str">
        <f>_xlfn.XLOOKUP(D274,'Gemini Output'!B:B,'Gemini Output'!E:E,"No Match Yet")</f>
        <v>L2</v>
      </c>
      <c r="H274" s="10"/>
      <c r="I274" s="10"/>
      <c r="J274" s="10"/>
      <c r="K274" s="10"/>
      <c r="L274" s="10"/>
      <c r="M274" s="10"/>
      <c r="N274" s="10"/>
      <c r="O274" s="10"/>
    </row>
    <row r="275" spans="2:15" ht="20.25">
      <c r="B275" s="10"/>
      <c r="C275" s="14">
        <v>272</v>
      </c>
      <c r="D275" s="15" t="s">
        <v>349</v>
      </c>
      <c r="E275" s="14">
        <v>59</v>
      </c>
      <c r="F275" s="15">
        <f>_xlfn.XLOOKUP(D275,'Gemini Output'!B:B,'Gemini Output'!C:C,"No Match Yet")</f>
        <v>2</v>
      </c>
      <c r="G275" s="10" t="str">
        <f>_xlfn.XLOOKUP(D275,'Gemini Output'!B:B,'Gemini Output'!E:E,"No Match Yet")</f>
        <v>L1</v>
      </c>
      <c r="H275" s="10"/>
      <c r="I275" s="10"/>
      <c r="J275" s="10"/>
      <c r="K275" s="10"/>
      <c r="L275" s="10"/>
      <c r="M275" s="10"/>
      <c r="N275" s="10"/>
      <c r="O275" s="10"/>
    </row>
    <row r="276" spans="2:15" ht="20.25">
      <c r="B276" s="10"/>
      <c r="C276" s="14">
        <v>273</v>
      </c>
      <c r="D276" s="15" t="s">
        <v>350</v>
      </c>
      <c r="E276" s="14">
        <v>58</v>
      </c>
      <c r="F276" s="15">
        <f>_xlfn.XLOOKUP(D276,'Gemini Output'!B:B,'Gemini Output'!C:C,"No Match Yet")</f>
        <v>12</v>
      </c>
      <c r="G276" s="10" t="str">
        <f>_xlfn.XLOOKUP(D276,'Gemini Output'!B:B,'Gemini Output'!E:E,"No Match Yet")</f>
        <v>L2</v>
      </c>
      <c r="H276" s="10"/>
      <c r="I276" s="10"/>
      <c r="J276" s="10"/>
      <c r="K276" s="10"/>
      <c r="L276" s="10"/>
      <c r="M276" s="10"/>
      <c r="N276" s="10"/>
      <c r="O276" s="10"/>
    </row>
    <row r="277" spans="2:15" ht="20.25">
      <c r="B277" s="10"/>
      <c r="C277" s="14">
        <v>274</v>
      </c>
      <c r="D277" s="15" t="s">
        <v>351</v>
      </c>
      <c r="E277" s="14">
        <v>58</v>
      </c>
      <c r="F277" s="15">
        <f>_xlfn.XLOOKUP(D277,'Gemini Output'!B:B,'Gemini Output'!C:C,"No Match Yet")</f>
        <v>4</v>
      </c>
      <c r="G277" s="10" t="str">
        <f>_xlfn.XLOOKUP(D277,'Gemini Output'!B:B,'Gemini Output'!E:E,"No Match Yet")</f>
        <v>L1</v>
      </c>
      <c r="H277" s="10"/>
      <c r="I277" s="10"/>
      <c r="J277" s="10"/>
      <c r="K277" s="10"/>
      <c r="L277" s="10"/>
      <c r="M277" s="10"/>
      <c r="N277" s="10"/>
      <c r="O277" s="10"/>
    </row>
    <row r="278" spans="2:15" ht="20.25">
      <c r="B278" s="10"/>
      <c r="C278" s="14">
        <v>275</v>
      </c>
      <c r="D278" s="15" t="s">
        <v>352</v>
      </c>
      <c r="E278" s="14">
        <v>58</v>
      </c>
      <c r="F278" s="15">
        <f>_xlfn.XLOOKUP(D278,'Gemini Output'!B:B,'Gemini Output'!C:C,"No Match Yet")</f>
        <v>10</v>
      </c>
      <c r="G278" s="10" t="str">
        <f>_xlfn.XLOOKUP(D278,'Gemini Output'!B:B,'Gemini Output'!E:E,"No Match Yet")</f>
        <v>L2</v>
      </c>
      <c r="H278" s="10"/>
      <c r="I278" s="10"/>
      <c r="J278" s="10"/>
      <c r="K278" s="10"/>
      <c r="L278" s="10"/>
      <c r="M278" s="10"/>
      <c r="N278" s="10"/>
      <c r="O278" s="10"/>
    </row>
    <row r="279" spans="2:15" ht="20.25">
      <c r="B279" s="10"/>
      <c r="C279" s="14">
        <v>276</v>
      </c>
      <c r="D279" s="15" t="s">
        <v>353</v>
      </c>
      <c r="E279" s="14">
        <v>58</v>
      </c>
      <c r="F279" s="15">
        <f>_xlfn.XLOOKUP(D279,'Gemini Output'!B:B,'Gemini Output'!C:C,"No Match Yet")</f>
        <v>9</v>
      </c>
      <c r="G279" s="10" t="str">
        <f>_xlfn.XLOOKUP(D279,'Gemini Output'!B:B,'Gemini Output'!E:E,"No Match Yet")</f>
        <v>L2</v>
      </c>
      <c r="H279" s="10"/>
      <c r="I279" s="10"/>
      <c r="J279" s="10"/>
      <c r="K279" s="10"/>
      <c r="L279" s="10"/>
      <c r="M279" s="10"/>
      <c r="N279" s="10"/>
      <c r="O279" s="10"/>
    </row>
    <row r="280" spans="2:15" ht="20.25">
      <c r="B280" s="10"/>
      <c r="C280" s="14">
        <v>277</v>
      </c>
      <c r="D280" s="15" t="s">
        <v>354</v>
      </c>
      <c r="E280" s="14">
        <v>58</v>
      </c>
      <c r="F280" s="15">
        <f>_xlfn.XLOOKUP(D280,'Gemini Output'!B:B,'Gemini Output'!C:C,"No Match Yet")</f>
        <v>11</v>
      </c>
      <c r="G280" s="10" t="str">
        <f>_xlfn.XLOOKUP(D280,'Gemini Output'!B:B,'Gemini Output'!E:E,"No Match Yet")</f>
        <v>L1</v>
      </c>
      <c r="H280" s="10"/>
      <c r="I280" s="10"/>
      <c r="J280" s="10"/>
      <c r="K280" s="10"/>
      <c r="L280" s="10"/>
      <c r="M280" s="10"/>
      <c r="N280" s="10"/>
      <c r="O280" s="10"/>
    </row>
    <row r="281" spans="2:15" ht="20.25">
      <c r="B281" s="10"/>
      <c r="C281" s="14">
        <v>278</v>
      </c>
      <c r="D281" s="15" t="s">
        <v>355</v>
      </c>
      <c r="E281" s="14">
        <v>58</v>
      </c>
      <c r="F281" s="15">
        <f>_xlfn.XLOOKUP(D281,'Gemini Output'!B:B,'Gemini Output'!C:C,"No Match Yet")</f>
        <v>4</v>
      </c>
      <c r="G281" s="10" t="str">
        <f>_xlfn.XLOOKUP(D281,'Gemini Output'!B:B,'Gemini Output'!E:E,"No Match Yet")</f>
        <v>L1</v>
      </c>
      <c r="H281" s="10"/>
      <c r="I281" s="10"/>
      <c r="J281" s="10"/>
      <c r="K281" s="10"/>
      <c r="L281" s="10"/>
      <c r="M281" s="10"/>
      <c r="N281" s="10"/>
      <c r="O281" s="10"/>
    </row>
    <row r="282" spans="2:15" ht="20.25">
      <c r="B282" s="10"/>
      <c r="C282" s="14">
        <v>279</v>
      </c>
      <c r="D282" s="15" t="s">
        <v>356</v>
      </c>
      <c r="E282" s="14">
        <v>57</v>
      </c>
      <c r="F282" s="15">
        <f>_xlfn.XLOOKUP(D282,'Gemini Output'!B:B,'Gemini Output'!C:C,"No Match Yet")</f>
        <v>9</v>
      </c>
      <c r="G282" s="10" t="str">
        <f>_xlfn.XLOOKUP(D282,'Gemini Output'!B:B,'Gemini Output'!E:E,"No Match Yet")</f>
        <v>L1</v>
      </c>
      <c r="H282" s="10"/>
      <c r="I282" s="10"/>
      <c r="J282" s="10"/>
      <c r="K282" s="10"/>
      <c r="L282" s="10"/>
      <c r="M282" s="10"/>
      <c r="N282" s="10"/>
      <c r="O282" s="10"/>
    </row>
    <row r="283" spans="2:15" ht="20.25">
      <c r="B283" s="10"/>
      <c r="C283" s="14">
        <v>280</v>
      </c>
      <c r="D283" s="15" t="s">
        <v>357</v>
      </c>
      <c r="E283" s="14">
        <v>57</v>
      </c>
      <c r="F283" s="15">
        <f>_xlfn.XLOOKUP(D283,'Gemini Output'!B:B,'Gemini Output'!C:C,"No Match Yet")</f>
        <v>1</v>
      </c>
      <c r="G283" s="10" t="str">
        <f>_xlfn.XLOOKUP(D283,'Gemini Output'!B:B,'Gemini Output'!E:E,"No Match Yet")</f>
        <v>L1</v>
      </c>
      <c r="H283" s="10"/>
      <c r="I283" s="10"/>
      <c r="J283" s="10"/>
      <c r="K283" s="10"/>
      <c r="L283" s="10"/>
      <c r="M283" s="10"/>
      <c r="N283" s="10"/>
      <c r="O283" s="10"/>
    </row>
    <row r="284" spans="2:15" ht="20.25">
      <c r="B284" s="10"/>
      <c r="C284" s="14">
        <v>281</v>
      </c>
      <c r="D284" s="15" t="s">
        <v>358</v>
      </c>
      <c r="E284" s="14">
        <v>57</v>
      </c>
      <c r="F284" s="15">
        <f>_xlfn.XLOOKUP(D284,'Gemini Output'!B:B,'Gemini Output'!C:C,"No Match Yet")</f>
        <v>10</v>
      </c>
      <c r="G284" s="10" t="str">
        <f>_xlfn.XLOOKUP(D284,'Gemini Output'!B:B,'Gemini Output'!E:E,"No Match Yet")</f>
        <v>L1</v>
      </c>
      <c r="H284" s="10"/>
      <c r="I284" s="10"/>
      <c r="J284" s="10"/>
      <c r="K284" s="10"/>
      <c r="L284" s="10"/>
      <c r="M284" s="10"/>
      <c r="N284" s="10"/>
      <c r="O284" s="10"/>
    </row>
    <row r="285" spans="2:15" ht="20.25">
      <c r="B285" s="10"/>
      <c r="C285" s="14">
        <v>282</v>
      </c>
      <c r="D285" s="15" t="s">
        <v>359</v>
      </c>
      <c r="E285" s="14">
        <v>57</v>
      </c>
      <c r="F285" s="15">
        <f>_xlfn.XLOOKUP(D285,'Gemini Output'!B:B,'Gemini Output'!C:C,"No Match Yet")</f>
        <v>8</v>
      </c>
      <c r="G285" s="10" t="str">
        <f>_xlfn.XLOOKUP(D285,'Gemini Output'!B:B,'Gemini Output'!E:E,"No Match Yet")</f>
        <v>L1</v>
      </c>
      <c r="H285" s="10"/>
      <c r="I285" s="10"/>
      <c r="J285" s="10"/>
      <c r="K285" s="10"/>
      <c r="L285" s="10"/>
      <c r="M285" s="10"/>
      <c r="N285" s="10"/>
      <c r="O285" s="10"/>
    </row>
    <row r="286" spans="2:15" ht="20.25">
      <c r="B286" s="10"/>
      <c r="C286" s="14">
        <v>283</v>
      </c>
      <c r="D286" s="15" t="s">
        <v>360</v>
      </c>
      <c r="E286" s="14">
        <v>57</v>
      </c>
      <c r="F286" s="15">
        <f>_xlfn.XLOOKUP(D286,'Gemini Output'!B:B,'Gemini Output'!C:C,"No Match Yet")</f>
        <v>12</v>
      </c>
      <c r="G286" s="10" t="str">
        <f>_xlfn.XLOOKUP(D286,'Gemini Output'!B:B,'Gemini Output'!E:E,"No Match Yet")</f>
        <v>L1</v>
      </c>
      <c r="H286" s="10"/>
      <c r="I286" s="10"/>
      <c r="J286" s="10"/>
      <c r="K286" s="10"/>
      <c r="L286" s="10"/>
      <c r="M286" s="10"/>
      <c r="N286" s="10"/>
      <c r="O286" s="10"/>
    </row>
    <row r="287" spans="2:15" ht="20.25">
      <c r="B287" s="10"/>
      <c r="C287" s="14">
        <v>284</v>
      </c>
      <c r="D287" s="15" t="s">
        <v>361</v>
      </c>
      <c r="E287" s="14">
        <v>56</v>
      </c>
      <c r="F287" s="15">
        <f>_xlfn.XLOOKUP(D287,'Gemini Output'!B:B,'Gemini Output'!C:C,"No Match Yet")</f>
        <v>12</v>
      </c>
      <c r="G287" s="10" t="str">
        <f>_xlfn.XLOOKUP(D287,'Gemini Output'!B:B,'Gemini Output'!E:E,"No Match Yet")</f>
        <v>L1</v>
      </c>
      <c r="H287" s="10"/>
      <c r="I287" s="10"/>
      <c r="J287" s="10"/>
      <c r="K287" s="10"/>
      <c r="L287" s="10"/>
      <c r="M287" s="10"/>
      <c r="N287" s="10"/>
      <c r="O287" s="10"/>
    </row>
    <row r="288" spans="2:15" ht="20.25">
      <c r="B288" s="10"/>
      <c r="C288" s="14">
        <v>285</v>
      </c>
      <c r="D288" s="15" t="s">
        <v>362</v>
      </c>
      <c r="E288" s="14">
        <v>56</v>
      </c>
      <c r="F288" s="15">
        <f>_xlfn.XLOOKUP(D288,'Gemini Output'!B:B,'Gemini Output'!C:C,"No Match Yet")</f>
        <v>6</v>
      </c>
      <c r="G288" s="10" t="str">
        <f>_xlfn.XLOOKUP(D288,'Gemini Output'!B:B,'Gemini Output'!E:E,"No Match Yet")</f>
        <v>L2</v>
      </c>
      <c r="H288" s="10"/>
      <c r="I288" s="10"/>
      <c r="J288" s="10"/>
      <c r="K288" s="10"/>
      <c r="L288" s="10"/>
      <c r="M288" s="10"/>
      <c r="N288" s="10"/>
      <c r="O288" s="10"/>
    </row>
    <row r="289" spans="2:15" ht="20.25">
      <c r="B289" s="10"/>
      <c r="C289" s="14">
        <v>286</v>
      </c>
      <c r="D289" s="15" t="s">
        <v>363</v>
      </c>
      <c r="E289" s="14">
        <v>56</v>
      </c>
      <c r="F289" s="15">
        <f>_xlfn.XLOOKUP(D289,'Gemini Output'!B:B,'Gemini Output'!C:C,"No Match Yet")</f>
        <v>6</v>
      </c>
      <c r="G289" s="10" t="str">
        <f>_xlfn.XLOOKUP(D289,'Gemini Output'!B:B,'Gemini Output'!E:E,"No Match Yet")</f>
        <v>L2</v>
      </c>
      <c r="H289" s="10"/>
      <c r="I289" s="10"/>
      <c r="J289" s="10"/>
      <c r="K289" s="10"/>
      <c r="L289" s="10"/>
      <c r="M289" s="10"/>
      <c r="N289" s="10"/>
      <c r="O289" s="10"/>
    </row>
    <row r="290" spans="2:15" ht="20.25">
      <c r="B290" s="10"/>
      <c r="C290" s="14">
        <v>287</v>
      </c>
      <c r="D290" s="15" t="s">
        <v>364</v>
      </c>
      <c r="E290" s="14">
        <v>56</v>
      </c>
      <c r="F290" s="15">
        <f>_xlfn.XLOOKUP(D290,'Gemini Output'!B:B,'Gemini Output'!C:C,"No Match Yet")</f>
        <v>12</v>
      </c>
      <c r="G290" s="10" t="str">
        <f>_xlfn.XLOOKUP(D290,'Gemini Output'!B:B,'Gemini Output'!E:E,"No Match Yet")</f>
        <v>L2</v>
      </c>
      <c r="H290" s="10"/>
      <c r="I290" s="10"/>
      <c r="J290" s="10"/>
      <c r="K290" s="10"/>
      <c r="L290" s="10"/>
      <c r="M290" s="10"/>
      <c r="N290" s="10"/>
      <c r="O290" s="10"/>
    </row>
    <row r="291" spans="2:15" ht="20.25">
      <c r="B291" s="10"/>
      <c r="C291" s="14">
        <v>288</v>
      </c>
      <c r="D291" s="15" t="s">
        <v>365</v>
      </c>
      <c r="E291" s="14">
        <v>56</v>
      </c>
      <c r="F291" s="15">
        <f>_xlfn.XLOOKUP(D291,'Gemini Output'!B:B,'Gemini Output'!C:C,"No Match Yet")</f>
        <v>8</v>
      </c>
      <c r="G291" s="10" t="str">
        <f>_xlfn.XLOOKUP(D291,'Gemini Output'!B:B,'Gemini Output'!E:E,"No Match Yet")</f>
        <v>L1</v>
      </c>
      <c r="H291" s="10"/>
      <c r="I291" s="10"/>
      <c r="J291" s="10"/>
      <c r="K291" s="10"/>
      <c r="L291" s="10"/>
      <c r="M291" s="10"/>
      <c r="N291" s="10"/>
      <c r="O291" s="10"/>
    </row>
    <row r="292" spans="2:15" ht="20.25">
      <c r="B292" s="10"/>
      <c r="C292" s="14">
        <v>289</v>
      </c>
      <c r="D292" s="15" t="s">
        <v>366</v>
      </c>
      <c r="E292" s="14">
        <v>56</v>
      </c>
      <c r="F292" s="15">
        <f>_xlfn.XLOOKUP(D292,'Gemini Output'!B:B,'Gemini Output'!C:C,"No Match Yet")</f>
        <v>12</v>
      </c>
      <c r="G292" s="10" t="str">
        <f>_xlfn.XLOOKUP(D292,'Gemini Output'!B:B,'Gemini Output'!E:E,"No Match Yet")</f>
        <v>L1</v>
      </c>
      <c r="H292" s="10"/>
      <c r="I292" s="10"/>
      <c r="J292" s="10"/>
      <c r="K292" s="10"/>
      <c r="L292" s="10"/>
      <c r="M292" s="10"/>
      <c r="N292" s="10"/>
      <c r="O292" s="10"/>
    </row>
    <row r="293" spans="2:15" ht="20.25">
      <c r="B293" s="10"/>
      <c r="C293" s="14">
        <v>290</v>
      </c>
      <c r="D293" s="15" t="s">
        <v>367</v>
      </c>
      <c r="E293" s="14">
        <v>56</v>
      </c>
      <c r="F293" s="15">
        <f>_xlfn.XLOOKUP(D293,'Gemini Output'!B:B,'Gemini Output'!C:C,"No Match Yet")</f>
        <v>5</v>
      </c>
      <c r="G293" s="10" t="str">
        <f>_xlfn.XLOOKUP(D293,'Gemini Output'!B:B,'Gemini Output'!E:E,"No Match Yet")</f>
        <v>L1</v>
      </c>
      <c r="H293" s="10"/>
      <c r="I293" s="10"/>
      <c r="J293" s="10"/>
      <c r="K293" s="10"/>
      <c r="L293" s="10"/>
      <c r="M293" s="10"/>
      <c r="N293" s="10"/>
      <c r="O293" s="10"/>
    </row>
    <row r="294" spans="2:15" ht="20.25">
      <c r="B294" s="10"/>
      <c r="C294" s="14">
        <v>291</v>
      </c>
      <c r="D294" s="15" t="s">
        <v>368</v>
      </c>
      <c r="E294" s="14">
        <v>56</v>
      </c>
      <c r="F294" s="15">
        <f>_xlfn.XLOOKUP(D294,'Gemini Output'!B:B,'Gemini Output'!C:C,"No Match Yet")</f>
        <v>12</v>
      </c>
      <c r="G294" s="10" t="str">
        <f>_xlfn.XLOOKUP(D294,'Gemini Output'!B:B,'Gemini Output'!E:E,"No Match Yet")</f>
        <v>L1</v>
      </c>
      <c r="H294" s="10"/>
      <c r="I294" s="10"/>
      <c r="J294" s="10"/>
      <c r="K294" s="10"/>
      <c r="L294" s="10"/>
      <c r="M294" s="10"/>
      <c r="N294" s="10"/>
      <c r="O294" s="10"/>
    </row>
    <row r="295" spans="2:15" ht="20.25">
      <c r="B295" s="10"/>
      <c r="C295" s="14">
        <v>292</v>
      </c>
      <c r="D295" s="15" t="s">
        <v>369</v>
      </c>
      <c r="E295" s="14">
        <v>56</v>
      </c>
      <c r="F295" s="15">
        <f>_xlfn.XLOOKUP(D295,'Gemini Output'!B:B,'Gemini Output'!C:C,"No Match Yet")</f>
        <v>4</v>
      </c>
      <c r="G295" s="10" t="str">
        <f>_xlfn.XLOOKUP(D295,'Gemini Output'!B:B,'Gemini Output'!E:E,"No Match Yet")</f>
        <v>L1</v>
      </c>
      <c r="H295" s="10"/>
      <c r="I295" s="10"/>
      <c r="J295" s="10"/>
      <c r="K295" s="10"/>
      <c r="L295" s="10"/>
      <c r="M295" s="10"/>
      <c r="N295" s="10"/>
      <c r="O295" s="10"/>
    </row>
    <row r="296" spans="2:15" ht="20.25">
      <c r="B296" s="10"/>
      <c r="C296" s="14">
        <v>293</v>
      </c>
      <c r="D296" s="15" t="s">
        <v>370</v>
      </c>
      <c r="E296" s="14">
        <v>56</v>
      </c>
      <c r="F296" s="15">
        <f>_xlfn.XLOOKUP(D296,'Gemini Output'!B:B,'Gemini Output'!C:C,"No Match Yet")</f>
        <v>12</v>
      </c>
      <c r="G296" s="10" t="str">
        <f>_xlfn.XLOOKUP(D296,'Gemini Output'!B:B,'Gemini Output'!E:E,"No Match Yet")</f>
        <v>L1</v>
      </c>
      <c r="H296" s="10"/>
      <c r="I296" s="10"/>
      <c r="J296" s="10"/>
      <c r="K296" s="10"/>
      <c r="L296" s="10"/>
      <c r="M296" s="10"/>
      <c r="N296" s="10"/>
      <c r="O296" s="10"/>
    </row>
    <row r="297" spans="2:15" ht="20.25">
      <c r="B297" s="10"/>
      <c r="C297" s="14">
        <v>294</v>
      </c>
      <c r="D297" s="15" t="s">
        <v>371</v>
      </c>
      <c r="E297" s="14">
        <v>56</v>
      </c>
      <c r="F297" s="15">
        <f>_xlfn.XLOOKUP(D297,'Gemini Output'!B:B,'Gemini Output'!C:C,"No Match Yet")</f>
        <v>9</v>
      </c>
      <c r="G297" s="10" t="str">
        <f>_xlfn.XLOOKUP(D297,'Gemini Output'!B:B,'Gemini Output'!E:E,"No Match Yet")</f>
        <v>L1</v>
      </c>
      <c r="H297" s="10"/>
      <c r="I297" s="10"/>
      <c r="J297" s="10"/>
      <c r="K297" s="10"/>
      <c r="L297" s="10"/>
      <c r="M297" s="10"/>
      <c r="N297" s="10"/>
      <c r="O297" s="10"/>
    </row>
    <row r="298" spans="2:15" ht="20.25">
      <c r="B298" s="10"/>
      <c r="C298" s="14">
        <v>295</v>
      </c>
      <c r="D298" s="15" t="s">
        <v>372</v>
      </c>
      <c r="E298" s="14"/>
      <c r="F298" s="15">
        <f>_xlfn.XLOOKUP(D298,'Gemini Output'!B:B,'Gemini Output'!C:C,"No Match Yet")</f>
        <v>4</v>
      </c>
      <c r="G298" s="10" t="str">
        <f>_xlfn.XLOOKUP(D298,'Gemini Output'!B:B,'Gemini Output'!E:E,"No Match Yet")</f>
        <v>L2</v>
      </c>
      <c r="H298" s="10"/>
      <c r="I298" s="10"/>
      <c r="J298" s="10"/>
      <c r="K298" s="10"/>
      <c r="L298" s="10"/>
      <c r="M298" s="10"/>
      <c r="N298" s="10"/>
      <c r="O298" s="10"/>
    </row>
    <row r="299" spans="2:15" ht="20.25">
      <c r="B299" s="10"/>
      <c r="C299" s="14">
        <v>296</v>
      </c>
      <c r="D299" s="15" t="s">
        <v>373</v>
      </c>
      <c r="E299" s="14"/>
      <c r="F299" s="15">
        <f>_xlfn.XLOOKUP(D299,'Gemini Output'!B:B,'Gemini Output'!C:C,"No Match Yet")</f>
        <v>5</v>
      </c>
      <c r="G299" s="10" t="str">
        <f>_xlfn.XLOOKUP(D299,'Gemini Output'!B:B,'Gemini Output'!E:E,"No Match Yet")</f>
        <v>L2</v>
      </c>
      <c r="H299" s="10"/>
      <c r="I299" s="10"/>
      <c r="J299" s="10"/>
      <c r="K299" s="10"/>
      <c r="L299" s="10"/>
      <c r="M299" s="10"/>
      <c r="N299" s="10"/>
      <c r="O299" s="10"/>
    </row>
    <row r="300" spans="2:15" ht="20.25">
      <c r="B300" s="10"/>
      <c r="C300" s="14">
        <v>297</v>
      </c>
      <c r="D300" s="15" t="s">
        <v>374</v>
      </c>
      <c r="E300" s="14"/>
      <c r="F300" s="15">
        <f>_xlfn.XLOOKUP(D300,'Gemini Output'!B:B,'Gemini Output'!C:C,"No Match Yet")</f>
        <v>10</v>
      </c>
      <c r="G300" s="10" t="str">
        <f>_xlfn.XLOOKUP(D300,'Gemini Output'!B:B,'Gemini Output'!E:E,"No Match Yet")</f>
        <v>L1</v>
      </c>
      <c r="H300" s="10"/>
      <c r="I300" s="10"/>
      <c r="J300" s="10"/>
      <c r="K300" s="10"/>
      <c r="L300" s="10"/>
      <c r="M300" s="10"/>
      <c r="N300" s="10"/>
      <c r="O300" s="10"/>
    </row>
    <row r="301" spans="2:15" ht="20.25">
      <c r="B301" s="10"/>
      <c r="C301" s="14">
        <v>298</v>
      </c>
      <c r="D301" s="15" t="s">
        <v>375</v>
      </c>
      <c r="E301" s="14">
        <v>55</v>
      </c>
      <c r="F301" s="15">
        <f>_xlfn.XLOOKUP(D301,'Gemini Output'!B:B,'Gemini Output'!C:C,"No Match Yet")</f>
        <v>12</v>
      </c>
      <c r="G301" s="10" t="str">
        <f>_xlfn.XLOOKUP(D301,'Gemini Output'!B:B,'Gemini Output'!E:E,"No Match Yet")</f>
        <v>L1</v>
      </c>
      <c r="H301" s="10"/>
      <c r="I301" s="10"/>
      <c r="J301" s="10"/>
      <c r="K301" s="10"/>
      <c r="L301" s="10"/>
      <c r="M301" s="10"/>
      <c r="N301" s="10"/>
      <c r="O301" s="10"/>
    </row>
    <row r="302" spans="2:15" ht="20.25">
      <c r="B302" s="10"/>
      <c r="C302" s="14">
        <v>299</v>
      </c>
      <c r="D302" s="15" t="s">
        <v>376</v>
      </c>
      <c r="E302" s="14">
        <v>55</v>
      </c>
      <c r="F302" s="15">
        <f>_xlfn.XLOOKUP(D302,'Gemini Output'!B:B,'Gemini Output'!C:C,"No Match Yet")</f>
        <v>1</v>
      </c>
      <c r="G302" s="10" t="str">
        <f>_xlfn.XLOOKUP(D302,'Gemini Output'!B:B,'Gemini Output'!E:E,"No Match Yet")</f>
        <v>L2</v>
      </c>
      <c r="H302" s="10"/>
      <c r="I302" s="10"/>
      <c r="J302" s="10"/>
      <c r="K302" s="10"/>
      <c r="L302" s="10"/>
      <c r="M302" s="10"/>
      <c r="N302" s="10"/>
      <c r="O302" s="10"/>
    </row>
    <row r="303" spans="2:15" ht="20.25">
      <c r="B303" s="10"/>
      <c r="C303" s="14">
        <v>300</v>
      </c>
      <c r="D303" s="15" t="s">
        <v>377</v>
      </c>
      <c r="E303" s="14">
        <v>55</v>
      </c>
      <c r="F303" s="15">
        <f>_xlfn.XLOOKUP(D303,'Gemini Output'!B:B,'Gemini Output'!C:C,"No Match Yet")</f>
        <v>10</v>
      </c>
      <c r="G303" s="10" t="str">
        <f>_xlfn.XLOOKUP(D303,'Gemini Output'!B:B,'Gemini Output'!E:E,"No Match Yet")</f>
        <v>L1</v>
      </c>
      <c r="H303" s="10"/>
      <c r="I303" s="10"/>
      <c r="J303" s="10"/>
      <c r="K303" s="10"/>
      <c r="L303" s="10"/>
      <c r="M303" s="10"/>
      <c r="N303" s="10"/>
      <c r="O303" s="10"/>
    </row>
    <row r="304" spans="2:15" ht="20.25">
      <c r="B304" s="10"/>
      <c r="C304" s="14">
        <v>301</v>
      </c>
      <c r="D304" s="15" t="s">
        <v>378</v>
      </c>
      <c r="E304" s="14">
        <v>55</v>
      </c>
      <c r="F304" s="15">
        <f>_xlfn.XLOOKUP(D304,'Gemini Output'!B:B,'Gemini Output'!C:C,"No Match Yet")</f>
        <v>3</v>
      </c>
      <c r="G304" s="10" t="str">
        <f>_xlfn.XLOOKUP(D304,'Gemini Output'!B:B,'Gemini Output'!E:E,"No Match Yet")</f>
        <v>L1</v>
      </c>
      <c r="H304" s="10"/>
      <c r="I304" s="10"/>
      <c r="J304" s="10"/>
      <c r="K304" s="10"/>
      <c r="L304" s="10"/>
      <c r="M304" s="10"/>
      <c r="N304" s="10"/>
      <c r="O304" s="10"/>
    </row>
    <row r="305" spans="2:15" ht="20.25">
      <c r="B305" s="10"/>
      <c r="C305" s="14">
        <v>302</v>
      </c>
      <c r="D305" s="15" t="s">
        <v>379</v>
      </c>
      <c r="E305" s="14">
        <v>55</v>
      </c>
      <c r="F305" s="15">
        <f>_xlfn.XLOOKUP(D305,'Gemini Output'!B:B,'Gemini Output'!C:C,"No Match Yet")</f>
        <v>9</v>
      </c>
      <c r="G305" s="10" t="str">
        <f>_xlfn.XLOOKUP(D305,'Gemini Output'!B:B,'Gemini Output'!E:E,"No Match Yet")</f>
        <v>L1</v>
      </c>
      <c r="H305" s="10"/>
      <c r="I305" s="10"/>
      <c r="J305" s="10"/>
      <c r="K305" s="10"/>
      <c r="L305" s="10"/>
      <c r="M305" s="10"/>
      <c r="N305" s="10"/>
      <c r="O305" s="10"/>
    </row>
    <row r="306" spans="2:15" ht="20.25">
      <c r="B306" s="10"/>
      <c r="C306" s="14">
        <v>303</v>
      </c>
      <c r="D306" s="15" t="s">
        <v>380</v>
      </c>
      <c r="E306" s="14">
        <v>55</v>
      </c>
      <c r="F306" s="15">
        <f>_xlfn.XLOOKUP(D306,'Gemini Output'!B:B,'Gemini Output'!C:C,"No Match Yet")</f>
        <v>12</v>
      </c>
      <c r="G306" s="10" t="str">
        <f>_xlfn.XLOOKUP(D306,'Gemini Output'!B:B,'Gemini Output'!E:E,"No Match Yet")</f>
        <v>L2</v>
      </c>
      <c r="H306" s="10"/>
      <c r="I306" s="10"/>
      <c r="J306" s="10"/>
      <c r="K306" s="10"/>
      <c r="L306" s="10"/>
      <c r="M306" s="10"/>
      <c r="N306" s="10"/>
      <c r="O306" s="10"/>
    </row>
    <row r="307" spans="2:15" ht="20.25">
      <c r="B307" s="10"/>
      <c r="C307" s="14">
        <v>304</v>
      </c>
      <c r="D307" s="15" t="s">
        <v>381</v>
      </c>
      <c r="E307" s="14">
        <v>55</v>
      </c>
      <c r="F307" s="15">
        <f>_xlfn.XLOOKUP(D307,'Gemini Output'!B:B,'Gemini Output'!C:C,"No Match Yet")</f>
        <v>12</v>
      </c>
      <c r="G307" s="10" t="str">
        <f>_xlfn.XLOOKUP(D307,'Gemini Output'!B:B,'Gemini Output'!E:E,"No Match Yet")</f>
        <v>L1</v>
      </c>
      <c r="H307" s="10"/>
      <c r="I307" s="10"/>
      <c r="J307" s="10"/>
      <c r="K307" s="10"/>
      <c r="L307" s="10"/>
      <c r="M307" s="10"/>
      <c r="N307" s="10"/>
      <c r="O307" s="10"/>
    </row>
    <row r="308" spans="2:15" ht="20.25">
      <c r="B308" s="10"/>
      <c r="C308" s="14">
        <v>305</v>
      </c>
      <c r="D308" s="15" t="s">
        <v>382</v>
      </c>
      <c r="E308" s="14">
        <v>55</v>
      </c>
      <c r="F308" s="15">
        <f>_xlfn.XLOOKUP(D308,'Gemini Output'!B:B,'Gemini Output'!C:C,"No Match Yet")</f>
        <v>2</v>
      </c>
      <c r="G308" s="10" t="str">
        <f>_xlfn.XLOOKUP(D308,'Gemini Output'!B:B,'Gemini Output'!E:E,"No Match Yet")</f>
        <v>L2</v>
      </c>
      <c r="H308" s="10"/>
      <c r="I308" s="10"/>
      <c r="J308" s="10"/>
      <c r="K308" s="10"/>
      <c r="L308" s="10"/>
      <c r="M308" s="10"/>
      <c r="N308" s="10"/>
      <c r="O308" s="10"/>
    </row>
    <row r="309" spans="2:15" ht="20.25">
      <c r="B309" s="10"/>
      <c r="C309" s="14">
        <v>306</v>
      </c>
      <c r="D309" s="15" t="s">
        <v>383</v>
      </c>
      <c r="E309" s="14"/>
      <c r="F309" s="15">
        <f>_xlfn.XLOOKUP(D309,'Gemini Output'!B:B,'Gemini Output'!C:C,"No Match Yet")</f>
        <v>1</v>
      </c>
      <c r="G309" s="10" t="str">
        <f>_xlfn.XLOOKUP(D309,'Gemini Output'!B:B,'Gemini Output'!E:E,"No Match Yet")</f>
        <v>L2</v>
      </c>
      <c r="H309" s="10"/>
      <c r="I309" s="10"/>
      <c r="J309" s="10"/>
      <c r="K309" s="10"/>
      <c r="L309" s="10"/>
      <c r="M309" s="10"/>
      <c r="N309" s="10"/>
      <c r="O309" s="10"/>
    </row>
    <row r="310" spans="2:15" ht="20.25">
      <c r="B310" s="10"/>
      <c r="C310" s="14">
        <v>307</v>
      </c>
      <c r="D310" s="15" t="s">
        <v>384</v>
      </c>
      <c r="E310" s="14">
        <v>54</v>
      </c>
      <c r="F310" s="15">
        <f>_xlfn.XLOOKUP(D310,'Gemini Output'!B:B,'Gemini Output'!C:C,"No Match Yet")</f>
        <v>9</v>
      </c>
      <c r="G310" s="10" t="str">
        <f>_xlfn.XLOOKUP(D310,'Gemini Output'!B:B,'Gemini Output'!E:E,"No Match Yet")</f>
        <v>L1</v>
      </c>
      <c r="H310" s="10"/>
      <c r="I310" s="10"/>
      <c r="J310" s="10"/>
      <c r="K310" s="10"/>
      <c r="L310" s="10"/>
      <c r="M310" s="10"/>
      <c r="N310" s="10"/>
      <c r="O310" s="10"/>
    </row>
    <row r="311" spans="2:15" ht="20.25">
      <c r="B311" s="10"/>
      <c r="C311" s="14">
        <v>308</v>
      </c>
      <c r="D311" s="15" t="s">
        <v>385</v>
      </c>
      <c r="E311" s="14">
        <v>54</v>
      </c>
      <c r="F311" s="15">
        <f>_xlfn.XLOOKUP(D311,'Gemini Output'!B:B,'Gemini Output'!C:C,"No Match Yet")</f>
        <v>12</v>
      </c>
      <c r="G311" s="10" t="str">
        <f>_xlfn.XLOOKUP(D311,'Gemini Output'!B:B,'Gemini Output'!E:E,"No Match Yet")</f>
        <v>L1</v>
      </c>
      <c r="H311" s="10"/>
      <c r="I311" s="10"/>
      <c r="J311" s="10"/>
      <c r="K311" s="10"/>
      <c r="L311" s="10"/>
      <c r="M311" s="10"/>
      <c r="N311" s="10"/>
      <c r="O311" s="10"/>
    </row>
    <row r="312" spans="2:15" ht="20.25">
      <c r="B312" s="10"/>
      <c r="C312" s="14">
        <v>309</v>
      </c>
      <c r="D312" s="15" t="s">
        <v>386</v>
      </c>
      <c r="E312" s="14">
        <v>54</v>
      </c>
      <c r="F312" s="15">
        <f>_xlfn.XLOOKUP(D312,'Gemini Output'!B:B,'Gemini Output'!C:C,"No Match Yet")</f>
        <v>4</v>
      </c>
      <c r="G312" s="10" t="str">
        <f>_xlfn.XLOOKUP(D312,'Gemini Output'!B:B,'Gemini Output'!E:E,"No Match Yet")</f>
        <v>L2</v>
      </c>
      <c r="H312" s="10"/>
      <c r="I312" s="10"/>
      <c r="J312" s="10"/>
      <c r="K312" s="10"/>
      <c r="L312" s="10"/>
      <c r="M312" s="10"/>
      <c r="N312" s="10"/>
      <c r="O312" s="10"/>
    </row>
    <row r="313" spans="2:15" ht="20.25">
      <c r="B313" s="10"/>
      <c r="C313" s="14">
        <v>310</v>
      </c>
      <c r="D313" s="15" t="s">
        <v>387</v>
      </c>
      <c r="E313" s="14">
        <v>54</v>
      </c>
      <c r="F313" s="15">
        <f>_xlfn.XLOOKUP(D313,'Gemini Output'!B:B,'Gemini Output'!C:C,"No Match Yet")</f>
        <v>12</v>
      </c>
      <c r="G313" s="10" t="str">
        <f>_xlfn.XLOOKUP(D313,'Gemini Output'!B:B,'Gemini Output'!E:E,"No Match Yet")</f>
        <v>L2</v>
      </c>
      <c r="H313" s="10"/>
      <c r="I313" s="10"/>
      <c r="J313" s="10"/>
      <c r="K313" s="10"/>
      <c r="L313" s="10"/>
      <c r="M313" s="10"/>
      <c r="N313" s="10"/>
      <c r="O313" s="10"/>
    </row>
    <row r="314" spans="2:15" ht="20.25">
      <c r="B314" s="10"/>
      <c r="C314" s="14">
        <v>311</v>
      </c>
      <c r="D314" s="15" t="s">
        <v>388</v>
      </c>
      <c r="E314" s="14">
        <v>54</v>
      </c>
      <c r="F314" s="15">
        <f>_xlfn.XLOOKUP(D314,'Gemini Output'!B:B,'Gemini Output'!C:C,"No Match Yet")</f>
        <v>2</v>
      </c>
      <c r="G314" s="10" t="str">
        <f>_xlfn.XLOOKUP(D314,'Gemini Output'!B:B,'Gemini Output'!E:E,"No Match Yet")</f>
        <v>L2</v>
      </c>
      <c r="H314" s="10"/>
      <c r="I314" s="10"/>
      <c r="J314" s="10"/>
      <c r="K314" s="10"/>
      <c r="L314" s="10"/>
      <c r="M314" s="10"/>
      <c r="N314" s="10"/>
      <c r="O314" s="10"/>
    </row>
    <row r="315" spans="2:15" ht="20.25">
      <c r="B315" s="10"/>
      <c r="C315" s="14">
        <v>312</v>
      </c>
      <c r="D315" s="15" t="s">
        <v>389</v>
      </c>
      <c r="E315" s="14">
        <v>53</v>
      </c>
      <c r="F315" s="15">
        <f>_xlfn.XLOOKUP(D315,'Gemini Output'!B:B,'Gemini Output'!C:C,"No Match Yet")</f>
        <v>10</v>
      </c>
      <c r="G315" s="10" t="str">
        <f>_xlfn.XLOOKUP(D315,'Gemini Output'!B:B,'Gemini Output'!E:E,"No Match Yet")</f>
        <v>L2</v>
      </c>
      <c r="H315" s="10"/>
      <c r="I315" s="10"/>
      <c r="J315" s="10"/>
      <c r="K315" s="10"/>
      <c r="L315" s="10"/>
      <c r="M315" s="10"/>
      <c r="N315" s="10"/>
      <c r="O315" s="10"/>
    </row>
    <row r="316" spans="2:15" ht="20.25">
      <c r="B316" s="10"/>
      <c r="C316" s="14">
        <v>313</v>
      </c>
      <c r="D316" s="15" t="s">
        <v>390</v>
      </c>
      <c r="E316" s="14">
        <v>53</v>
      </c>
      <c r="F316" s="15">
        <f>_xlfn.XLOOKUP(D316,'Gemini Output'!B:B,'Gemini Output'!C:C,"No Match Yet")</f>
        <v>5</v>
      </c>
      <c r="G316" s="10" t="str">
        <f>_xlfn.XLOOKUP(D316,'Gemini Output'!B:B,'Gemini Output'!E:E,"No Match Yet")</f>
        <v>L2</v>
      </c>
      <c r="H316" s="10"/>
      <c r="I316" s="10"/>
      <c r="J316" s="10"/>
      <c r="K316" s="10"/>
      <c r="L316" s="10"/>
      <c r="M316" s="10"/>
      <c r="N316" s="10"/>
      <c r="O316" s="10"/>
    </row>
    <row r="317" spans="2:15" ht="20.25">
      <c r="B317" s="10"/>
      <c r="C317" s="14">
        <v>314</v>
      </c>
      <c r="D317" s="15" t="s">
        <v>391</v>
      </c>
      <c r="E317" s="14">
        <v>53</v>
      </c>
      <c r="F317" s="15">
        <f>_xlfn.XLOOKUP(D317,'Gemini Output'!B:B,'Gemini Output'!C:C,"No Match Yet")</f>
        <v>6</v>
      </c>
      <c r="G317" s="10" t="str">
        <f>_xlfn.XLOOKUP(D317,'Gemini Output'!B:B,'Gemini Output'!E:E,"No Match Yet")</f>
        <v>L1</v>
      </c>
      <c r="H317" s="10"/>
      <c r="I317" s="10"/>
      <c r="J317" s="10"/>
      <c r="K317" s="10"/>
      <c r="L317" s="10"/>
      <c r="M317" s="10"/>
      <c r="N317" s="10"/>
      <c r="O317" s="10"/>
    </row>
    <row r="318" spans="2:15" ht="20.25">
      <c r="B318" s="10"/>
      <c r="C318" s="14">
        <v>315</v>
      </c>
      <c r="D318" s="15" t="s">
        <v>392</v>
      </c>
      <c r="E318" s="14">
        <v>52</v>
      </c>
      <c r="F318" s="15">
        <f>_xlfn.XLOOKUP(D318,'Gemini Output'!B:B,'Gemini Output'!C:C,"No Match Yet")</f>
        <v>9</v>
      </c>
      <c r="G318" s="10" t="str">
        <f>_xlfn.XLOOKUP(D318,'Gemini Output'!B:B,'Gemini Output'!E:E,"No Match Yet")</f>
        <v>L2</v>
      </c>
      <c r="H318" s="10"/>
      <c r="I318" s="10"/>
      <c r="J318" s="10"/>
      <c r="K318" s="10"/>
      <c r="L318" s="10"/>
      <c r="M318" s="10"/>
      <c r="N318" s="10"/>
      <c r="O318" s="10"/>
    </row>
    <row r="319" spans="2:15" ht="20.25">
      <c r="B319" s="10"/>
      <c r="C319" s="14">
        <v>316</v>
      </c>
      <c r="D319" s="15" t="s">
        <v>393</v>
      </c>
      <c r="E319" s="14">
        <v>52</v>
      </c>
      <c r="F319" s="15">
        <f>_xlfn.XLOOKUP(D319,'Gemini Output'!B:B,'Gemini Output'!C:C,"No Match Yet")</f>
        <v>6</v>
      </c>
      <c r="G319" s="10" t="str">
        <f>_xlfn.XLOOKUP(D319,'Gemini Output'!B:B,'Gemini Output'!E:E,"No Match Yet")</f>
        <v>L2</v>
      </c>
      <c r="H319" s="10"/>
      <c r="I319" s="10"/>
      <c r="J319" s="10"/>
      <c r="K319" s="10"/>
      <c r="L319" s="10"/>
      <c r="M319" s="10"/>
      <c r="N319" s="10"/>
      <c r="O319" s="10"/>
    </row>
    <row r="320" spans="2:15" ht="20.25">
      <c r="B320" s="10"/>
      <c r="C320" s="14">
        <v>317</v>
      </c>
      <c r="D320" s="15" t="s">
        <v>394</v>
      </c>
      <c r="E320" s="14">
        <v>52</v>
      </c>
      <c r="F320" s="15">
        <f>_xlfn.XLOOKUP(D320,'Gemini Output'!B:B,'Gemini Output'!C:C,"No Match Yet")</f>
        <v>1</v>
      </c>
      <c r="G320" s="10" t="str">
        <f>_xlfn.XLOOKUP(D320,'Gemini Output'!B:B,'Gemini Output'!E:E,"No Match Yet")</f>
        <v>L2</v>
      </c>
      <c r="H320" s="10"/>
      <c r="I320" s="10"/>
      <c r="J320" s="10"/>
      <c r="K320" s="10"/>
      <c r="L320" s="10"/>
      <c r="M320" s="10"/>
      <c r="N320" s="10"/>
      <c r="O320" s="10"/>
    </row>
    <row r="321" spans="2:15" ht="20.25">
      <c r="B321" s="10"/>
      <c r="C321" s="14">
        <v>318</v>
      </c>
      <c r="D321" s="15" t="s">
        <v>395</v>
      </c>
      <c r="E321" s="14">
        <v>51</v>
      </c>
      <c r="F321" s="15">
        <f>_xlfn.XLOOKUP(D321,'Gemini Output'!B:B,'Gemini Output'!C:C,"No Match Yet")</f>
        <v>3</v>
      </c>
      <c r="G321" s="10" t="str">
        <f>_xlfn.XLOOKUP(D321,'Gemini Output'!B:B,'Gemini Output'!E:E,"No Match Yet")</f>
        <v>L1</v>
      </c>
      <c r="H321" s="10"/>
      <c r="I321" s="10"/>
      <c r="J321" s="10"/>
      <c r="K321" s="10"/>
      <c r="L321" s="10"/>
      <c r="M321" s="10"/>
      <c r="N321" s="10"/>
      <c r="O321" s="10"/>
    </row>
    <row r="322" spans="2:15" ht="20.25">
      <c r="B322" s="10"/>
      <c r="C322" s="14">
        <v>319</v>
      </c>
      <c r="D322" s="15" t="s">
        <v>396</v>
      </c>
      <c r="E322" s="14">
        <v>51</v>
      </c>
      <c r="F322" s="15">
        <f>_xlfn.XLOOKUP(D322,'Gemini Output'!B:B,'Gemini Output'!C:C,"No Match Yet")</f>
        <v>12</v>
      </c>
      <c r="G322" s="10" t="str">
        <f>_xlfn.XLOOKUP(D322,'Gemini Output'!B:B,'Gemini Output'!E:E,"No Match Yet")</f>
        <v>L2</v>
      </c>
      <c r="H322" s="10"/>
      <c r="I322" s="10"/>
      <c r="J322" s="10"/>
      <c r="K322" s="10"/>
      <c r="L322" s="10"/>
      <c r="M322" s="10"/>
      <c r="N322" s="10"/>
      <c r="O322" s="10"/>
    </row>
    <row r="323" spans="2:15" ht="20.25">
      <c r="B323" s="10"/>
      <c r="C323" s="14">
        <v>320</v>
      </c>
      <c r="D323" s="15" t="s">
        <v>397</v>
      </c>
      <c r="E323" s="14">
        <v>51</v>
      </c>
      <c r="F323" s="15">
        <f>_xlfn.XLOOKUP(D323,'Gemini Output'!B:B,'Gemini Output'!C:C,"No Match Yet")</f>
        <v>1</v>
      </c>
      <c r="G323" s="10" t="str">
        <f>_xlfn.XLOOKUP(D323,'Gemini Output'!B:B,'Gemini Output'!E:E,"No Match Yet")</f>
        <v>L2</v>
      </c>
      <c r="H323" s="10"/>
      <c r="I323" s="10"/>
      <c r="J323" s="10"/>
      <c r="K323" s="10"/>
      <c r="L323" s="10"/>
      <c r="M323" s="10"/>
      <c r="N323" s="10"/>
      <c r="O323" s="10"/>
    </row>
    <row r="324" spans="2:15" ht="20.25">
      <c r="B324" s="10"/>
      <c r="C324" s="14">
        <v>321</v>
      </c>
      <c r="D324" s="15" t="s">
        <v>398</v>
      </c>
      <c r="E324" s="14">
        <v>51</v>
      </c>
      <c r="F324" s="15">
        <f>_xlfn.XLOOKUP(D324,'Gemini Output'!B:B,'Gemini Output'!C:C,"No Match Yet")</f>
        <v>12</v>
      </c>
      <c r="G324" s="10" t="str">
        <f>_xlfn.XLOOKUP(D324,'Gemini Output'!B:B,'Gemini Output'!E:E,"No Match Yet")</f>
        <v>L1</v>
      </c>
      <c r="H324" s="10"/>
      <c r="I324" s="10"/>
      <c r="J324" s="10"/>
      <c r="K324" s="10"/>
      <c r="L324" s="10"/>
      <c r="M324" s="10"/>
      <c r="N324" s="10"/>
      <c r="O324" s="10"/>
    </row>
    <row r="325" spans="2:15" ht="20.25">
      <c r="B325" s="10"/>
      <c r="C325" s="14">
        <v>322</v>
      </c>
      <c r="D325" s="15" t="s">
        <v>399</v>
      </c>
      <c r="E325" s="14">
        <v>51</v>
      </c>
      <c r="F325" s="15">
        <f>_xlfn.XLOOKUP(D325,'Gemini Output'!B:B,'Gemini Output'!C:C,"No Match Yet")</f>
        <v>1</v>
      </c>
      <c r="G325" s="10" t="str">
        <f>_xlfn.XLOOKUP(D325,'Gemini Output'!B:B,'Gemini Output'!E:E,"No Match Yet")</f>
        <v>L2</v>
      </c>
      <c r="H325" s="10"/>
      <c r="I325" s="10"/>
      <c r="J325" s="10"/>
      <c r="K325" s="10"/>
      <c r="L325" s="10"/>
      <c r="M325" s="10"/>
      <c r="N325" s="10"/>
      <c r="O325" s="10"/>
    </row>
    <row r="326" spans="2:15" ht="20.25">
      <c r="B326" s="10"/>
      <c r="C326" s="14">
        <v>323</v>
      </c>
      <c r="D326" s="15" t="s">
        <v>400</v>
      </c>
      <c r="E326" s="14">
        <v>51</v>
      </c>
      <c r="F326" s="15">
        <f>_xlfn.XLOOKUP(D326,'Gemini Output'!B:B,'Gemini Output'!C:C,"No Match Yet")</f>
        <v>2</v>
      </c>
      <c r="G326" s="10" t="str">
        <f>_xlfn.XLOOKUP(D326,'Gemini Output'!B:B,'Gemini Output'!E:E,"No Match Yet")</f>
        <v>L3</v>
      </c>
      <c r="H326" s="10"/>
      <c r="I326" s="10"/>
      <c r="J326" s="10"/>
      <c r="K326" s="10"/>
      <c r="L326" s="10"/>
      <c r="M326" s="10"/>
      <c r="N326" s="10"/>
      <c r="O326" s="10"/>
    </row>
    <row r="327" spans="2:15" ht="20.25">
      <c r="B327" s="10"/>
      <c r="C327" s="14">
        <v>324</v>
      </c>
      <c r="D327" s="15" t="s">
        <v>401</v>
      </c>
      <c r="E327" s="14">
        <v>51</v>
      </c>
      <c r="F327" s="15">
        <f>_xlfn.XLOOKUP(D327,'Gemini Output'!B:B,'Gemini Output'!C:C,"No Match Yet")</f>
        <v>12</v>
      </c>
      <c r="G327" s="10" t="str">
        <f>_xlfn.XLOOKUP(D327,'Gemini Output'!B:B,'Gemini Output'!E:E,"No Match Yet")</f>
        <v>L2</v>
      </c>
      <c r="H327" s="10"/>
      <c r="I327" s="10"/>
      <c r="J327" s="10"/>
      <c r="K327" s="10"/>
      <c r="L327" s="10"/>
      <c r="M327" s="10"/>
      <c r="N327" s="10"/>
      <c r="O327" s="10"/>
    </row>
    <row r="328" spans="2:15" ht="20.25">
      <c r="B328" s="10"/>
      <c r="C328" s="14">
        <v>325</v>
      </c>
      <c r="D328" s="15" t="s">
        <v>402</v>
      </c>
      <c r="E328" s="14">
        <v>51</v>
      </c>
      <c r="F328" s="15">
        <f>_xlfn.XLOOKUP(D328,'Gemini Output'!B:B,'Gemini Output'!C:C,"No Match Yet")</f>
        <v>7</v>
      </c>
      <c r="G328" s="10" t="str">
        <f>_xlfn.XLOOKUP(D328,'Gemini Output'!B:B,'Gemini Output'!E:E,"No Match Yet")</f>
        <v>L1</v>
      </c>
      <c r="H328" s="10"/>
      <c r="I328" s="10"/>
      <c r="J328" s="10"/>
      <c r="K328" s="10"/>
      <c r="L328" s="10"/>
      <c r="M328" s="10"/>
      <c r="N328" s="10"/>
      <c r="O328" s="10"/>
    </row>
    <row r="329" spans="2:15" ht="20.25">
      <c r="B329" s="10"/>
      <c r="C329" s="14">
        <v>326</v>
      </c>
      <c r="D329" s="15" t="s">
        <v>403</v>
      </c>
      <c r="E329" s="14">
        <v>51</v>
      </c>
      <c r="F329" s="15">
        <f>_xlfn.XLOOKUP(D329,'Gemini Output'!B:B,'Gemini Output'!C:C,"No Match Yet")</f>
        <v>6</v>
      </c>
      <c r="G329" s="10" t="str">
        <f>_xlfn.XLOOKUP(D329,'Gemini Output'!B:B,'Gemini Output'!E:E,"No Match Yet")</f>
        <v>L1</v>
      </c>
      <c r="H329" s="10"/>
      <c r="I329" s="10"/>
      <c r="J329" s="10"/>
      <c r="K329" s="10"/>
      <c r="L329" s="10"/>
      <c r="M329" s="10"/>
      <c r="N329" s="10"/>
      <c r="O329" s="10"/>
    </row>
    <row r="330" spans="2:15" ht="20.25">
      <c r="B330" s="10"/>
      <c r="C330" s="14">
        <v>327</v>
      </c>
      <c r="D330" s="15" t="s">
        <v>404</v>
      </c>
      <c r="E330" s="14">
        <v>51</v>
      </c>
      <c r="F330" s="15">
        <f>_xlfn.XLOOKUP(D330,'Gemini Output'!B:B,'Gemini Output'!C:C,"No Match Yet")</f>
        <v>10</v>
      </c>
      <c r="G330" s="10" t="str">
        <f>_xlfn.XLOOKUP(D330,'Gemini Output'!B:B,'Gemini Output'!E:E,"No Match Yet")</f>
        <v>L1</v>
      </c>
      <c r="H330" s="10"/>
      <c r="I330" s="10"/>
      <c r="J330" s="10"/>
      <c r="K330" s="10"/>
      <c r="L330" s="10"/>
      <c r="M330" s="10"/>
      <c r="N330" s="10"/>
      <c r="O330" s="10"/>
    </row>
    <row r="331" spans="2:15" ht="20.25">
      <c r="B331" s="10"/>
      <c r="C331" s="14">
        <v>328</v>
      </c>
      <c r="D331" s="15" t="s">
        <v>405</v>
      </c>
      <c r="E331" s="14">
        <v>51</v>
      </c>
      <c r="F331" s="15">
        <f>_xlfn.XLOOKUP(D331,'Gemini Output'!B:B,'Gemini Output'!C:C,"No Match Yet")</f>
        <v>12</v>
      </c>
      <c r="G331" s="10" t="str">
        <f>_xlfn.XLOOKUP(D331,'Gemini Output'!B:B,'Gemini Output'!E:E,"No Match Yet")</f>
        <v>L2</v>
      </c>
      <c r="H331" s="10"/>
      <c r="I331" s="10"/>
      <c r="J331" s="10"/>
      <c r="K331" s="10"/>
      <c r="L331" s="10"/>
      <c r="M331" s="10"/>
      <c r="N331" s="10"/>
      <c r="O331" s="10"/>
    </row>
    <row r="332" spans="2:15" ht="20.25">
      <c r="B332" s="10"/>
      <c r="C332" s="14">
        <v>329</v>
      </c>
      <c r="D332" s="15" t="s">
        <v>406</v>
      </c>
      <c r="E332" s="14">
        <v>51</v>
      </c>
      <c r="F332" s="15">
        <f>_xlfn.XLOOKUP(D332,'Gemini Output'!B:B,'Gemini Output'!C:C,"No Match Yet")</f>
        <v>12</v>
      </c>
      <c r="G332" s="10" t="str">
        <f>_xlfn.XLOOKUP(D332,'Gemini Output'!B:B,'Gemini Output'!E:E,"No Match Yet")</f>
        <v>L2</v>
      </c>
      <c r="H332" s="10"/>
      <c r="I332" s="10"/>
      <c r="J332" s="10"/>
      <c r="K332" s="10"/>
      <c r="L332" s="10"/>
      <c r="M332" s="10"/>
      <c r="N332" s="10"/>
      <c r="O332" s="10"/>
    </row>
    <row r="333" spans="2:15" ht="20.25">
      <c r="B333" s="10"/>
      <c r="C333" s="14">
        <v>330</v>
      </c>
      <c r="D333" s="15" t="s">
        <v>407</v>
      </c>
      <c r="E333" s="14"/>
      <c r="F333" s="15">
        <f>_xlfn.XLOOKUP(D333,'Gemini Output'!B:B,'Gemini Output'!C:C,"No Match Yet")</f>
        <v>7</v>
      </c>
      <c r="G333" s="10" t="str">
        <f>_xlfn.XLOOKUP(D333,'Gemini Output'!B:B,'Gemini Output'!E:E,"No Match Yet")</f>
        <v>L1</v>
      </c>
      <c r="H333" s="10"/>
      <c r="I333" s="10"/>
      <c r="J333" s="10"/>
      <c r="K333" s="10"/>
      <c r="L333" s="10"/>
      <c r="M333" s="10"/>
      <c r="N333" s="10"/>
      <c r="O333" s="10"/>
    </row>
    <row r="334" spans="2:15" ht="20.25">
      <c r="B334" s="10"/>
      <c r="C334" s="14">
        <v>331</v>
      </c>
      <c r="D334" s="15" t="s">
        <v>408</v>
      </c>
      <c r="E334" s="14"/>
      <c r="F334" s="15">
        <f>_xlfn.XLOOKUP(D334,'Gemini Output'!B:B,'Gemini Output'!C:C,"No Match Yet")</f>
        <v>3</v>
      </c>
      <c r="G334" s="10" t="str">
        <f>_xlfn.XLOOKUP(D334,'Gemini Output'!B:B,'Gemini Output'!E:E,"No Match Yet")</f>
        <v>L1</v>
      </c>
      <c r="H334" s="10"/>
      <c r="I334" s="10"/>
      <c r="J334" s="10"/>
      <c r="K334" s="10"/>
      <c r="L334" s="10"/>
      <c r="M334" s="10"/>
      <c r="N334" s="10"/>
      <c r="O334" s="10"/>
    </row>
    <row r="335" spans="2:15" ht="20.25">
      <c r="B335" s="10"/>
      <c r="C335" s="14">
        <v>332</v>
      </c>
      <c r="D335" s="15" t="s">
        <v>409</v>
      </c>
      <c r="E335" s="14">
        <v>50</v>
      </c>
      <c r="F335" s="15">
        <f>_xlfn.XLOOKUP(D335,'Gemini Output'!B:B,'Gemini Output'!C:C,"No Match Yet")</f>
        <v>4</v>
      </c>
      <c r="G335" s="10" t="str">
        <f>_xlfn.XLOOKUP(D335,'Gemini Output'!B:B,'Gemini Output'!E:E,"No Match Yet")</f>
        <v>L2</v>
      </c>
      <c r="H335" s="10"/>
      <c r="I335" s="10"/>
      <c r="J335" s="10"/>
      <c r="K335" s="10"/>
      <c r="L335" s="10"/>
      <c r="M335" s="10"/>
      <c r="N335" s="10"/>
      <c r="O335" s="10"/>
    </row>
    <row r="336" spans="2:15" ht="20.25">
      <c r="B336" s="10"/>
      <c r="C336" s="14">
        <v>333</v>
      </c>
      <c r="D336" s="15" t="s">
        <v>410</v>
      </c>
      <c r="E336" s="14">
        <v>50</v>
      </c>
      <c r="F336" s="15">
        <f>_xlfn.XLOOKUP(D336,'Gemini Output'!B:B,'Gemini Output'!C:C,"No Match Yet")</f>
        <v>10</v>
      </c>
      <c r="G336" s="10" t="str">
        <f>_xlfn.XLOOKUP(D336,'Gemini Output'!B:B,'Gemini Output'!E:E,"No Match Yet")</f>
        <v>L1</v>
      </c>
      <c r="H336" s="10"/>
      <c r="I336" s="10"/>
      <c r="J336" s="10"/>
      <c r="K336" s="10"/>
      <c r="L336" s="10"/>
      <c r="M336" s="10"/>
      <c r="N336" s="10"/>
      <c r="O336" s="10"/>
    </row>
    <row r="337" spans="2:15" ht="20.25">
      <c r="B337" s="10"/>
      <c r="C337" s="14">
        <v>334</v>
      </c>
      <c r="D337" s="15" t="s">
        <v>411</v>
      </c>
      <c r="E337" s="14">
        <v>50</v>
      </c>
      <c r="F337" s="15">
        <f>_xlfn.XLOOKUP(D337,'Gemini Output'!B:B,'Gemini Output'!C:C,"No Match Yet")</f>
        <v>12</v>
      </c>
      <c r="G337" s="10" t="str">
        <f>_xlfn.XLOOKUP(D337,'Gemini Output'!B:B,'Gemini Output'!E:E,"No Match Yet")</f>
        <v>L2</v>
      </c>
      <c r="H337" s="10"/>
      <c r="I337" s="10"/>
      <c r="J337" s="10"/>
      <c r="K337" s="10"/>
      <c r="L337" s="10"/>
      <c r="M337" s="10"/>
      <c r="N337" s="10"/>
      <c r="O337" s="10"/>
    </row>
    <row r="338" spans="2:15" ht="20.25">
      <c r="B338" s="10"/>
      <c r="C338" s="14">
        <v>335</v>
      </c>
      <c r="D338" s="15" t="s">
        <v>412</v>
      </c>
      <c r="E338" s="14">
        <v>50</v>
      </c>
      <c r="F338" s="15">
        <f>_xlfn.XLOOKUP(D338,'Gemini Output'!B:B,'Gemini Output'!C:C,"No Match Yet")</f>
        <v>1</v>
      </c>
      <c r="G338" s="10" t="str">
        <f>_xlfn.XLOOKUP(D338,'Gemini Output'!B:B,'Gemini Output'!E:E,"No Match Yet")</f>
        <v>L1</v>
      </c>
      <c r="H338" s="10"/>
      <c r="I338" s="10"/>
      <c r="J338" s="10"/>
      <c r="K338" s="10"/>
      <c r="L338" s="10"/>
      <c r="M338" s="10"/>
      <c r="N338" s="10"/>
      <c r="O338" s="10"/>
    </row>
    <row r="339" spans="2:15" ht="20.25">
      <c r="B339" s="10"/>
      <c r="C339" s="14">
        <v>336</v>
      </c>
      <c r="D339" s="15" t="s">
        <v>413</v>
      </c>
      <c r="E339" s="14">
        <v>50</v>
      </c>
      <c r="F339" s="15">
        <f>_xlfn.XLOOKUP(D339,'Gemini Output'!B:B,'Gemini Output'!C:C,"No Match Yet")</f>
        <v>8</v>
      </c>
      <c r="G339" s="10" t="str">
        <f>_xlfn.XLOOKUP(D339,'Gemini Output'!B:B,'Gemini Output'!E:E,"No Match Yet")</f>
        <v>L1</v>
      </c>
      <c r="H339" s="10"/>
      <c r="I339" s="10"/>
      <c r="J339" s="10"/>
      <c r="K339" s="10"/>
      <c r="L339" s="10"/>
      <c r="M339" s="10"/>
      <c r="N339" s="10"/>
      <c r="O339" s="10"/>
    </row>
    <row r="340" spans="2:15" ht="20.25">
      <c r="B340" s="10"/>
      <c r="C340" s="14">
        <v>337</v>
      </c>
      <c r="D340" s="15" t="s">
        <v>414</v>
      </c>
      <c r="E340" s="14">
        <v>50</v>
      </c>
      <c r="F340" s="15">
        <f>_xlfn.XLOOKUP(D340,'Gemini Output'!B:B,'Gemini Output'!C:C,"No Match Yet")</f>
        <v>6</v>
      </c>
      <c r="G340" s="10" t="str">
        <f>_xlfn.XLOOKUP(D340,'Gemini Output'!B:B,'Gemini Output'!E:E,"No Match Yet")</f>
        <v>L2</v>
      </c>
      <c r="H340" s="10"/>
      <c r="I340" s="10"/>
      <c r="J340" s="10"/>
      <c r="K340" s="10"/>
      <c r="L340" s="10"/>
      <c r="M340" s="10"/>
      <c r="N340" s="10"/>
      <c r="O340" s="10"/>
    </row>
    <row r="341" spans="2:15" ht="20.25">
      <c r="B341" s="10"/>
      <c r="C341" s="14">
        <v>338</v>
      </c>
      <c r="D341" s="15" t="s">
        <v>415</v>
      </c>
      <c r="E341" s="14">
        <v>50</v>
      </c>
      <c r="F341" s="15">
        <f>_xlfn.XLOOKUP(D341,'Gemini Output'!B:B,'Gemini Output'!C:C,"No Match Yet")</f>
        <v>12</v>
      </c>
      <c r="G341" s="10" t="str">
        <f>_xlfn.XLOOKUP(D341,'Gemini Output'!B:B,'Gemini Output'!E:E,"No Match Yet")</f>
        <v>L2</v>
      </c>
      <c r="H341" s="10"/>
      <c r="I341" s="10"/>
      <c r="J341" s="10"/>
      <c r="K341" s="10"/>
      <c r="L341" s="10"/>
      <c r="M341" s="10"/>
      <c r="N341" s="10"/>
      <c r="O341" s="10"/>
    </row>
    <row r="342" spans="2:15" ht="20.25">
      <c r="B342" s="10"/>
      <c r="C342" s="14">
        <v>339</v>
      </c>
      <c r="D342" s="15" t="s">
        <v>416</v>
      </c>
      <c r="E342" s="14"/>
      <c r="F342" s="15">
        <f>_xlfn.XLOOKUP(D342,'Gemini Output'!B:B,'Gemini Output'!C:C,"No Match Yet")</f>
        <v>6</v>
      </c>
      <c r="G342" s="10" t="str">
        <f>_xlfn.XLOOKUP(D342,'Gemini Output'!B:B,'Gemini Output'!E:E,"No Match Yet")</f>
        <v>L2</v>
      </c>
      <c r="H342" s="10"/>
      <c r="I342" s="10"/>
      <c r="J342" s="10"/>
      <c r="K342" s="10"/>
      <c r="L342" s="10"/>
      <c r="M342" s="10"/>
      <c r="N342" s="10"/>
      <c r="O342" s="10"/>
    </row>
    <row r="343" spans="2:15" ht="20.25">
      <c r="B343" s="10"/>
      <c r="C343" s="14">
        <v>340</v>
      </c>
      <c r="D343" s="15" t="s">
        <v>417</v>
      </c>
      <c r="E343" s="14">
        <v>49</v>
      </c>
      <c r="F343" s="15">
        <f>_xlfn.XLOOKUP(D343,'Gemini Output'!B:B,'Gemini Output'!C:C,"No Match Yet")</f>
        <v>5</v>
      </c>
      <c r="G343" s="10" t="str">
        <f>_xlfn.XLOOKUP(D343,'Gemini Output'!B:B,'Gemini Output'!E:E,"No Match Yet")</f>
        <v>L2</v>
      </c>
      <c r="H343" s="10"/>
      <c r="I343" s="10"/>
      <c r="J343" s="10"/>
      <c r="K343" s="10"/>
      <c r="L343" s="10"/>
      <c r="M343" s="10"/>
      <c r="N343" s="10"/>
      <c r="O343" s="10"/>
    </row>
    <row r="344" spans="2:15" ht="20.25">
      <c r="B344" s="10"/>
      <c r="C344" s="14">
        <v>341</v>
      </c>
      <c r="D344" s="15" t="s">
        <v>418</v>
      </c>
      <c r="E344" s="14">
        <v>49</v>
      </c>
      <c r="F344" s="15">
        <f>_xlfn.XLOOKUP(D344,'Gemini Output'!B:B,'Gemini Output'!C:C,"No Match Yet")</f>
        <v>1</v>
      </c>
      <c r="G344" s="10" t="str">
        <f>_xlfn.XLOOKUP(D344,'Gemini Output'!B:B,'Gemini Output'!E:E,"No Match Yet")</f>
        <v>L2</v>
      </c>
      <c r="H344" s="10"/>
      <c r="I344" s="10"/>
      <c r="J344" s="10"/>
      <c r="K344" s="10"/>
      <c r="L344" s="10"/>
      <c r="M344" s="10"/>
      <c r="N344" s="10"/>
      <c r="O344" s="10"/>
    </row>
    <row r="345" spans="2:15" ht="20.25">
      <c r="B345" s="10"/>
      <c r="C345" s="14">
        <v>342</v>
      </c>
      <c r="D345" s="15" t="s">
        <v>419</v>
      </c>
      <c r="E345" s="14">
        <v>49</v>
      </c>
      <c r="F345" s="15">
        <f>_xlfn.XLOOKUP(D345,'Gemini Output'!B:B,'Gemini Output'!C:C,"No Match Yet")</f>
        <v>5</v>
      </c>
      <c r="G345" s="10" t="str">
        <f>_xlfn.XLOOKUP(D345,'Gemini Output'!B:B,'Gemini Output'!E:E,"No Match Yet")</f>
        <v>L2</v>
      </c>
      <c r="H345" s="10"/>
      <c r="I345" s="10"/>
      <c r="J345" s="10"/>
      <c r="K345" s="10"/>
      <c r="L345" s="10"/>
      <c r="M345" s="10"/>
      <c r="N345" s="10"/>
      <c r="O345" s="10"/>
    </row>
    <row r="346" spans="2:15" ht="20.25">
      <c r="B346" s="10"/>
      <c r="C346" s="14">
        <v>343</v>
      </c>
      <c r="D346" s="15" t="s">
        <v>420</v>
      </c>
      <c r="E346" s="14">
        <v>49</v>
      </c>
      <c r="F346" s="15">
        <f>_xlfn.XLOOKUP(D346,'Gemini Output'!B:B,'Gemini Output'!C:C,"No Match Yet")</f>
        <v>5</v>
      </c>
      <c r="G346" s="10" t="str">
        <f>_xlfn.XLOOKUP(D346,'Gemini Output'!B:B,'Gemini Output'!E:E,"No Match Yet")</f>
        <v>L2</v>
      </c>
      <c r="H346" s="10"/>
      <c r="I346" s="10"/>
      <c r="J346" s="10"/>
      <c r="K346" s="10"/>
      <c r="L346" s="10"/>
      <c r="M346" s="10"/>
      <c r="N346" s="10"/>
      <c r="O346" s="10"/>
    </row>
    <row r="347" spans="2:15" ht="20.25">
      <c r="B347" s="10"/>
      <c r="C347" s="14">
        <v>344</v>
      </c>
      <c r="D347" s="15" t="s">
        <v>421</v>
      </c>
      <c r="E347" s="14">
        <v>49</v>
      </c>
      <c r="F347" s="15">
        <f>_xlfn.XLOOKUP(D347,'Gemini Output'!B:B,'Gemini Output'!C:C,"No Match Yet")</f>
        <v>1</v>
      </c>
      <c r="G347" s="10" t="str">
        <f>_xlfn.XLOOKUP(D347,'Gemini Output'!B:B,'Gemini Output'!E:E,"No Match Yet")</f>
        <v>L2</v>
      </c>
      <c r="H347" s="10"/>
      <c r="I347" s="10"/>
      <c r="J347" s="10"/>
      <c r="K347" s="10"/>
      <c r="L347" s="10"/>
      <c r="M347" s="10"/>
      <c r="N347" s="10"/>
      <c r="O347" s="10"/>
    </row>
    <row r="348" spans="2:15" ht="20.25">
      <c r="B348" s="10"/>
      <c r="C348" s="14">
        <v>345</v>
      </c>
      <c r="D348" s="15" t="s">
        <v>422</v>
      </c>
      <c r="E348" s="14"/>
      <c r="F348" s="15">
        <f>_xlfn.XLOOKUP(D348,'Gemini Output'!B:B,'Gemini Output'!C:C,"No Match Yet")</f>
        <v>6</v>
      </c>
      <c r="G348" s="10" t="str">
        <f>_xlfn.XLOOKUP(D348,'Gemini Output'!B:B,'Gemini Output'!E:E,"No Match Yet")</f>
        <v>L2</v>
      </c>
      <c r="H348" s="10"/>
      <c r="I348" s="10"/>
      <c r="J348" s="10"/>
      <c r="K348" s="10"/>
      <c r="L348" s="10"/>
      <c r="M348" s="10"/>
      <c r="N348" s="10"/>
      <c r="O348" s="10"/>
    </row>
    <row r="349" spans="2:15" ht="20.25">
      <c r="B349" s="10"/>
      <c r="C349" s="14">
        <v>346</v>
      </c>
      <c r="D349" s="15" t="s">
        <v>423</v>
      </c>
      <c r="E349" s="14">
        <v>48</v>
      </c>
      <c r="F349" s="15">
        <f>_xlfn.XLOOKUP(D349,'Gemini Output'!B:B,'Gemini Output'!C:C,"No Match Yet")</f>
        <v>2</v>
      </c>
      <c r="G349" s="10" t="str">
        <f>_xlfn.XLOOKUP(D349,'Gemini Output'!B:B,'Gemini Output'!E:E,"No Match Yet")</f>
        <v>L2</v>
      </c>
      <c r="H349" s="10"/>
      <c r="I349" s="10"/>
      <c r="J349" s="10"/>
      <c r="K349" s="10"/>
      <c r="L349" s="10"/>
      <c r="M349" s="10"/>
      <c r="N349" s="10"/>
      <c r="O349" s="10"/>
    </row>
    <row r="350" spans="2:15" ht="20.25">
      <c r="B350" s="10"/>
      <c r="C350" s="14">
        <v>347</v>
      </c>
      <c r="D350" s="15" t="s">
        <v>424</v>
      </c>
      <c r="E350" s="14">
        <v>48</v>
      </c>
      <c r="F350" s="15">
        <f>_xlfn.XLOOKUP(D350,'Gemini Output'!B:B,'Gemini Output'!C:C,"No Match Yet")</f>
        <v>1</v>
      </c>
      <c r="G350" s="10" t="str">
        <f>_xlfn.XLOOKUP(D350,'Gemini Output'!B:B,'Gemini Output'!E:E,"No Match Yet")</f>
        <v>L2</v>
      </c>
      <c r="H350" s="10"/>
      <c r="I350" s="10"/>
      <c r="J350" s="10"/>
      <c r="K350" s="10"/>
      <c r="L350" s="10"/>
      <c r="M350" s="10"/>
      <c r="N350" s="10"/>
      <c r="O350" s="10"/>
    </row>
    <row r="351" spans="2:15" ht="20.25">
      <c r="B351" s="10"/>
      <c r="C351" s="14">
        <v>348</v>
      </c>
      <c r="D351" s="15" t="s">
        <v>425</v>
      </c>
      <c r="E351" s="14">
        <v>48</v>
      </c>
      <c r="F351" s="15">
        <f>_xlfn.XLOOKUP(D351,'Gemini Output'!B:B,'Gemini Output'!C:C,"No Match Yet")</f>
        <v>12</v>
      </c>
      <c r="G351" s="10" t="str">
        <f>_xlfn.XLOOKUP(D351,'Gemini Output'!B:B,'Gemini Output'!E:E,"No Match Yet")</f>
        <v>L2</v>
      </c>
      <c r="H351" s="10"/>
      <c r="I351" s="10"/>
      <c r="J351" s="10"/>
      <c r="K351" s="10"/>
      <c r="L351" s="10"/>
      <c r="M351" s="10"/>
      <c r="N351" s="10"/>
      <c r="O351" s="10"/>
    </row>
    <row r="352" spans="2:15" ht="20.25">
      <c r="B352" s="10"/>
      <c r="C352" s="14">
        <v>349</v>
      </c>
      <c r="D352" s="15" t="s">
        <v>426</v>
      </c>
      <c r="E352" s="14">
        <v>48</v>
      </c>
      <c r="F352" s="15">
        <f>_xlfn.XLOOKUP(D352,'Gemini Output'!B:B,'Gemini Output'!C:C,"No Match Yet")</f>
        <v>6</v>
      </c>
      <c r="G352" s="10" t="str">
        <f>_xlfn.XLOOKUP(D352,'Gemini Output'!B:B,'Gemini Output'!E:E,"No Match Yet")</f>
        <v>L2</v>
      </c>
      <c r="H352" s="10"/>
      <c r="I352" s="10"/>
      <c r="J352" s="10"/>
      <c r="K352" s="10"/>
      <c r="L352" s="10"/>
      <c r="M352" s="10"/>
      <c r="N352" s="10"/>
      <c r="O352" s="10"/>
    </row>
    <row r="353" spans="2:15" ht="20.25">
      <c r="B353" s="10"/>
      <c r="C353" s="14">
        <v>350</v>
      </c>
      <c r="D353" s="15" t="s">
        <v>427</v>
      </c>
      <c r="E353" s="14">
        <v>48</v>
      </c>
      <c r="F353" s="15">
        <f>_xlfn.XLOOKUP(D353,'Gemini Output'!B:B,'Gemini Output'!C:C,"No Match Yet")</f>
        <v>10</v>
      </c>
      <c r="G353" s="10" t="str">
        <f>_xlfn.XLOOKUP(D353,'Gemini Output'!B:B,'Gemini Output'!E:E,"No Match Yet")</f>
        <v>L2</v>
      </c>
      <c r="H353" s="10"/>
      <c r="I353" s="10"/>
      <c r="J353" s="10"/>
      <c r="K353" s="10"/>
      <c r="L353" s="10"/>
      <c r="M353" s="10"/>
      <c r="N353" s="10"/>
      <c r="O353" s="10"/>
    </row>
    <row r="354" spans="2:15" ht="20.25">
      <c r="B354" s="10"/>
      <c r="C354" s="14">
        <v>351</v>
      </c>
      <c r="D354" s="15" t="s">
        <v>428</v>
      </c>
      <c r="E354" s="14">
        <v>48</v>
      </c>
      <c r="F354" s="15">
        <f>_xlfn.XLOOKUP(D354,'Gemini Output'!B:B,'Gemini Output'!C:C,"No Match Yet")</f>
        <v>13</v>
      </c>
      <c r="G354" s="10" t="str">
        <f>_xlfn.XLOOKUP(D354,'Gemini Output'!B:B,'Gemini Output'!E:E,"No Match Yet")</f>
        <v>L1</v>
      </c>
      <c r="H354" s="10"/>
      <c r="I354" s="10"/>
      <c r="J354" s="10"/>
      <c r="K354" s="10"/>
      <c r="L354" s="10"/>
      <c r="M354" s="10"/>
      <c r="N354" s="10"/>
      <c r="O354" s="10"/>
    </row>
    <row r="355" spans="2:15" ht="20.25">
      <c r="B355" s="10"/>
      <c r="C355" s="14">
        <v>352</v>
      </c>
      <c r="D355" s="15" t="s">
        <v>429</v>
      </c>
      <c r="E355" s="14">
        <v>48</v>
      </c>
      <c r="F355" s="15">
        <f>_xlfn.XLOOKUP(D355,'Gemini Output'!B:B,'Gemini Output'!C:C,"No Match Yet")</f>
        <v>7</v>
      </c>
      <c r="G355" s="10" t="str">
        <f>_xlfn.XLOOKUP(D355,'Gemini Output'!B:B,'Gemini Output'!E:E,"No Match Yet")</f>
        <v>L2</v>
      </c>
      <c r="H355" s="10"/>
      <c r="I355" s="10"/>
      <c r="J355" s="10"/>
      <c r="K355" s="10"/>
      <c r="L355" s="10"/>
      <c r="M355" s="10"/>
      <c r="N355" s="10"/>
      <c r="O355" s="10"/>
    </row>
    <row r="356" spans="2:15" ht="20.25">
      <c r="B356" s="10"/>
      <c r="C356" s="14">
        <v>353</v>
      </c>
      <c r="D356" s="15" t="s">
        <v>430</v>
      </c>
      <c r="E356" s="14">
        <v>48</v>
      </c>
      <c r="F356" s="15">
        <f>_xlfn.XLOOKUP(D356,'Gemini Output'!B:B,'Gemini Output'!C:C,"No Match Yet")</f>
        <v>3</v>
      </c>
      <c r="G356" s="10" t="str">
        <f>_xlfn.XLOOKUP(D356,'Gemini Output'!B:B,'Gemini Output'!E:E,"No Match Yet")</f>
        <v>L2</v>
      </c>
      <c r="H356" s="10"/>
      <c r="I356" s="10"/>
      <c r="J356" s="10"/>
      <c r="K356" s="10"/>
      <c r="L356" s="10"/>
      <c r="M356" s="10"/>
      <c r="N356" s="10"/>
      <c r="O356" s="10"/>
    </row>
    <row r="357" spans="2:15" ht="20.25">
      <c r="B357" s="10"/>
      <c r="C357" s="14">
        <v>354</v>
      </c>
      <c r="D357" s="15" t="s">
        <v>431</v>
      </c>
      <c r="E357" s="14">
        <v>48</v>
      </c>
      <c r="F357" s="15">
        <f>_xlfn.XLOOKUP(D357,'Gemini Output'!B:B,'Gemini Output'!C:C,"No Match Yet")</f>
        <v>3</v>
      </c>
      <c r="G357" s="10" t="str">
        <f>_xlfn.XLOOKUP(D357,'Gemini Output'!B:B,'Gemini Output'!E:E,"No Match Yet")</f>
        <v>L2</v>
      </c>
      <c r="H357" s="10"/>
      <c r="I357" s="10"/>
      <c r="J357" s="10"/>
      <c r="K357" s="10"/>
      <c r="L357" s="10"/>
      <c r="M357" s="10"/>
      <c r="N357" s="10"/>
      <c r="O357" s="10"/>
    </row>
    <row r="358" spans="2:15" ht="20.25">
      <c r="B358" s="10"/>
      <c r="C358" s="14">
        <v>355</v>
      </c>
      <c r="D358" s="15" t="s">
        <v>432</v>
      </c>
      <c r="E358" s="14">
        <v>48</v>
      </c>
      <c r="F358" s="15">
        <f>_xlfn.XLOOKUP(D358,'Gemini Output'!B:B,'Gemini Output'!C:C,"No Match Yet")</f>
        <v>1</v>
      </c>
      <c r="G358" s="10" t="str">
        <f>_xlfn.XLOOKUP(D358,'Gemini Output'!B:B,'Gemini Output'!E:E,"No Match Yet")</f>
        <v>L2</v>
      </c>
      <c r="H358" s="10"/>
      <c r="I358" s="10"/>
      <c r="J358" s="10"/>
      <c r="K358" s="10"/>
      <c r="L358" s="10"/>
      <c r="M358" s="10"/>
      <c r="N358" s="10"/>
      <c r="O358" s="10"/>
    </row>
    <row r="359" spans="2:15" ht="20.25">
      <c r="B359" s="10"/>
      <c r="C359" s="14">
        <v>356</v>
      </c>
      <c r="D359" s="15" t="s">
        <v>433</v>
      </c>
      <c r="E359" s="14">
        <v>47</v>
      </c>
      <c r="F359" s="15">
        <f>_xlfn.XLOOKUP(D359,'Gemini Output'!B:B,'Gemini Output'!C:C,"No Match Yet")</f>
        <v>11</v>
      </c>
      <c r="G359" s="10" t="str">
        <f>_xlfn.XLOOKUP(D359,'Gemini Output'!B:B,'Gemini Output'!E:E,"No Match Yet")</f>
        <v>L1</v>
      </c>
      <c r="H359" s="10"/>
      <c r="I359" s="10"/>
      <c r="J359" s="10"/>
      <c r="K359" s="10"/>
      <c r="L359" s="10"/>
      <c r="M359" s="10"/>
      <c r="N359" s="10"/>
      <c r="O359" s="10"/>
    </row>
    <row r="360" spans="2:15" ht="20.25">
      <c r="B360" s="10"/>
      <c r="C360" s="14">
        <v>357</v>
      </c>
      <c r="D360" s="15" t="s">
        <v>434</v>
      </c>
      <c r="E360" s="14">
        <v>47</v>
      </c>
      <c r="F360" s="15">
        <f>_xlfn.XLOOKUP(D360,'Gemini Output'!B:B,'Gemini Output'!C:C,"No Match Yet")</f>
        <v>6</v>
      </c>
      <c r="G360" s="10" t="str">
        <f>_xlfn.XLOOKUP(D360,'Gemini Output'!B:B,'Gemini Output'!E:E,"No Match Yet")</f>
        <v>L2</v>
      </c>
      <c r="H360" s="10"/>
      <c r="I360" s="10"/>
      <c r="J360" s="10"/>
      <c r="K360" s="10"/>
      <c r="L360" s="10"/>
      <c r="M360" s="10"/>
      <c r="N360" s="10"/>
      <c r="O360" s="10"/>
    </row>
    <row r="361" spans="2:15" ht="20.25">
      <c r="B361" s="10"/>
      <c r="C361" s="14">
        <v>358</v>
      </c>
      <c r="D361" s="15" t="s">
        <v>435</v>
      </c>
      <c r="E361" s="14">
        <v>47</v>
      </c>
      <c r="F361" s="15">
        <f>_xlfn.XLOOKUP(D361,'Gemini Output'!B:B,'Gemini Output'!C:C,"No Match Yet")</f>
        <v>12</v>
      </c>
      <c r="G361" s="10" t="str">
        <f>_xlfn.XLOOKUP(D361,'Gemini Output'!B:B,'Gemini Output'!E:E,"No Match Yet")</f>
        <v>L1</v>
      </c>
      <c r="H361" s="10"/>
      <c r="I361" s="10"/>
      <c r="J361" s="10"/>
      <c r="K361" s="10"/>
      <c r="L361" s="10"/>
      <c r="M361" s="10"/>
      <c r="N361" s="10"/>
      <c r="O361" s="10"/>
    </row>
    <row r="362" spans="2:15" ht="20.25">
      <c r="B362" s="10"/>
      <c r="C362" s="14">
        <v>359</v>
      </c>
      <c r="D362" s="15" t="s">
        <v>436</v>
      </c>
      <c r="E362" s="14">
        <v>47</v>
      </c>
      <c r="F362" s="15">
        <f>_xlfn.XLOOKUP(D362,'Gemini Output'!B:B,'Gemini Output'!C:C,"No Match Yet")</f>
        <v>9</v>
      </c>
      <c r="G362" s="10" t="str">
        <f>_xlfn.XLOOKUP(D362,'Gemini Output'!B:B,'Gemini Output'!E:E,"No Match Yet")</f>
        <v>L1</v>
      </c>
      <c r="H362" s="10"/>
      <c r="I362" s="10"/>
      <c r="J362" s="10"/>
      <c r="K362" s="10"/>
      <c r="L362" s="10"/>
      <c r="M362" s="10"/>
      <c r="N362" s="10"/>
      <c r="O362" s="10"/>
    </row>
    <row r="363" spans="2:15" ht="20.25">
      <c r="B363" s="10"/>
      <c r="C363" s="14">
        <v>360</v>
      </c>
      <c r="D363" s="15" t="s">
        <v>437</v>
      </c>
      <c r="E363" s="14">
        <v>47</v>
      </c>
      <c r="F363" s="15">
        <f>_xlfn.XLOOKUP(D363,'Gemini Output'!B:B,'Gemini Output'!C:C,"No Match Yet")</f>
        <v>6</v>
      </c>
      <c r="G363" s="10" t="str">
        <f>_xlfn.XLOOKUP(D363,'Gemini Output'!B:B,'Gemini Output'!E:E,"No Match Yet")</f>
        <v>L2</v>
      </c>
      <c r="H363" s="10"/>
      <c r="I363" s="10"/>
      <c r="J363" s="10"/>
      <c r="K363" s="10"/>
      <c r="L363" s="10"/>
      <c r="M363" s="10"/>
      <c r="N363" s="10"/>
      <c r="O363" s="10"/>
    </row>
    <row r="364" spans="2:15" ht="20.25">
      <c r="B364" s="10"/>
      <c r="C364" s="14">
        <v>361</v>
      </c>
      <c r="D364" s="15" t="s">
        <v>438</v>
      </c>
      <c r="E364" s="14">
        <v>47</v>
      </c>
      <c r="F364" s="15">
        <f>_xlfn.XLOOKUP(D364,'Gemini Output'!B:B,'Gemini Output'!C:C,"No Match Yet")</f>
        <v>10</v>
      </c>
      <c r="G364" s="10" t="str">
        <f>_xlfn.XLOOKUP(D364,'Gemini Output'!B:B,'Gemini Output'!E:E,"No Match Yet")</f>
        <v>L1</v>
      </c>
      <c r="H364" s="10"/>
      <c r="I364" s="10"/>
      <c r="J364" s="10"/>
      <c r="K364" s="10"/>
      <c r="L364" s="10"/>
      <c r="M364" s="10"/>
      <c r="N364" s="10"/>
      <c r="O364" s="10"/>
    </row>
    <row r="365" spans="2:15" ht="20.25">
      <c r="B365" s="10"/>
      <c r="C365" s="14">
        <v>362</v>
      </c>
      <c r="D365" s="15" t="s">
        <v>439</v>
      </c>
      <c r="E365" s="14">
        <v>47</v>
      </c>
      <c r="F365" s="15">
        <f>_xlfn.XLOOKUP(D365,'Gemini Output'!B:B,'Gemini Output'!C:C,"No Match Yet")</f>
        <v>9</v>
      </c>
      <c r="G365" s="10" t="str">
        <f>_xlfn.XLOOKUP(D365,'Gemini Output'!B:B,'Gemini Output'!E:E,"No Match Yet")</f>
        <v>L2</v>
      </c>
      <c r="H365" s="10"/>
      <c r="I365" s="10"/>
      <c r="J365" s="10"/>
      <c r="K365" s="10"/>
      <c r="L365" s="10"/>
      <c r="M365" s="10"/>
      <c r="N365" s="10"/>
      <c r="O365" s="10"/>
    </row>
    <row r="366" spans="2:15" ht="20.25">
      <c r="B366" s="10"/>
      <c r="C366" s="14">
        <v>363</v>
      </c>
      <c r="D366" s="15" t="s">
        <v>440</v>
      </c>
      <c r="E366" s="14"/>
      <c r="F366" s="15">
        <f>_xlfn.XLOOKUP(D366,'Gemini Output'!B:B,'Gemini Output'!C:C,"No Match Yet")</f>
        <v>5</v>
      </c>
      <c r="G366" s="10" t="str">
        <f>_xlfn.XLOOKUP(D366,'Gemini Output'!B:B,'Gemini Output'!E:E,"No Match Yet")</f>
        <v>L2</v>
      </c>
      <c r="H366" s="10"/>
      <c r="I366" s="10"/>
      <c r="J366" s="10"/>
      <c r="K366" s="10"/>
      <c r="L366" s="10"/>
      <c r="M366" s="10"/>
      <c r="N366" s="10"/>
      <c r="O366" s="10"/>
    </row>
    <row r="367" spans="2:15" ht="20.25">
      <c r="B367" s="10"/>
      <c r="C367" s="14">
        <v>364</v>
      </c>
      <c r="D367" s="15" t="s">
        <v>441</v>
      </c>
      <c r="E367" s="14">
        <v>46</v>
      </c>
      <c r="F367" s="15">
        <f>_xlfn.XLOOKUP(D367,'Gemini Output'!B:B,'Gemini Output'!C:C,"No Match Yet")</f>
        <v>8</v>
      </c>
      <c r="G367" s="10" t="str">
        <f>_xlfn.XLOOKUP(D367,'Gemini Output'!B:B,'Gemini Output'!E:E,"No Match Yet")</f>
        <v>L2</v>
      </c>
      <c r="H367" s="10"/>
      <c r="I367" s="10"/>
      <c r="J367" s="10"/>
      <c r="K367" s="10"/>
      <c r="L367" s="10"/>
      <c r="M367" s="10"/>
      <c r="N367" s="10"/>
      <c r="O367" s="10"/>
    </row>
    <row r="368" spans="2:15" ht="20.25">
      <c r="B368" s="10"/>
      <c r="C368" s="14">
        <v>365</v>
      </c>
      <c r="D368" s="15" t="s">
        <v>442</v>
      </c>
      <c r="E368" s="14">
        <v>46</v>
      </c>
      <c r="F368" s="15">
        <f>_xlfn.XLOOKUP(D368,'Gemini Output'!B:B,'Gemini Output'!C:C,"No Match Yet")</f>
        <v>7</v>
      </c>
      <c r="G368" s="10" t="str">
        <f>_xlfn.XLOOKUP(D368,'Gemini Output'!B:B,'Gemini Output'!E:E,"No Match Yet")</f>
        <v>L3</v>
      </c>
      <c r="H368" s="10"/>
      <c r="I368" s="10"/>
      <c r="J368" s="10"/>
      <c r="K368" s="10"/>
      <c r="L368" s="10"/>
      <c r="M368" s="10"/>
      <c r="N368" s="10"/>
      <c r="O368" s="10"/>
    </row>
    <row r="369" spans="2:15" ht="20.25">
      <c r="B369" s="10"/>
      <c r="C369" s="14">
        <v>366</v>
      </c>
      <c r="D369" s="15" t="s">
        <v>443</v>
      </c>
      <c r="E369" s="14">
        <v>46</v>
      </c>
      <c r="F369" s="15">
        <f>_xlfn.XLOOKUP(D369,'Gemini Output'!B:B,'Gemini Output'!C:C,"No Match Yet")</f>
        <v>1</v>
      </c>
      <c r="G369" s="10" t="str">
        <f>_xlfn.XLOOKUP(D369,'Gemini Output'!B:B,'Gemini Output'!E:E,"No Match Yet")</f>
        <v>L2</v>
      </c>
      <c r="H369" s="10"/>
      <c r="I369" s="10"/>
      <c r="J369" s="10"/>
      <c r="K369" s="10"/>
      <c r="L369" s="10"/>
      <c r="M369" s="10"/>
      <c r="N369" s="10"/>
      <c r="O369" s="10"/>
    </row>
    <row r="370" spans="2:15" ht="20.25">
      <c r="B370" s="10"/>
      <c r="C370" s="14">
        <v>367</v>
      </c>
      <c r="D370" s="15" t="s">
        <v>444</v>
      </c>
      <c r="E370" s="14">
        <v>46</v>
      </c>
      <c r="F370" s="15">
        <f>_xlfn.XLOOKUP(D370,'Gemini Output'!B:B,'Gemini Output'!C:C,"No Match Yet")</f>
        <v>9</v>
      </c>
      <c r="G370" s="10" t="str">
        <f>_xlfn.XLOOKUP(D370,'Gemini Output'!B:B,'Gemini Output'!E:E,"No Match Yet")</f>
        <v>L1</v>
      </c>
      <c r="H370" s="10"/>
      <c r="I370" s="10"/>
      <c r="J370" s="10"/>
      <c r="K370" s="10"/>
      <c r="L370" s="10"/>
      <c r="M370" s="10"/>
      <c r="N370" s="10"/>
      <c r="O370" s="10"/>
    </row>
    <row r="371" spans="2:15" ht="20.25">
      <c r="B371" s="10"/>
      <c r="C371" s="14">
        <v>368</v>
      </c>
      <c r="D371" s="15" t="s">
        <v>445</v>
      </c>
      <c r="E371" s="14">
        <v>46</v>
      </c>
      <c r="F371" s="15">
        <f>_xlfn.XLOOKUP(D371,'Gemini Output'!B:B,'Gemini Output'!C:C,"No Match Yet")</f>
        <v>2</v>
      </c>
      <c r="G371" s="10" t="str">
        <f>_xlfn.XLOOKUP(D371,'Gemini Output'!B:B,'Gemini Output'!E:E,"No Match Yet")</f>
        <v>L2</v>
      </c>
      <c r="H371" s="10"/>
      <c r="I371" s="10"/>
      <c r="J371" s="10"/>
      <c r="K371" s="10"/>
      <c r="L371" s="10"/>
      <c r="M371" s="10"/>
      <c r="N371" s="10"/>
      <c r="O371" s="10"/>
    </row>
    <row r="372" spans="2:15" ht="20.25">
      <c r="B372" s="10"/>
      <c r="C372" s="14">
        <v>369</v>
      </c>
      <c r="D372" s="15" t="s">
        <v>446</v>
      </c>
      <c r="E372" s="14">
        <v>46</v>
      </c>
      <c r="F372" s="15">
        <f>_xlfn.XLOOKUP(D372,'Gemini Output'!B:B,'Gemini Output'!C:C,"No Match Yet")</f>
        <v>12</v>
      </c>
      <c r="G372" s="10" t="str">
        <f>_xlfn.XLOOKUP(D372,'Gemini Output'!B:B,'Gemini Output'!E:E,"No Match Yet")</f>
        <v>L2</v>
      </c>
      <c r="H372" s="10"/>
      <c r="I372" s="10"/>
      <c r="J372" s="10"/>
      <c r="K372" s="10"/>
      <c r="L372" s="10"/>
      <c r="M372" s="10"/>
      <c r="N372" s="10"/>
      <c r="O372" s="10"/>
    </row>
    <row r="373" spans="2:15" ht="20.25">
      <c r="B373" s="10"/>
      <c r="C373" s="14">
        <v>370</v>
      </c>
      <c r="D373" s="15" t="s">
        <v>447</v>
      </c>
      <c r="E373" s="14">
        <v>46</v>
      </c>
      <c r="F373" s="15">
        <f>_xlfn.XLOOKUP(D373,'Gemini Output'!B:B,'Gemini Output'!C:C,"No Match Yet")</f>
        <v>10</v>
      </c>
      <c r="G373" s="10" t="str">
        <f>_xlfn.XLOOKUP(D373,'Gemini Output'!B:B,'Gemini Output'!E:E,"No Match Yet")</f>
        <v>L2</v>
      </c>
      <c r="H373" s="10"/>
      <c r="I373" s="10"/>
      <c r="J373" s="10"/>
      <c r="K373" s="10"/>
      <c r="L373" s="10"/>
      <c r="M373" s="10"/>
      <c r="N373" s="10"/>
      <c r="O373" s="10"/>
    </row>
    <row r="374" spans="2:15" ht="20.25">
      <c r="B374" s="10"/>
      <c r="C374" s="14">
        <v>371</v>
      </c>
      <c r="D374" s="15" t="s">
        <v>448</v>
      </c>
      <c r="E374" s="14">
        <v>46</v>
      </c>
      <c r="F374" s="15">
        <f>_xlfn.XLOOKUP(D374,'Gemini Output'!B:B,'Gemini Output'!C:C,"No Match Yet")</f>
        <v>8</v>
      </c>
      <c r="G374" s="10" t="str">
        <f>_xlfn.XLOOKUP(D374,'Gemini Output'!B:B,'Gemini Output'!E:E,"No Match Yet")</f>
        <v>L1</v>
      </c>
      <c r="H374" s="10"/>
      <c r="I374" s="10"/>
      <c r="J374" s="10"/>
      <c r="K374" s="10"/>
      <c r="L374" s="10"/>
      <c r="M374" s="10"/>
      <c r="N374" s="10"/>
      <c r="O374" s="10"/>
    </row>
    <row r="375" spans="2:15" ht="20.25">
      <c r="B375" s="10"/>
      <c r="C375" s="14">
        <v>372</v>
      </c>
      <c r="D375" s="15" t="s">
        <v>449</v>
      </c>
      <c r="E375" s="14">
        <v>46</v>
      </c>
      <c r="F375" s="15">
        <f>_xlfn.XLOOKUP(D375,'Gemini Output'!B:B,'Gemini Output'!C:C,"No Match Yet")</f>
        <v>13</v>
      </c>
      <c r="G375" s="10" t="str">
        <f>_xlfn.XLOOKUP(D375,'Gemini Output'!B:B,'Gemini Output'!E:E,"No Match Yet")</f>
        <v>L2</v>
      </c>
      <c r="H375" s="10"/>
      <c r="I375" s="10"/>
      <c r="J375" s="10"/>
      <c r="K375" s="10"/>
      <c r="L375" s="10"/>
      <c r="M375" s="10"/>
      <c r="N375" s="10"/>
      <c r="O375" s="10"/>
    </row>
    <row r="376" spans="2:15" ht="20.25">
      <c r="B376" s="10"/>
      <c r="C376" s="14">
        <v>373</v>
      </c>
      <c r="D376" s="15" t="s">
        <v>450</v>
      </c>
      <c r="E376" s="14">
        <v>46</v>
      </c>
      <c r="F376" s="15">
        <f>_xlfn.XLOOKUP(D376,'Gemini Output'!B:B,'Gemini Output'!C:C,"No Match Yet")</f>
        <v>6</v>
      </c>
      <c r="G376" s="10" t="str">
        <f>_xlfn.XLOOKUP(D376,'Gemini Output'!B:B,'Gemini Output'!E:E,"No Match Yet")</f>
        <v>L1</v>
      </c>
      <c r="H376" s="10"/>
      <c r="I376" s="10"/>
      <c r="J376" s="10"/>
      <c r="K376" s="10"/>
      <c r="L376" s="10"/>
      <c r="M376" s="10"/>
      <c r="N376" s="10"/>
      <c r="O376" s="10"/>
    </row>
    <row r="377" spans="2:15" ht="20.25">
      <c r="B377" s="10"/>
      <c r="C377" s="14">
        <v>374</v>
      </c>
      <c r="D377" s="15" t="s">
        <v>451</v>
      </c>
      <c r="E377" s="14">
        <v>46</v>
      </c>
      <c r="F377" s="15">
        <f>_xlfn.XLOOKUP(D377,'Gemini Output'!B:B,'Gemini Output'!C:C,"No Match Yet")</f>
        <v>1</v>
      </c>
      <c r="G377" s="10" t="str">
        <f>_xlfn.XLOOKUP(D377,'Gemini Output'!B:B,'Gemini Output'!E:E,"No Match Yet")</f>
        <v>L2</v>
      </c>
      <c r="H377" s="10"/>
      <c r="I377" s="10"/>
      <c r="J377" s="10"/>
      <c r="K377" s="10"/>
      <c r="L377" s="10"/>
      <c r="M377" s="10"/>
      <c r="N377" s="10"/>
      <c r="O377" s="10"/>
    </row>
    <row r="378" spans="2:15" ht="20.25">
      <c r="B378" s="10"/>
      <c r="C378" s="14">
        <v>375</v>
      </c>
      <c r="D378" s="15" t="s">
        <v>452</v>
      </c>
      <c r="E378" s="14">
        <v>46</v>
      </c>
      <c r="F378" s="15">
        <f>_xlfn.XLOOKUP(D378,'Gemini Output'!B:B,'Gemini Output'!C:C,"No Match Yet")</f>
        <v>5</v>
      </c>
      <c r="G378" s="10" t="str">
        <f>_xlfn.XLOOKUP(D378,'Gemini Output'!B:B,'Gemini Output'!E:E,"No Match Yet")</f>
        <v>L2</v>
      </c>
      <c r="H378" s="10"/>
      <c r="I378" s="10"/>
      <c r="J378" s="10"/>
      <c r="K378" s="10"/>
      <c r="L378" s="10"/>
      <c r="M378" s="10"/>
      <c r="N378" s="10"/>
      <c r="O378" s="10"/>
    </row>
    <row r="379" spans="2:15" ht="20.25">
      <c r="B379" s="10"/>
      <c r="C379" s="14">
        <v>376</v>
      </c>
      <c r="D379" s="15" t="s">
        <v>453</v>
      </c>
      <c r="E379" s="14"/>
      <c r="F379" s="15">
        <f>_xlfn.XLOOKUP(D379,'Gemini Output'!B:B,'Gemini Output'!C:C,"No Match Yet")</f>
        <v>6</v>
      </c>
      <c r="G379" s="10" t="str">
        <f>_xlfn.XLOOKUP(D379,'Gemini Output'!B:B,'Gemini Output'!E:E,"No Match Yet")</f>
        <v>L2</v>
      </c>
      <c r="H379" s="10"/>
      <c r="I379" s="10"/>
      <c r="J379" s="10"/>
      <c r="K379" s="10"/>
      <c r="L379" s="10"/>
      <c r="M379" s="10"/>
      <c r="N379" s="10"/>
      <c r="O379" s="10"/>
    </row>
    <row r="380" spans="2:15" ht="20.25">
      <c r="B380" s="10"/>
      <c r="C380" s="14">
        <v>377</v>
      </c>
      <c r="D380" s="15" t="s">
        <v>454</v>
      </c>
      <c r="E380" s="14"/>
      <c r="F380" s="15">
        <f>_xlfn.XLOOKUP(D380,'Gemini Output'!B:B,'Gemini Output'!C:C,"No Match Yet")</f>
        <v>3</v>
      </c>
      <c r="G380" s="10" t="str">
        <f>_xlfn.XLOOKUP(D380,'Gemini Output'!B:B,'Gemini Output'!E:E,"No Match Yet")</f>
        <v>L2</v>
      </c>
      <c r="H380" s="10"/>
      <c r="I380" s="10"/>
      <c r="J380" s="10"/>
      <c r="K380" s="10"/>
      <c r="L380" s="10"/>
      <c r="M380" s="10"/>
      <c r="N380" s="10"/>
      <c r="O380" s="10"/>
    </row>
    <row r="381" spans="2:15" ht="20.25">
      <c r="B381" s="10"/>
      <c r="C381" s="14">
        <v>378</v>
      </c>
      <c r="D381" s="15" t="s">
        <v>455</v>
      </c>
      <c r="E381" s="14">
        <v>45</v>
      </c>
      <c r="F381" s="15">
        <f>_xlfn.XLOOKUP(D381,'Gemini Output'!B:B,'Gemini Output'!C:C,"No Match Yet")</f>
        <v>1</v>
      </c>
      <c r="G381" s="10" t="str">
        <f>_xlfn.XLOOKUP(D381,'Gemini Output'!B:B,'Gemini Output'!E:E,"No Match Yet")</f>
        <v>L2</v>
      </c>
      <c r="H381" s="10"/>
      <c r="I381" s="10"/>
      <c r="J381" s="10"/>
      <c r="K381" s="10"/>
      <c r="L381" s="10"/>
      <c r="M381" s="10"/>
      <c r="N381" s="10"/>
      <c r="O381" s="10"/>
    </row>
    <row r="382" spans="2:15" ht="20.25">
      <c r="B382" s="10"/>
      <c r="C382" s="14">
        <v>379</v>
      </c>
      <c r="D382" s="15" t="s">
        <v>456</v>
      </c>
      <c r="E382" s="14">
        <v>45</v>
      </c>
      <c r="F382" s="15">
        <f>_xlfn.XLOOKUP(D382,'Gemini Output'!B:B,'Gemini Output'!C:C,"No Match Yet")</f>
        <v>9</v>
      </c>
      <c r="G382" s="10" t="str">
        <f>_xlfn.XLOOKUP(D382,'Gemini Output'!B:B,'Gemini Output'!E:E,"No Match Yet")</f>
        <v>L2</v>
      </c>
      <c r="H382" s="10"/>
      <c r="I382" s="10"/>
      <c r="J382" s="10"/>
      <c r="K382" s="10"/>
      <c r="L382" s="10"/>
      <c r="M382" s="10"/>
      <c r="N382" s="10"/>
      <c r="O382" s="10"/>
    </row>
    <row r="383" spans="2:15" ht="20.25">
      <c r="B383" s="10"/>
      <c r="C383" s="14">
        <v>380</v>
      </c>
      <c r="D383" s="15" t="s">
        <v>457</v>
      </c>
      <c r="E383" s="14">
        <v>45</v>
      </c>
      <c r="F383" s="15">
        <f>_xlfn.XLOOKUP(D383,'Gemini Output'!B:B,'Gemini Output'!C:C,"No Match Yet")</f>
        <v>12</v>
      </c>
      <c r="G383" s="10" t="str">
        <f>_xlfn.XLOOKUP(D383,'Gemini Output'!B:B,'Gemini Output'!E:E,"No Match Yet")</f>
        <v>L1</v>
      </c>
      <c r="H383" s="10"/>
      <c r="I383" s="10"/>
      <c r="J383" s="10"/>
      <c r="K383" s="10"/>
      <c r="L383" s="10"/>
      <c r="M383" s="10"/>
      <c r="N383" s="10"/>
      <c r="O383" s="10"/>
    </row>
    <row r="384" spans="2:15" ht="20.25">
      <c r="B384" s="10"/>
      <c r="C384" s="14">
        <v>381</v>
      </c>
      <c r="D384" s="15" t="s">
        <v>458</v>
      </c>
      <c r="E384" s="14">
        <v>45</v>
      </c>
      <c r="F384" s="15">
        <f>_xlfn.XLOOKUP(D384,'Gemini Output'!B:B,'Gemini Output'!C:C,"No Match Yet")</f>
        <v>10</v>
      </c>
      <c r="G384" s="10" t="str">
        <f>_xlfn.XLOOKUP(D384,'Gemini Output'!B:B,'Gemini Output'!E:E,"No Match Yet")</f>
        <v>L1</v>
      </c>
      <c r="H384" s="10"/>
      <c r="I384" s="10"/>
      <c r="J384" s="10"/>
      <c r="K384" s="10"/>
      <c r="L384" s="10"/>
      <c r="M384" s="10"/>
      <c r="N384" s="10"/>
      <c r="O384" s="10"/>
    </row>
    <row r="385" spans="2:15" ht="20.25">
      <c r="B385" s="10"/>
      <c r="C385" s="14">
        <v>382</v>
      </c>
      <c r="D385" s="15" t="s">
        <v>459</v>
      </c>
      <c r="E385" s="14">
        <v>45</v>
      </c>
      <c r="F385" s="15">
        <f>_xlfn.XLOOKUP(D385,'Gemini Output'!B:B,'Gemini Output'!C:C,"No Match Yet")</f>
        <v>5</v>
      </c>
      <c r="G385" s="10" t="str">
        <f>_xlfn.XLOOKUP(D385,'Gemini Output'!B:B,'Gemini Output'!E:E,"No Match Yet")</f>
        <v>L2</v>
      </c>
      <c r="H385" s="10"/>
      <c r="I385" s="10"/>
      <c r="J385" s="10"/>
      <c r="K385" s="10"/>
      <c r="L385" s="10"/>
      <c r="M385" s="10"/>
      <c r="N385" s="10"/>
      <c r="O385" s="10"/>
    </row>
    <row r="386" spans="2:15" ht="20.25">
      <c r="B386" s="10"/>
      <c r="C386" s="14">
        <v>383</v>
      </c>
      <c r="D386" s="15" t="s">
        <v>460</v>
      </c>
      <c r="E386" s="14">
        <v>45</v>
      </c>
      <c r="F386" s="15">
        <f>_xlfn.XLOOKUP(D386,'Gemini Output'!B:B,'Gemini Output'!C:C,"No Match Yet")</f>
        <v>5</v>
      </c>
      <c r="G386" s="10" t="str">
        <f>_xlfn.XLOOKUP(D386,'Gemini Output'!B:B,'Gemini Output'!E:E,"No Match Yet")</f>
        <v>L2</v>
      </c>
      <c r="H386" s="10"/>
      <c r="I386" s="10"/>
      <c r="J386" s="10"/>
      <c r="K386" s="10"/>
      <c r="L386" s="10"/>
      <c r="M386" s="10"/>
      <c r="N386" s="10"/>
      <c r="O386" s="10"/>
    </row>
    <row r="387" spans="2:15" ht="20.25">
      <c r="B387" s="10"/>
      <c r="C387" s="14">
        <v>384</v>
      </c>
      <c r="D387" s="15" t="s">
        <v>461</v>
      </c>
      <c r="E387" s="14">
        <v>45</v>
      </c>
      <c r="F387" s="15">
        <f>_xlfn.XLOOKUP(D387,'Gemini Output'!B:B,'Gemini Output'!C:C,"No Match Yet")</f>
        <v>11</v>
      </c>
      <c r="G387" s="10" t="str">
        <f>_xlfn.XLOOKUP(D387,'Gemini Output'!B:B,'Gemini Output'!E:E,"No Match Yet")</f>
        <v>L1</v>
      </c>
      <c r="H387" s="10"/>
      <c r="I387" s="10"/>
      <c r="J387" s="10"/>
      <c r="K387" s="10"/>
      <c r="L387" s="10"/>
      <c r="M387" s="10"/>
      <c r="N387" s="10"/>
      <c r="O387" s="10"/>
    </row>
    <row r="388" spans="2:15" ht="20.25">
      <c r="B388" s="10"/>
      <c r="C388" s="14">
        <v>385</v>
      </c>
      <c r="D388" s="15" t="s">
        <v>462</v>
      </c>
      <c r="E388" s="14">
        <v>45</v>
      </c>
      <c r="F388" s="15">
        <f>_xlfn.XLOOKUP(D388,'Gemini Output'!B:B,'Gemini Output'!C:C,"No Match Yet")</f>
        <v>9</v>
      </c>
      <c r="G388" s="10" t="str">
        <f>_xlfn.XLOOKUP(D388,'Gemini Output'!B:B,'Gemini Output'!E:E,"No Match Yet")</f>
        <v>L2</v>
      </c>
      <c r="H388" s="10"/>
      <c r="I388" s="10"/>
      <c r="J388" s="10"/>
      <c r="K388" s="10"/>
      <c r="L388" s="10"/>
      <c r="M388" s="10"/>
      <c r="N388" s="10"/>
      <c r="O388" s="10"/>
    </row>
    <row r="389" spans="2:15" ht="20.25">
      <c r="B389" s="10"/>
      <c r="C389" s="14">
        <v>386</v>
      </c>
      <c r="D389" s="15" t="s">
        <v>463</v>
      </c>
      <c r="E389" s="14"/>
      <c r="F389" s="15">
        <f>_xlfn.XLOOKUP(D389,'Gemini Output'!B:B,'Gemini Output'!C:C,"No Match Yet")</f>
        <v>12</v>
      </c>
      <c r="G389" s="10" t="str">
        <f>_xlfn.XLOOKUP(D389,'Gemini Output'!B:B,'Gemini Output'!E:E,"No Match Yet")</f>
        <v>L2</v>
      </c>
      <c r="H389" s="10"/>
      <c r="I389" s="10"/>
      <c r="J389" s="10"/>
      <c r="K389" s="10"/>
      <c r="L389" s="10"/>
      <c r="M389" s="10"/>
      <c r="N389" s="10"/>
      <c r="O389" s="10"/>
    </row>
    <row r="390" spans="2:15" ht="20.25">
      <c r="B390" s="10"/>
      <c r="C390" s="14">
        <v>387</v>
      </c>
      <c r="D390" s="15" t="s">
        <v>464</v>
      </c>
      <c r="E390" s="14">
        <v>44</v>
      </c>
      <c r="F390" s="15">
        <f>_xlfn.XLOOKUP(D390,'Gemini Output'!B:B,'Gemini Output'!C:C,"No Match Yet")</f>
        <v>3</v>
      </c>
      <c r="G390" s="10" t="str">
        <f>_xlfn.XLOOKUP(D390,'Gemini Output'!B:B,'Gemini Output'!E:E,"No Match Yet")</f>
        <v>L3</v>
      </c>
      <c r="H390" s="10"/>
      <c r="I390" s="10"/>
      <c r="J390" s="10"/>
      <c r="K390" s="10"/>
      <c r="L390" s="10"/>
      <c r="M390" s="10"/>
      <c r="N390" s="10"/>
      <c r="O390" s="10"/>
    </row>
    <row r="391" spans="2:15" ht="20.25">
      <c r="B391" s="10"/>
      <c r="C391" s="14">
        <v>388</v>
      </c>
      <c r="D391" s="15" t="s">
        <v>465</v>
      </c>
      <c r="E391" s="14">
        <v>44</v>
      </c>
      <c r="F391" s="15">
        <f>_xlfn.XLOOKUP(D391,'Gemini Output'!B:B,'Gemini Output'!C:C,"No Match Yet")</f>
        <v>2</v>
      </c>
      <c r="G391" s="10" t="str">
        <f>_xlfn.XLOOKUP(D391,'Gemini Output'!B:B,'Gemini Output'!E:E,"No Match Yet")</f>
        <v>L2</v>
      </c>
      <c r="H391" s="10"/>
      <c r="I391" s="10"/>
      <c r="J391" s="10"/>
      <c r="K391" s="10"/>
      <c r="L391" s="10"/>
      <c r="M391" s="10"/>
      <c r="N391" s="10"/>
      <c r="O391" s="10"/>
    </row>
    <row r="392" spans="2:15" ht="20.25">
      <c r="B392" s="10"/>
      <c r="C392" s="14">
        <v>389</v>
      </c>
      <c r="D392" s="15" t="s">
        <v>466</v>
      </c>
      <c r="E392" s="14">
        <v>44</v>
      </c>
      <c r="F392" s="15">
        <f>_xlfn.XLOOKUP(D392,'Gemini Output'!B:B,'Gemini Output'!C:C,"No Match Yet")</f>
        <v>12</v>
      </c>
      <c r="G392" s="10" t="str">
        <f>_xlfn.XLOOKUP(D392,'Gemini Output'!B:B,'Gemini Output'!E:E,"No Match Yet")</f>
        <v>L1</v>
      </c>
      <c r="H392" s="10"/>
      <c r="I392" s="10"/>
      <c r="J392" s="10"/>
      <c r="K392" s="10"/>
      <c r="L392" s="10"/>
      <c r="M392" s="10"/>
      <c r="N392" s="10"/>
      <c r="O392" s="10"/>
    </row>
    <row r="393" spans="2:15" ht="20.25">
      <c r="B393" s="10"/>
      <c r="C393" s="14">
        <v>390</v>
      </c>
      <c r="D393" s="15" t="s">
        <v>467</v>
      </c>
      <c r="E393" s="14">
        <v>44</v>
      </c>
      <c r="F393" s="15">
        <f>_xlfn.XLOOKUP(D393,'Gemini Output'!B:B,'Gemini Output'!C:C,"No Match Yet")</f>
        <v>1</v>
      </c>
      <c r="G393" s="10" t="str">
        <f>_xlfn.XLOOKUP(D393,'Gemini Output'!B:B,'Gemini Output'!E:E,"No Match Yet")</f>
        <v>L2</v>
      </c>
      <c r="H393" s="10"/>
      <c r="I393" s="10"/>
      <c r="J393" s="10"/>
      <c r="K393" s="10"/>
      <c r="L393" s="10"/>
      <c r="M393" s="10"/>
      <c r="N393" s="10"/>
      <c r="O393" s="10"/>
    </row>
    <row r="394" spans="2:15" ht="20.25">
      <c r="B394" s="10"/>
      <c r="C394" s="14">
        <v>391</v>
      </c>
      <c r="D394" s="15" t="s">
        <v>468</v>
      </c>
      <c r="E394" s="14">
        <v>44</v>
      </c>
      <c r="F394" s="15">
        <f>_xlfn.XLOOKUP(D394,'Gemini Output'!B:B,'Gemini Output'!C:C,"No Match Yet")</f>
        <v>6</v>
      </c>
      <c r="G394" s="10" t="str">
        <f>_xlfn.XLOOKUP(D394,'Gemini Output'!B:B,'Gemini Output'!E:E,"No Match Yet")</f>
        <v>L2</v>
      </c>
      <c r="H394" s="10"/>
      <c r="I394" s="10"/>
      <c r="J394" s="10"/>
      <c r="K394" s="10"/>
      <c r="L394" s="10"/>
      <c r="M394" s="10"/>
      <c r="N394" s="10"/>
      <c r="O394" s="10"/>
    </row>
    <row r="395" spans="2:15" ht="20.25">
      <c r="B395" s="10"/>
      <c r="C395" s="14">
        <v>392</v>
      </c>
      <c r="D395" s="15" t="s">
        <v>469</v>
      </c>
      <c r="E395" s="14">
        <v>44</v>
      </c>
      <c r="F395" s="15">
        <f>_xlfn.XLOOKUP(D395,'Gemini Output'!B:B,'Gemini Output'!C:C,"No Match Yet")</f>
        <v>9</v>
      </c>
      <c r="G395" s="10" t="str">
        <f>_xlfn.XLOOKUP(D395,'Gemini Output'!B:B,'Gemini Output'!E:E,"No Match Yet")</f>
        <v>L1</v>
      </c>
      <c r="H395" s="10"/>
      <c r="I395" s="10"/>
      <c r="J395" s="10"/>
      <c r="K395" s="10"/>
      <c r="L395" s="10"/>
      <c r="M395" s="10"/>
      <c r="N395" s="10"/>
      <c r="O395" s="10"/>
    </row>
    <row r="396" spans="2:15" ht="20.25">
      <c r="B396" s="10"/>
      <c r="C396" s="14">
        <v>393</v>
      </c>
      <c r="D396" s="15" t="s">
        <v>470</v>
      </c>
      <c r="E396" s="14">
        <v>44</v>
      </c>
      <c r="F396" s="15">
        <f>_xlfn.XLOOKUP(D396,'Gemini Output'!B:B,'Gemini Output'!C:C,"No Match Yet")</f>
        <v>13</v>
      </c>
      <c r="G396" s="10" t="str">
        <f>_xlfn.XLOOKUP(D396,'Gemini Output'!B:B,'Gemini Output'!E:E,"No Match Yet")</f>
        <v>L1</v>
      </c>
      <c r="H396" s="10"/>
      <c r="I396" s="10"/>
      <c r="J396" s="10"/>
      <c r="K396" s="10"/>
      <c r="L396" s="10"/>
      <c r="M396" s="10"/>
      <c r="N396" s="10"/>
      <c r="O396" s="10"/>
    </row>
    <row r="397" spans="2:15" ht="20.25">
      <c r="B397" s="10"/>
      <c r="C397" s="14">
        <v>394</v>
      </c>
      <c r="D397" s="15" t="s">
        <v>471</v>
      </c>
      <c r="E397" s="14">
        <v>44</v>
      </c>
      <c r="F397" s="15">
        <f>_xlfn.XLOOKUP(D397,'Gemini Output'!B:B,'Gemini Output'!C:C,"No Match Yet")</f>
        <v>5</v>
      </c>
      <c r="G397" s="10" t="str">
        <f>_xlfn.XLOOKUP(D397,'Gemini Output'!B:B,'Gemini Output'!E:E,"No Match Yet")</f>
        <v>L2</v>
      </c>
      <c r="H397" s="10"/>
      <c r="I397" s="10"/>
      <c r="J397" s="10"/>
      <c r="K397" s="10"/>
      <c r="L397" s="10"/>
      <c r="M397" s="10"/>
      <c r="N397" s="10"/>
      <c r="O397" s="10"/>
    </row>
    <row r="398" spans="2:15" ht="20.25">
      <c r="B398" s="10"/>
      <c r="C398" s="14">
        <v>395</v>
      </c>
      <c r="D398" s="15" t="s">
        <v>472</v>
      </c>
      <c r="E398" s="14">
        <v>44</v>
      </c>
      <c r="F398" s="15">
        <f>_xlfn.XLOOKUP(D398,'Gemini Output'!B:B,'Gemini Output'!C:C,"No Match Yet")</f>
        <v>3</v>
      </c>
      <c r="G398" s="10" t="str">
        <f>_xlfn.XLOOKUP(D398,'Gemini Output'!B:B,'Gemini Output'!E:E,"No Match Yet")</f>
        <v>L1</v>
      </c>
      <c r="H398" s="10"/>
      <c r="I398" s="10"/>
      <c r="J398" s="10"/>
      <c r="K398" s="10"/>
      <c r="L398" s="10"/>
      <c r="M398" s="10"/>
      <c r="N398" s="10"/>
      <c r="O398" s="10"/>
    </row>
    <row r="399" spans="2:15" ht="20.25">
      <c r="B399" s="10"/>
      <c r="C399" s="14">
        <v>396</v>
      </c>
      <c r="D399" s="15" t="s">
        <v>473</v>
      </c>
      <c r="E399" s="14">
        <v>44</v>
      </c>
      <c r="F399" s="15">
        <f>_xlfn.XLOOKUP(D399,'Gemini Output'!B:B,'Gemini Output'!C:C,"No Match Yet")</f>
        <v>4</v>
      </c>
      <c r="G399" s="10" t="str">
        <f>_xlfn.XLOOKUP(D399,'Gemini Output'!B:B,'Gemini Output'!E:E,"No Match Yet")</f>
        <v>L2</v>
      </c>
      <c r="H399" s="10"/>
      <c r="I399" s="10"/>
      <c r="J399" s="10"/>
      <c r="K399" s="10"/>
      <c r="L399" s="10"/>
      <c r="M399" s="10"/>
      <c r="N399" s="10"/>
      <c r="O399" s="10"/>
    </row>
    <row r="400" spans="2:15" ht="20.25">
      <c r="B400" s="10"/>
      <c r="C400" s="14">
        <v>397</v>
      </c>
      <c r="D400" s="15" t="s">
        <v>474</v>
      </c>
      <c r="E400" s="14">
        <v>44</v>
      </c>
      <c r="F400" s="15">
        <f>_xlfn.XLOOKUP(D400,'Gemini Output'!B:B,'Gemini Output'!C:C,"No Match Yet")</f>
        <v>7</v>
      </c>
      <c r="G400" s="10" t="str">
        <f>_xlfn.XLOOKUP(D400,'Gemini Output'!B:B,'Gemini Output'!E:E,"No Match Yet")</f>
        <v>L2</v>
      </c>
      <c r="H400" s="10"/>
      <c r="I400" s="10"/>
      <c r="J400" s="10"/>
      <c r="K400" s="10"/>
      <c r="L400" s="10"/>
      <c r="M400" s="10"/>
      <c r="N400" s="10"/>
      <c r="O400" s="10"/>
    </row>
    <row r="401" spans="2:15" ht="20.25">
      <c r="B401" s="10"/>
      <c r="C401" s="14">
        <v>398</v>
      </c>
      <c r="D401" s="15" t="s">
        <v>475</v>
      </c>
      <c r="E401" s="14">
        <v>44</v>
      </c>
      <c r="F401" s="15">
        <f>_xlfn.XLOOKUP(D401,'Gemini Output'!B:B,'Gemini Output'!C:C,"No Match Yet")</f>
        <v>6</v>
      </c>
      <c r="G401" s="10" t="str">
        <f>_xlfn.XLOOKUP(D401,'Gemini Output'!B:B,'Gemini Output'!E:E,"No Match Yet")</f>
        <v>L2</v>
      </c>
      <c r="H401" s="10"/>
      <c r="I401" s="10"/>
      <c r="J401" s="10"/>
      <c r="K401" s="10"/>
      <c r="L401" s="10"/>
      <c r="M401" s="10"/>
      <c r="N401" s="10"/>
      <c r="O401" s="10"/>
    </row>
    <row r="402" spans="2:15" ht="20.25">
      <c r="B402" s="10"/>
      <c r="C402" s="14">
        <v>399</v>
      </c>
      <c r="D402" s="15" t="s">
        <v>476</v>
      </c>
      <c r="E402" s="14">
        <v>44</v>
      </c>
      <c r="F402" s="15">
        <f>_xlfn.XLOOKUP(D402,'Gemini Output'!B:B,'Gemini Output'!C:C,"No Match Yet")</f>
        <v>9</v>
      </c>
      <c r="G402" s="10" t="str">
        <f>_xlfn.XLOOKUP(D402,'Gemini Output'!B:B,'Gemini Output'!E:E,"No Match Yet")</f>
        <v>L1</v>
      </c>
      <c r="H402" s="10"/>
      <c r="I402" s="10"/>
      <c r="J402" s="10"/>
      <c r="K402" s="10"/>
      <c r="L402" s="10"/>
      <c r="M402" s="10"/>
      <c r="N402" s="10"/>
      <c r="O402" s="10"/>
    </row>
    <row r="403" spans="2:15" ht="20.25">
      <c r="B403" s="10"/>
      <c r="C403" s="14">
        <v>400</v>
      </c>
      <c r="D403" s="15" t="s">
        <v>477</v>
      </c>
      <c r="E403" s="14"/>
      <c r="F403" s="15">
        <f>_xlfn.XLOOKUP(D403,'Gemini Output'!B:B,'Gemini Output'!C:C,"No Match Yet")</f>
        <v>13</v>
      </c>
      <c r="G403" s="10" t="str">
        <f>_xlfn.XLOOKUP(D403,'Gemini Output'!B:B,'Gemini Output'!E:E,"No Match Yet")</f>
        <v>L1</v>
      </c>
      <c r="H403" s="10"/>
      <c r="I403" s="10"/>
      <c r="J403" s="10"/>
      <c r="K403" s="10"/>
      <c r="L403" s="10"/>
      <c r="M403" s="10"/>
      <c r="N403" s="10"/>
      <c r="O403" s="10"/>
    </row>
    <row r="404" spans="2:15" ht="20.25">
      <c r="B404" s="10"/>
      <c r="C404" s="14">
        <v>401</v>
      </c>
      <c r="D404" s="15" t="s">
        <v>478</v>
      </c>
      <c r="E404" s="14">
        <v>43</v>
      </c>
      <c r="F404" s="15">
        <f>_xlfn.XLOOKUP(D404,'Gemini Output'!B:B,'Gemini Output'!C:C,"No Match Yet")</f>
        <v>4</v>
      </c>
      <c r="G404" s="10" t="str">
        <f>_xlfn.XLOOKUP(D404,'Gemini Output'!B:B,'Gemini Output'!E:E,"No Match Yet")</f>
        <v>L2</v>
      </c>
      <c r="H404" s="10"/>
      <c r="I404" s="10"/>
      <c r="J404" s="10"/>
      <c r="K404" s="10"/>
      <c r="L404" s="10"/>
      <c r="M404" s="10"/>
      <c r="N404" s="10"/>
      <c r="O404" s="10"/>
    </row>
    <row r="405" spans="2:15" ht="20.25">
      <c r="B405" s="10"/>
      <c r="C405" s="14">
        <v>402</v>
      </c>
      <c r="D405" s="15" t="s">
        <v>479</v>
      </c>
      <c r="E405" s="14">
        <v>43</v>
      </c>
      <c r="F405" s="15">
        <f>_xlfn.XLOOKUP(D405,'Gemini Output'!B:B,'Gemini Output'!C:C,"No Match Yet")</f>
        <v>9</v>
      </c>
      <c r="G405" s="10" t="str">
        <f>_xlfn.XLOOKUP(D405,'Gemini Output'!B:B,'Gemini Output'!E:E,"No Match Yet")</f>
        <v>L2</v>
      </c>
      <c r="H405" s="10"/>
      <c r="I405" s="10"/>
      <c r="J405" s="10"/>
      <c r="K405" s="10"/>
      <c r="L405" s="10"/>
      <c r="M405" s="10"/>
      <c r="N405" s="10"/>
      <c r="O405" s="10"/>
    </row>
    <row r="406" spans="2:15" ht="20.25">
      <c r="B406" s="10"/>
      <c r="C406" s="14">
        <v>403</v>
      </c>
      <c r="D406" s="15" t="s">
        <v>480</v>
      </c>
      <c r="E406" s="14">
        <v>43</v>
      </c>
      <c r="F406" s="15">
        <f>_xlfn.XLOOKUP(D406,'Gemini Output'!B:B,'Gemini Output'!C:C,"No Match Yet")</f>
        <v>14</v>
      </c>
      <c r="G406" s="10" t="str">
        <f>_xlfn.XLOOKUP(D406,'Gemini Output'!B:B,'Gemini Output'!E:E,"No Match Yet")</f>
        <v>L1</v>
      </c>
      <c r="H406" s="10"/>
      <c r="I406" s="10"/>
      <c r="J406" s="10"/>
      <c r="K406" s="10"/>
      <c r="L406" s="10"/>
      <c r="M406" s="10"/>
      <c r="N406" s="10"/>
      <c r="O406" s="10"/>
    </row>
    <row r="407" spans="2:15" ht="20.25">
      <c r="B407" s="10"/>
      <c r="C407" s="14">
        <v>404</v>
      </c>
      <c r="D407" s="15" t="s">
        <v>481</v>
      </c>
      <c r="E407" s="14">
        <v>43</v>
      </c>
      <c r="F407" s="15">
        <f>_xlfn.XLOOKUP(D407,'Gemini Output'!B:B,'Gemini Output'!C:C,"No Match Yet")</f>
        <v>4</v>
      </c>
      <c r="G407" s="10" t="str">
        <f>_xlfn.XLOOKUP(D407,'Gemini Output'!B:B,'Gemini Output'!E:E,"No Match Yet")</f>
        <v>L2</v>
      </c>
      <c r="H407" s="10"/>
      <c r="I407" s="10"/>
      <c r="J407" s="10"/>
      <c r="K407" s="10"/>
      <c r="L407" s="10"/>
      <c r="M407" s="10"/>
      <c r="N407" s="10"/>
      <c r="O407" s="10"/>
    </row>
    <row r="408" spans="2:15" ht="20.25">
      <c r="B408" s="10"/>
      <c r="C408" s="14">
        <v>405</v>
      </c>
      <c r="D408" s="15" t="s">
        <v>482</v>
      </c>
      <c r="E408" s="14">
        <v>43</v>
      </c>
      <c r="F408" s="15">
        <f>_xlfn.XLOOKUP(D408,'Gemini Output'!B:B,'Gemini Output'!C:C,"No Match Yet")</f>
        <v>3</v>
      </c>
      <c r="G408" s="10" t="str">
        <f>_xlfn.XLOOKUP(D408,'Gemini Output'!B:B,'Gemini Output'!E:E,"No Match Yet")</f>
        <v>L2</v>
      </c>
      <c r="H408" s="10"/>
      <c r="I408" s="10"/>
      <c r="J408" s="10"/>
      <c r="K408" s="10"/>
      <c r="L408" s="10"/>
      <c r="M408" s="10"/>
      <c r="N408" s="10"/>
      <c r="O408" s="10"/>
    </row>
    <row r="409" spans="2:15" ht="20.25">
      <c r="B409" s="10"/>
      <c r="C409" s="14">
        <v>406</v>
      </c>
      <c r="D409" s="15" t="s">
        <v>483</v>
      </c>
      <c r="E409" s="14"/>
      <c r="F409" s="15">
        <f>_xlfn.XLOOKUP(D409,'Gemini Output'!B:B,'Gemini Output'!C:C,"No Match Yet")</f>
        <v>8</v>
      </c>
      <c r="G409" s="10" t="str">
        <f>_xlfn.XLOOKUP(D409,'Gemini Output'!B:B,'Gemini Output'!E:E,"No Match Yet")</f>
        <v>L2</v>
      </c>
      <c r="H409" s="10"/>
      <c r="I409" s="10"/>
      <c r="J409" s="10"/>
      <c r="K409" s="10"/>
      <c r="L409" s="10"/>
      <c r="M409" s="10"/>
      <c r="N409" s="10"/>
      <c r="O409" s="10"/>
    </row>
    <row r="410" spans="2:15" ht="20.25">
      <c r="B410" s="10"/>
      <c r="C410" s="14">
        <v>407</v>
      </c>
      <c r="D410" s="15" t="s">
        <v>484</v>
      </c>
      <c r="E410" s="14"/>
      <c r="F410" s="15">
        <f>_xlfn.XLOOKUP(D410,'Gemini Output'!B:B,'Gemini Output'!C:C,"No Match Yet")</f>
        <v>1</v>
      </c>
      <c r="G410" s="10" t="str">
        <f>_xlfn.XLOOKUP(D410,'Gemini Output'!B:B,'Gemini Output'!E:E,"No Match Yet")</f>
        <v>L1</v>
      </c>
      <c r="H410" s="10"/>
      <c r="I410" s="10"/>
      <c r="J410" s="10"/>
      <c r="K410" s="10"/>
      <c r="L410" s="10"/>
      <c r="M410" s="10"/>
      <c r="N410" s="10"/>
      <c r="O410" s="10"/>
    </row>
    <row r="411" spans="2:15" ht="20.25">
      <c r="B411" s="10"/>
      <c r="C411" s="14">
        <v>408</v>
      </c>
      <c r="D411" s="15" t="s">
        <v>485</v>
      </c>
      <c r="E411" s="14">
        <v>42</v>
      </c>
      <c r="F411" s="15">
        <f>_xlfn.XLOOKUP(D411,'Gemini Output'!B:B,'Gemini Output'!C:C,"No Match Yet")</f>
        <v>12</v>
      </c>
      <c r="G411" s="10" t="str">
        <f>_xlfn.XLOOKUP(D411,'Gemini Output'!B:B,'Gemini Output'!E:E,"No Match Yet")</f>
        <v>L1</v>
      </c>
      <c r="H411" s="10"/>
      <c r="I411" s="10"/>
      <c r="J411" s="10"/>
      <c r="K411" s="10"/>
      <c r="L411" s="10"/>
      <c r="M411" s="10"/>
      <c r="N411" s="10"/>
      <c r="O411" s="10"/>
    </row>
    <row r="412" spans="2:15" ht="20.25">
      <c r="B412" s="10"/>
      <c r="C412" s="14">
        <v>409</v>
      </c>
      <c r="D412" s="15" t="s">
        <v>486</v>
      </c>
      <c r="E412" s="14">
        <v>42</v>
      </c>
      <c r="F412" s="15">
        <f>_xlfn.XLOOKUP(D412,'Gemini Output'!B:B,'Gemini Output'!C:C,"No Match Yet")</f>
        <v>7</v>
      </c>
      <c r="G412" s="10" t="str">
        <f>_xlfn.XLOOKUP(D412,'Gemini Output'!B:B,'Gemini Output'!E:E,"No Match Yet")</f>
        <v>L2</v>
      </c>
      <c r="H412" s="10"/>
      <c r="I412" s="10"/>
      <c r="J412" s="10"/>
      <c r="K412" s="10"/>
      <c r="L412" s="10"/>
      <c r="M412" s="10"/>
      <c r="N412" s="10"/>
      <c r="O412" s="10"/>
    </row>
    <row r="413" spans="2:15" ht="20.25">
      <c r="B413" s="10"/>
      <c r="C413" s="14">
        <v>410</v>
      </c>
      <c r="D413" s="15" t="s">
        <v>487</v>
      </c>
      <c r="E413" s="14">
        <v>42</v>
      </c>
      <c r="F413" s="15">
        <f>_xlfn.XLOOKUP(D413,'Gemini Output'!B:B,'Gemini Output'!C:C,"No Match Yet")</f>
        <v>7</v>
      </c>
      <c r="G413" s="10" t="str">
        <f>_xlfn.XLOOKUP(D413,'Gemini Output'!B:B,'Gemini Output'!E:E,"No Match Yet")</f>
        <v>L2</v>
      </c>
      <c r="H413" s="10"/>
      <c r="I413" s="10"/>
      <c r="J413" s="10"/>
      <c r="K413" s="10"/>
      <c r="L413" s="10"/>
      <c r="M413" s="10"/>
      <c r="N413" s="10"/>
      <c r="O413" s="10"/>
    </row>
    <row r="414" spans="2:15" ht="20.25">
      <c r="B414" s="10"/>
      <c r="C414" s="14">
        <v>411</v>
      </c>
      <c r="D414" s="15" t="s">
        <v>488</v>
      </c>
      <c r="E414" s="14">
        <v>42</v>
      </c>
      <c r="F414" s="15">
        <f>_xlfn.XLOOKUP(D414,'Gemini Output'!B:B,'Gemini Output'!C:C,"No Match Yet")</f>
        <v>12</v>
      </c>
      <c r="G414" s="10" t="str">
        <f>_xlfn.XLOOKUP(D414,'Gemini Output'!B:B,'Gemini Output'!E:E,"No Match Yet")</f>
        <v>L2</v>
      </c>
      <c r="H414" s="10"/>
      <c r="I414" s="10"/>
      <c r="J414" s="10"/>
      <c r="K414" s="10"/>
      <c r="L414" s="10"/>
      <c r="M414" s="10"/>
      <c r="N414" s="10"/>
      <c r="O414" s="10"/>
    </row>
    <row r="415" spans="2:15" ht="20.25">
      <c r="B415" s="10"/>
      <c r="C415" s="14">
        <v>412</v>
      </c>
      <c r="D415" s="15" t="s">
        <v>489</v>
      </c>
      <c r="E415" s="14">
        <v>42</v>
      </c>
      <c r="F415" s="15">
        <f>_xlfn.XLOOKUP(D415,'Gemini Output'!B:B,'Gemini Output'!C:C,"No Match Yet")</f>
        <v>12</v>
      </c>
      <c r="G415" s="10" t="str">
        <f>_xlfn.XLOOKUP(D415,'Gemini Output'!B:B,'Gemini Output'!E:E,"No Match Yet")</f>
        <v>L1</v>
      </c>
      <c r="H415" s="10"/>
      <c r="I415" s="10"/>
      <c r="J415" s="10"/>
      <c r="K415" s="10"/>
      <c r="L415" s="10"/>
      <c r="M415" s="10"/>
      <c r="N415" s="10"/>
      <c r="O415" s="10"/>
    </row>
    <row r="416" spans="2:15" ht="20.25">
      <c r="B416" s="10"/>
      <c r="C416" s="14">
        <v>413</v>
      </c>
      <c r="D416" s="15" t="s">
        <v>490</v>
      </c>
      <c r="E416" s="14">
        <v>42</v>
      </c>
      <c r="F416" s="15">
        <f>_xlfn.XLOOKUP(D416,'Gemini Output'!B:B,'Gemini Output'!C:C,"No Match Yet")</f>
        <v>5</v>
      </c>
      <c r="G416" s="10" t="str">
        <f>_xlfn.XLOOKUP(D416,'Gemini Output'!B:B,'Gemini Output'!E:E,"No Match Yet")</f>
        <v>L2</v>
      </c>
      <c r="H416" s="10"/>
      <c r="I416" s="10"/>
      <c r="J416" s="10"/>
      <c r="K416" s="10"/>
      <c r="L416" s="10"/>
      <c r="M416" s="10"/>
      <c r="N416" s="10"/>
      <c r="O416" s="10"/>
    </row>
    <row r="417" spans="2:15" ht="20.25">
      <c r="B417" s="10"/>
      <c r="C417" s="14">
        <v>414</v>
      </c>
      <c r="D417" s="15" t="s">
        <v>491</v>
      </c>
      <c r="E417" s="14">
        <v>42</v>
      </c>
      <c r="F417" s="15">
        <f>_xlfn.XLOOKUP(D417,'Gemini Output'!B:B,'Gemini Output'!C:C,"No Match Yet")</f>
        <v>1</v>
      </c>
      <c r="G417" s="10" t="str">
        <f>_xlfn.XLOOKUP(D417,'Gemini Output'!B:B,'Gemini Output'!E:E,"No Match Yet")</f>
        <v>L2</v>
      </c>
      <c r="H417" s="10"/>
      <c r="I417" s="10"/>
      <c r="J417" s="10"/>
      <c r="K417" s="10"/>
      <c r="L417" s="10"/>
      <c r="M417" s="10"/>
      <c r="N417" s="10"/>
      <c r="O417" s="10"/>
    </row>
    <row r="418" spans="2:15" ht="20.25">
      <c r="B418" s="10"/>
      <c r="C418" s="14">
        <v>415</v>
      </c>
      <c r="D418" s="15" t="s">
        <v>492</v>
      </c>
      <c r="E418" s="14">
        <v>42</v>
      </c>
      <c r="F418" s="15">
        <f>_xlfn.XLOOKUP(D418,'Gemini Output'!B:B,'Gemini Output'!C:C,"No Match Yet")</f>
        <v>8</v>
      </c>
      <c r="G418" s="10" t="str">
        <f>_xlfn.XLOOKUP(D418,'Gemini Output'!B:B,'Gemini Output'!E:E,"No Match Yet")</f>
        <v>L2</v>
      </c>
      <c r="H418" s="10"/>
      <c r="I418" s="10"/>
      <c r="J418" s="10"/>
      <c r="K418" s="10"/>
      <c r="L418" s="10"/>
      <c r="M418" s="10"/>
      <c r="N418" s="10"/>
      <c r="O418" s="10"/>
    </row>
    <row r="419" spans="2:15" ht="20.25">
      <c r="B419" s="10"/>
      <c r="C419" s="14">
        <v>416</v>
      </c>
      <c r="D419" s="15" t="s">
        <v>493</v>
      </c>
      <c r="E419" s="14">
        <v>42</v>
      </c>
      <c r="F419" s="15">
        <f>_xlfn.XLOOKUP(D419,'Gemini Output'!B:B,'Gemini Output'!C:C,"No Match Yet")</f>
        <v>5</v>
      </c>
      <c r="G419" s="10" t="str">
        <f>_xlfn.XLOOKUP(D419,'Gemini Output'!B:B,'Gemini Output'!E:E,"No Match Yet")</f>
        <v>L3</v>
      </c>
      <c r="H419" s="10"/>
      <c r="I419" s="10"/>
      <c r="J419" s="10"/>
      <c r="K419" s="10"/>
      <c r="L419" s="10"/>
      <c r="M419" s="10"/>
      <c r="N419" s="10"/>
      <c r="O419" s="10"/>
    </row>
    <row r="420" spans="2:15" ht="20.25">
      <c r="B420" s="10"/>
      <c r="C420" s="14">
        <v>417</v>
      </c>
      <c r="D420" s="15" t="s">
        <v>494</v>
      </c>
      <c r="E420" s="14">
        <v>42</v>
      </c>
      <c r="F420" s="15">
        <f>_xlfn.XLOOKUP(D420,'Gemini Output'!B:B,'Gemini Output'!C:C,"No Match Yet")</f>
        <v>3</v>
      </c>
      <c r="G420" s="10" t="str">
        <f>_xlfn.XLOOKUP(D420,'Gemini Output'!B:B,'Gemini Output'!E:E,"No Match Yet")</f>
        <v>L2</v>
      </c>
      <c r="H420" s="10"/>
      <c r="I420" s="10"/>
      <c r="J420" s="10"/>
      <c r="K420" s="10"/>
      <c r="L420" s="10"/>
      <c r="M420" s="10"/>
      <c r="N420" s="10"/>
      <c r="O420" s="10"/>
    </row>
    <row r="421" spans="2:15" ht="20.25">
      <c r="B421" s="10"/>
      <c r="C421" s="14">
        <v>418</v>
      </c>
      <c r="D421" s="15" t="s">
        <v>495</v>
      </c>
      <c r="E421" s="14"/>
      <c r="F421" s="15">
        <f>_xlfn.XLOOKUP(D421,'Gemini Output'!B:B,'Gemini Output'!C:C,"No Match Yet")</f>
        <v>1</v>
      </c>
      <c r="G421" s="10" t="str">
        <f>_xlfn.XLOOKUP(D421,'Gemini Output'!B:B,'Gemini Output'!E:E,"No Match Yet")</f>
        <v>L2</v>
      </c>
      <c r="H421" s="10"/>
      <c r="I421" s="10"/>
      <c r="J421" s="10"/>
      <c r="K421" s="10"/>
      <c r="L421" s="10"/>
      <c r="M421" s="10"/>
      <c r="N421" s="10"/>
      <c r="O421" s="10"/>
    </row>
    <row r="422" spans="2:15" ht="20.25">
      <c r="B422" s="10"/>
      <c r="C422" s="14">
        <v>419</v>
      </c>
      <c r="D422" s="15" t="s">
        <v>496</v>
      </c>
      <c r="E422" s="14"/>
      <c r="F422" s="15">
        <f>_xlfn.XLOOKUP(D422,'Gemini Output'!B:B,'Gemini Output'!C:C,"No Match Yet")</f>
        <v>12</v>
      </c>
      <c r="G422" s="10" t="str">
        <f>_xlfn.XLOOKUP(D422,'Gemini Output'!B:B,'Gemini Output'!E:E,"No Match Yet")</f>
        <v>L1</v>
      </c>
      <c r="H422" s="10"/>
      <c r="I422" s="10"/>
      <c r="J422" s="10"/>
      <c r="K422" s="10"/>
      <c r="L422" s="10"/>
      <c r="M422" s="10"/>
      <c r="N422" s="10"/>
      <c r="O422" s="10"/>
    </row>
    <row r="423" spans="2:15" ht="20.25">
      <c r="B423" s="10"/>
      <c r="C423" s="14">
        <v>420</v>
      </c>
      <c r="D423" s="15" t="s">
        <v>497</v>
      </c>
      <c r="E423" s="14"/>
      <c r="F423" s="15">
        <f>_xlfn.XLOOKUP(D423,'Gemini Output'!B:B,'Gemini Output'!C:C,"No Match Yet")</f>
        <v>1</v>
      </c>
      <c r="G423" s="10" t="str">
        <f>_xlfn.XLOOKUP(D423,'Gemini Output'!B:B,'Gemini Output'!E:E,"No Match Yet")</f>
        <v>L2</v>
      </c>
      <c r="H423" s="10"/>
      <c r="I423" s="10"/>
      <c r="J423" s="10"/>
      <c r="K423" s="10"/>
      <c r="L423" s="10"/>
      <c r="M423" s="10"/>
      <c r="N423" s="10"/>
      <c r="O423" s="10"/>
    </row>
    <row r="424" spans="2:15" ht="20.25">
      <c r="B424" s="10"/>
      <c r="C424" s="14">
        <v>421</v>
      </c>
      <c r="D424" s="15" t="s">
        <v>498</v>
      </c>
      <c r="E424" s="14"/>
      <c r="F424" s="15">
        <f>_xlfn.XLOOKUP(D424,'Gemini Output'!B:B,'Gemini Output'!C:C,"No Match Yet")</f>
        <v>14</v>
      </c>
      <c r="G424" s="10" t="str">
        <f>_xlfn.XLOOKUP(D424,'Gemini Output'!B:B,'Gemini Output'!E:E,"No Match Yet")</f>
        <v>L2</v>
      </c>
      <c r="H424" s="10"/>
      <c r="I424" s="10"/>
      <c r="J424" s="10"/>
      <c r="K424" s="10"/>
      <c r="L424" s="10"/>
      <c r="M424" s="10"/>
      <c r="N424" s="10"/>
      <c r="O424" s="10"/>
    </row>
    <row r="425" spans="2:15" ht="20.25">
      <c r="B425" s="10"/>
      <c r="C425" s="14">
        <v>422</v>
      </c>
      <c r="D425" s="15" t="s">
        <v>499</v>
      </c>
      <c r="E425" s="14"/>
      <c r="F425" s="15">
        <f>_xlfn.XLOOKUP(D425,'Gemini Output'!B:B,'Gemini Output'!C:C,"No Match Yet")</f>
        <v>6</v>
      </c>
      <c r="G425" s="10" t="str">
        <f>_xlfn.XLOOKUP(D425,'Gemini Output'!B:B,'Gemini Output'!E:E,"No Match Yet")</f>
        <v>L2</v>
      </c>
      <c r="H425" s="10"/>
      <c r="I425" s="10"/>
      <c r="J425" s="10"/>
      <c r="K425" s="10"/>
      <c r="L425" s="10"/>
      <c r="M425" s="10"/>
      <c r="N425" s="10"/>
      <c r="O425" s="10"/>
    </row>
    <row r="426" spans="2:15" ht="20.25">
      <c r="B426" s="10"/>
      <c r="C426" s="14">
        <v>423</v>
      </c>
      <c r="D426" s="15" t="s">
        <v>500</v>
      </c>
      <c r="E426" s="14">
        <v>41</v>
      </c>
      <c r="F426" s="15">
        <f>_xlfn.XLOOKUP(D426,'Gemini Output'!B:B,'Gemini Output'!C:C,"No Match Yet")</f>
        <v>13</v>
      </c>
      <c r="G426" s="10" t="str">
        <f>_xlfn.XLOOKUP(D426,'Gemini Output'!B:B,'Gemini Output'!E:E,"No Match Yet")</f>
        <v>L1</v>
      </c>
      <c r="H426" s="10"/>
      <c r="I426" s="10"/>
      <c r="J426" s="10"/>
      <c r="K426" s="10"/>
      <c r="L426" s="10"/>
      <c r="M426" s="10"/>
      <c r="N426" s="10"/>
      <c r="O426" s="10"/>
    </row>
    <row r="427" spans="2:15" ht="20.25">
      <c r="B427" s="10"/>
      <c r="C427" s="14">
        <v>424</v>
      </c>
      <c r="D427" s="15" t="s">
        <v>501</v>
      </c>
      <c r="E427" s="14">
        <v>41</v>
      </c>
      <c r="F427" s="15">
        <f>_xlfn.XLOOKUP(D427,'Gemini Output'!B:B,'Gemini Output'!C:C,"No Match Yet")</f>
        <v>2</v>
      </c>
      <c r="G427" s="10" t="str">
        <f>_xlfn.XLOOKUP(D427,'Gemini Output'!B:B,'Gemini Output'!E:E,"No Match Yet")</f>
        <v>L1</v>
      </c>
      <c r="H427" s="10"/>
      <c r="I427" s="10"/>
      <c r="J427" s="10"/>
      <c r="K427" s="10"/>
      <c r="L427" s="10"/>
      <c r="M427" s="10"/>
      <c r="N427" s="10"/>
      <c r="O427" s="10"/>
    </row>
    <row r="428" spans="2:15" ht="20.25">
      <c r="B428" s="10"/>
      <c r="C428" s="14">
        <v>425</v>
      </c>
      <c r="D428" s="15" t="s">
        <v>502</v>
      </c>
      <c r="E428" s="14">
        <v>41</v>
      </c>
      <c r="F428" s="15">
        <f>_xlfn.XLOOKUP(D428,'Gemini Output'!B:B,'Gemini Output'!C:C,"No Match Yet")</f>
        <v>9</v>
      </c>
      <c r="G428" s="10" t="str">
        <f>_xlfn.XLOOKUP(D428,'Gemini Output'!B:B,'Gemini Output'!E:E,"No Match Yet")</f>
        <v>L2</v>
      </c>
      <c r="H428" s="10"/>
      <c r="I428" s="10"/>
      <c r="J428" s="10"/>
      <c r="K428" s="10"/>
      <c r="L428" s="10"/>
      <c r="M428" s="10"/>
      <c r="N428" s="10"/>
      <c r="O428" s="10"/>
    </row>
    <row r="429" spans="2:15" ht="20.25">
      <c r="B429" s="10"/>
      <c r="C429" s="14">
        <v>426</v>
      </c>
      <c r="D429" s="15" t="s">
        <v>503</v>
      </c>
      <c r="E429" s="14">
        <v>41</v>
      </c>
      <c r="F429" s="15">
        <f>_xlfn.XLOOKUP(D429,'Gemini Output'!B:B,'Gemini Output'!C:C,"No Match Yet")</f>
        <v>6</v>
      </c>
      <c r="G429" s="10" t="str">
        <f>_xlfn.XLOOKUP(D429,'Gemini Output'!B:B,'Gemini Output'!E:E,"No Match Yet")</f>
        <v>L2</v>
      </c>
      <c r="H429" s="10"/>
      <c r="I429" s="10"/>
      <c r="J429" s="10"/>
      <c r="K429" s="10"/>
      <c r="L429" s="10"/>
      <c r="M429" s="10"/>
      <c r="N429" s="10"/>
      <c r="O429" s="10"/>
    </row>
    <row r="430" spans="2:15" ht="20.25">
      <c r="B430" s="10"/>
      <c r="C430" s="14">
        <v>427</v>
      </c>
      <c r="D430" s="15" t="s">
        <v>504</v>
      </c>
      <c r="E430" s="14">
        <v>41</v>
      </c>
      <c r="F430" s="15">
        <f>_xlfn.XLOOKUP(D430,'Gemini Output'!B:B,'Gemini Output'!C:C,"No Match Yet")</f>
        <v>3</v>
      </c>
      <c r="G430" s="10" t="str">
        <f>_xlfn.XLOOKUP(D430,'Gemini Output'!B:B,'Gemini Output'!E:E,"No Match Yet")</f>
        <v>L2</v>
      </c>
      <c r="H430" s="10"/>
      <c r="I430" s="10"/>
      <c r="J430" s="10"/>
      <c r="K430" s="10"/>
      <c r="L430" s="10"/>
      <c r="M430" s="10"/>
      <c r="N430" s="10"/>
      <c r="O430" s="10"/>
    </row>
    <row r="431" spans="2:15" ht="20.25">
      <c r="B431" s="10"/>
      <c r="C431" s="14">
        <v>428</v>
      </c>
      <c r="D431" s="15" t="s">
        <v>505</v>
      </c>
      <c r="E431" s="14">
        <v>41</v>
      </c>
      <c r="F431" s="15">
        <f>_xlfn.XLOOKUP(D431,'Gemini Output'!B:B,'Gemini Output'!C:C,"No Match Yet")</f>
        <v>12</v>
      </c>
      <c r="G431" s="10" t="str">
        <f>_xlfn.XLOOKUP(D431,'Gemini Output'!B:B,'Gemini Output'!E:E,"No Match Yet")</f>
        <v>L2</v>
      </c>
      <c r="H431" s="10"/>
      <c r="I431" s="10"/>
      <c r="J431" s="10"/>
      <c r="K431" s="10"/>
      <c r="L431" s="10"/>
      <c r="M431" s="10"/>
      <c r="N431" s="10"/>
      <c r="O431" s="10"/>
    </row>
    <row r="432" spans="2:15" ht="20.25">
      <c r="B432" s="10"/>
      <c r="C432" s="14">
        <v>429</v>
      </c>
      <c r="D432" s="15" t="s">
        <v>506</v>
      </c>
      <c r="E432" s="14">
        <v>41</v>
      </c>
      <c r="F432" s="15">
        <f>_xlfn.XLOOKUP(D432,'Gemini Output'!B:B,'Gemini Output'!C:C,"No Match Yet")</f>
        <v>14</v>
      </c>
      <c r="G432" s="10" t="str">
        <f>_xlfn.XLOOKUP(D432,'Gemini Output'!B:B,'Gemini Output'!E:E,"No Match Yet")</f>
        <v>L2</v>
      </c>
      <c r="H432" s="10"/>
      <c r="I432" s="10"/>
      <c r="J432" s="10"/>
      <c r="K432" s="10"/>
      <c r="L432" s="10"/>
      <c r="M432" s="10"/>
      <c r="N432" s="10"/>
      <c r="O432" s="10"/>
    </row>
    <row r="433" spans="2:15" ht="20.25">
      <c r="B433" s="10"/>
      <c r="C433" s="14">
        <v>430</v>
      </c>
      <c r="D433" s="15" t="s">
        <v>507</v>
      </c>
      <c r="E433" s="14">
        <v>41</v>
      </c>
      <c r="F433" s="15">
        <f>_xlfn.XLOOKUP(D433,'Gemini Output'!B:B,'Gemini Output'!C:C,"No Match Yet")</f>
        <v>9</v>
      </c>
      <c r="G433" s="10" t="str">
        <f>_xlfn.XLOOKUP(D433,'Gemini Output'!B:B,'Gemini Output'!E:E,"No Match Yet")</f>
        <v>L2</v>
      </c>
      <c r="H433" s="10"/>
      <c r="I433" s="10"/>
      <c r="J433" s="10"/>
      <c r="K433" s="10"/>
      <c r="L433" s="10"/>
      <c r="M433" s="10"/>
      <c r="N433" s="10"/>
      <c r="O433" s="10"/>
    </row>
    <row r="434" spans="2:15" ht="20.25">
      <c r="B434" s="10"/>
      <c r="C434" s="14">
        <v>431</v>
      </c>
      <c r="D434" s="15" t="s">
        <v>508</v>
      </c>
      <c r="E434" s="14"/>
      <c r="F434" s="15">
        <f>_xlfn.XLOOKUP(D434,'Gemini Output'!B:B,'Gemini Output'!C:C,"No Match Yet")</f>
        <v>3</v>
      </c>
      <c r="G434" s="10" t="str">
        <f>_xlfn.XLOOKUP(D434,'Gemini Output'!B:B,'Gemini Output'!E:E,"No Match Yet")</f>
        <v>L1</v>
      </c>
      <c r="H434" s="10"/>
      <c r="I434" s="10"/>
      <c r="J434" s="10"/>
      <c r="K434" s="10"/>
      <c r="L434" s="10"/>
      <c r="M434" s="10"/>
      <c r="N434" s="10"/>
      <c r="O434" s="10"/>
    </row>
    <row r="435" spans="2:15" ht="20.25">
      <c r="B435" s="10"/>
      <c r="C435" s="14">
        <v>432</v>
      </c>
      <c r="D435" s="15" t="s">
        <v>509</v>
      </c>
      <c r="E435" s="14">
        <v>40</v>
      </c>
      <c r="F435" s="15">
        <f>_xlfn.XLOOKUP(D435,'Gemini Output'!B:B,'Gemini Output'!C:C,"No Match Yet")</f>
        <v>1</v>
      </c>
      <c r="G435" s="10" t="str">
        <f>_xlfn.XLOOKUP(D435,'Gemini Output'!B:B,'Gemini Output'!E:E,"No Match Yet")</f>
        <v>L2</v>
      </c>
      <c r="H435" s="10"/>
      <c r="I435" s="10"/>
      <c r="J435" s="10"/>
      <c r="K435" s="10"/>
      <c r="L435" s="10"/>
      <c r="M435" s="10"/>
      <c r="N435" s="10"/>
      <c r="O435" s="10"/>
    </row>
    <row r="436" spans="2:15" ht="20.25">
      <c r="B436" s="10"/>
      <c r="C436" s="14">
        <v>433</v>
      </c>
      <c r="D436" s="15" t="s">
        <v>510</v>
      </c>
      <c r="E436" s="14">
        <v>40</v>
      </c>
      <c r="F436" s="15">
        <f>_xlfn.XLOOKUP(D436,'Gemini Output'!B:B,'Gemini Output'!C:C,"No Match Yet")</f>
        <v>6</v>
      </c>
      <c r="G436" s="10" t="str">
        <f>_xlfn.XLOOKUP(D436,'Gemini Output'!B:B,'Gemini Output'!E:E,"No Match Yet")</f>
        <v>L1</v>
      </c>
      <c r="H436" s="10"/>
      <c r="I436" s="10"/>
      <c r="J436" s="10"/>
      <c r="K436" s="10"/>
      <c r="L436" s="10"/>
      <c r="M436" s="10"/>
      <c r="N436" s="10"/>
      <c r="O436" s="10"/>
    </row>
    <row r="437" spans="2:15" ht="20.25">
      <c r="B437" s="10"/>
      <c r="C437" s="14">
        <v>434</v>
      </c>
      <c r="D437" s="15" t="s">
        <v>511</v>
      </c>
      <c r="E437" s="14">
        <v>40</v>
      </c>
      <c r="F437" s="15">
        <f>_xlfn.XLOOKUP(D437,'Gemini Output'!B:B,'Gemini Output'!C:C,"No Match Yet")</f>
        <v>1</v>
      </c>
      <c r="G437" s="10" t="str">
        <f>_xlfn.XLOOKUP(D437,'Gemini Output'!B:B,'Gemini Output'!E:E,"No Match Yet")</f>
        <v>L2</v>
      </c>
      <c r="H437" s="10"/>
      <c r="I437" s="10"/>
      <c r="J437" s="10"/>
      <c r="K437" s="10"/>
      <c r="L437" s="10"/>
      <c r="M437" s="10"/>
      <c r="N437" s="10"/>
      <c r="O437" s="10"/>
    </row>
    <row r="438" spans="2:15" ht="20.25">
      <c r="B438" s="10"/>
      <c r="C438" s="14">
        <v>435</v>
      </c>
      <c r="D438" s="15" t="s">
        <v>512</v>
      </c>
      <c r="E438" s="14">
        <v>40</v>
      </c>
      <c r="F438" s="15">
        <f>_xlfn.XLOOKUP(D438,'Gemini Output'!B:B,'Gemini Output'!C:C,"No Match Yet")</f>
        <v>7</v>
      </c>
      <c r="G438" s="10" t="str">
        <f>_xlfn.XLOOKUP(D438,'Gemini Output'!B:B,'Gemini Output'!E:E,"No Match Yet")</f>
        <v>L2</v>
      </c>
      <c r="H438" s="10"/>
      <c r="I438" s="10"/>
      <c r="J438" s="10"/>
      <c r="K438" s="10"/>
      <c r="L438" s="10"/>
      <c r="M438" s="10"/>
      <c r="N438" s="10"/>
      <c r="O438" s="10"/>
    </row>
    <row r="439" spans="2:15" ht="20.25">
      <c r="B439" s="10"/>
      <c r="C439" s="14">
        <v>436</v>
      </c>
      <c r="D439" s="15" t="s">
        <v>513</v>
      </c>
      <c r="E439" s="14">
        <v>40</v>
      </c>
      <c r="F439" s="15">
        <f>_xlfn.XLOOKUP(D439,'Gemini Output'!B:B,'Gemini Output'!C:C,"No Match Yet")</f>
        <v>5</v>
      </c>
      <c r="G439" s="10" t="str">
        <f>_xlfn.XLOOKUP(D439,'Gemini Output'!B:B,'Gemini Output'!E:E,"No Match Yet")</f>
        <v>L2</v>
      </c>
      <c r="H439" s="10"/>
      <c r="I439" s="10"/>
      <c r="J439" s="10"/>
      <c r="K439" s="10"/>
      <c r="L439" s="10"/>
      <c r="M439" s="10"/>
      <c r="N439" s="10"/>
      <c r="O439" s="10"/>
    </row>
    <row r="440" spans="2:15" ht="20.25">
      <c r="B440" s="10"/>
      <c r="C440" s="14">
        <v>437</v>
      </c>
      <c r="D440" s="15" t="s">
        <v>514</v>
      </c>
      <c r="E440" s="14">
        <v>40</v>
      </c>
      <c r="F440" s="15">
        <f>_xlfn.XLOOKUP(D440,'Gemini Output'!B:B,'Gemini Output'!C:C,"No Match Yet")</f>
        <v>2</v>
      </c>
      <c r="G440" s="10" t="str">
        <f>_xlfn.XLOOKUP(D440,'Gemini Output'!B:B,'Gemini Output'!E:E,"No Match Yet")</f>
        <v>L2</v>
      </c>
      <c r="H440" s="10"/>
      <c r="I440" s="10"/>
      <c r="J440" s="10"/>
      <c r="K440" s="10"/>
      <c r="L440" s="10"/>
      <c r="M440" s="10"/>
      <c r="N440" s="10"/>
      <c r="O440" s="10"/>
    </row>
    <row r="441" spans="2:15" ht="20.25">
      <c r="B441" s="10"/>
      <c r="C441" s="14">
        <v>438</v>
      </c>
      <c r="D441" s="15" t="s">
        <v>515</v>
      </c>
      <c r="E441" s="14">
        <v>40</v>
      </c>
      <c r="F441" s="15">
        <f>_xlfn.XLOOKUP(D441,'Gemini Output'!B:B,'Gemini Output'!C:C,"No Match Yet")</f>
        <v>9</v>
      </c>
      <c r="G441" s="10" t="str">
        <f>_xlfn.XLOOKUP(D441,'Gemini Output'!B:B,'Gemini Output'!E:E,"No Match Yet")</f>
        <v>L2</v>
      </c>
      <c r="H441" s="10"/>
      <c r="I441" s="10"/>
      <c r="J441" s="10"/>
      <c r="K441" s="10"/>
      <c r="L441" s="10"/>
      <c r="M441" s="10"/>
      <c r="N441" s="10"/>
      <c r="O441" s="10"/>
    </row>
    <row r="442" spans="2:15" ht="20.25">
      <c r="B442" s="10"/>
      <c r="C442" s="14">
        <v>439</v>
      </c>
      <c r="D442" s="15" t="s">
        <v>516</v>
      </c>
      <c r="E442" s="14">
        <v>40</v>
      </c>
      <c r="F442" s="15">
        <f>_xlfn.XLOOKUP(D442,'Gemini Output'!B:B,'Gemini Output'!C:C,"No Match Yet")</f>
        <v>9</v>
      </c>
      <c r="G442" s="10" t="str">
        <f>_xlfn.XLOOKUP(D442,'Gemini Output'!B:B,'Gemini Output'!E:E,"No Match Yet")</f>
        <v>L1</v>
      </c>
      <c r="H442" s="10"/>
      <c r="I442" s="10"/>
      <c r="J442" s="10"/>
      <c r="K442" s="10"/>
      <c r="L442" s="10"/>
      <c r="M442" s="10"/>
      <c r="N442" s="10"/>
      <c r="O442" s="10"/>
    </row>
    <row r="443" spans="2:15" ht="20.25">
      <c r="B443" s="10"/>
      <c r="C443" s="14">
        <v>440</v>
      </c>
      <c r="D443" s="15" t="s">
        <v>517</v>
      </c>
      <c r="E443" s="14">
        <v>40</v>
      </c>
      <c r="F443" s="15">
        <f>_xlfn.XLOOKUP(D443,'Gemini Output'!B:B,'Gemini Output'!C:C,"No Match Yet")</f>
        <v>9</v>
      </c>
      <c r="G443" s="10" t="str">
        <f>_xlfn.XLOOKUP(D443,'Gemini Output'!B:B,'Gemini Output'!E:E,"No Match Yet")</f>
        <v>L2</v>
      </c>
      <c r="H443" s="10"/>
      <c r="I443" s="10"/>
      <c r="J443" s="10"/>
      <c r="K443" s="10"/>
      <c r="L443" s="10"/>
      <c r="M443" s="10"/>
      <c r="N443" s="10"/>
      <c r="O443" s="10"/>
    </row>
    <row r="444" spans="2:15" ht="20.25">
      <c r="B444" s="10"/>
      <c r="C444" s="14">
        <v>441</v>
      </c>
      <c r="D444" s="15" t="s">
        <v>518</v>
      </c>
      <c r="E444" s="14">
        <v>40</v>
      </c>
      <c r="F444" s="15">
        <f>_xlfn.XLOOKUP(D444,'Gemini Output'!B:B,'Gemini Output'!C:C,"No Match Yet")</f>
        <v>1</v>
      </c>
      <c r="G444" s="10" t="str">
        <f>_xlfn.XLOOKUP(D444,'Gemini Output'!B:B,'Gemini Output'!E:E,"No Match Yet")</f>
        <v>L2</v>
      </c>
      <c r="H444" s="10"/>
      <c r="I444" s="10"/>
      <c r="J444" s="10"/>
      <c r="K444" s="10"/>
      <c r="L444" s="10"/>
      <c r="M444" s="10"/>
      <c r="N444" s="10"/>
      <c r="O444" s="10"/>
    </row>
    <row r="445" spans="2:15" ht="20.25">
      <c r="B445" s="10"/>
      <c r="C445" s="14">
        <v>442</v>
      </c>
      <c r="D445" s="15" t="s">
        <v>519</v>
      </c>
      <c r="E445" s="14">
        <v>40</v>
      </c>
      <c r="F445" s="15">
        <f>_xlfn.XLOOKUP(D445,'Gemini Output'!B:B,'Gemini Output'!C:C,"No Match Yet")</f>
        <v>14</v>
      </c>
      <c r="G445" s="10" t="str">
        <f>_xlfn.XLOOKUP(D445,'Gemini Output'!B:B,'Gemini Output'!E:E,"No Match Yet")</f>
        <v>L1</v>
      </c>
      <c r="H445" s="10"/>
      <c r="I445" s="10"/>
      <c r="J445" s="10"/>
      <c r="K445" s="10"/>
      <c r="L445" s="10"/>
      <c r="M445" s="10"/>
      <c r="N445" s="10"/>
      <c r="O445" s="10"/>
    </row>
    <row r="446" spans="2:15" ht="20.25">
      <c r="B446" s="10"/>
      <c r="C446" s="14">
        <v>443</v>
      </c>
      <c r="D446" s="15" t="s">
        <v>520</v>
      </c>
      <c r="E446" s="14">
        <v>40</v>
      </c>
      <c r="F446" s="15">
        <f>_xlfn.XLOOKUP(D446,'Gemini Output'!B:B,'Gemini Output'!C:C,"No Match Yet")</f>
        <v>6</v>
      </c>
      <c r="G446" s="10" t="str">
        <f>_xlfn.XLOOKUP(D446,'Gemini Output'!B:B,'Gemini Output'!E:E,"No Match Yet")</f>
        <v>L3</v>
      </c>
      <c r="H446" s="10"/>
      <c r="I446" s="10"/>
      <c r="J446" s="10"/>
      <c r="K446" s="10"/>
      <c r="L446" s="10"/>
      <c r="M446" s="10"/>
      <c r="N446" s="10"/>
      <c r="O446" s="10"/>
    </row>
    <row r="447" spans="2:15" ht="20.25">
      <c r="B447" s="10"/>
      <c r="C447" s="14">
        <v>444</v>
      </c>
      <c r="D447" s="15" t="s">
        <v>521</v>
      </c>
      <c r="E447" s="14">
        <v>40</v>
      </c>
      <c r="F447" s="15">
        <f>_xlfn.XLOOKUP(D447,'Gemini Output'!B:B,'Gemini Output'!C:C,"No Match Yet")</f>
        <v>8</v>
      </c>
      <c r="G447" s="10" t="str">
        <f>_xlfn.XLOOKUP(D447,'Gemini Output'!B:B,'Gemini Output'!E:E,"No Match Yet")</f>
        <v>L2</v>
      </c>
      <c r="H447" s="10"/>
      <c r="I447" s="10"/>
      <c r="J447" s="10"/>
      <c r="K447" s="10"/>
      <c r="L447" s="10"/>
      <c r="M447" s="10"/>
      <c r="N447" s="10"/>
      <c r="O447" s="10"/>
    </row>
    <row r="448" spans="2:15" ht="20.25">
      <c r="B448" s="10"/>
      <c r="C448" s="14">
        <v>445</v>
      </c>
      <c r="D448" s="15" t="s">
        <v>522</v>
      </c>
      <c r="E448" s="14">
        <v>40</v>
      </c>
      <c r="F448" s="15">
        <f>_xlfn.XLOOKUP(D448,'Gemini Output'!B:B,'Gemini Output'!C:C,"No Match Yet")</f>
        <v>5</v>
      </c>
      <c r="G448" s="10" t="str">
        <f>_xlfn.XLOOKUP(D448,'Gemini Output'!B:B,'Gemini Output'!E:E,"No Match Yet")</f>
        <v>L2</v>
      </c>
      <c r="H448" s="10"/>
      <c r="I448" s="10"/>
      <c r="J448" s="10"/>
      <c r="K448" s="10"/>
      <c r="L448" s="10"/>
      <c r="M448" s="10"/>
      <c r="N448" s="10"/>
      <c r="O448" s="10"/>
    </row>
    <row r="449" spans="2:15" ht="20.25">
      <c r="B449" s="10"/>
      <c r="C449" s="14">
        <v>446</v>
      </c>
      <c r="D449" s="15" t="s">
        <v>523</v>
      </c>
      <c r="E449" s="14">
        <v>40</v>
      </c>
      <c r="F449" s="15">
        <f>_xlfn.XLOOKUP(D449,'Gemini Output'!B:B,'Gemini Output'!C:C,"No Match Yet")</f>
        <v>5</v>
      </c>
      <c r="G449" s="10" t="str">
        <f>_xlfn.XLOOKUP(D449,'Gemini Output'!B:B,'Gemini Output'!E:E,"No Match Yet")</f>
        <v>L2</v>
      </c>
      <c r="H449" s="10"/>
      <c r="I449" s="10"/>
      <c r="J449" s="10"/>
      <c r="K449" s="10"/>
      <c r="L449" s="10"/>
      <c r="M449" s="10"/>
      <c r="N449" s="10"/>
      <c r="O449" s="10"/>
    </row>
    <row r="450" spans="2:15" ht="20.25">
      <c r="B450" s="10"/>
      <c r="C450" s="14">
        <v>447</v>
      </c>
      <c r="D450" s="15" t="s">
        <v>524</v>
      </c>
      <c r="E450" s="14">
        <v>40</v>
      </c>
      <c r="F450" s="15">
        <f>_xlfn.XLOOKUP(D450,'Gemini Output'!B:B,'Gemini Output'!C:C,"No Match Yet")</f>
        <v>9</v>
      </c>
      <c r="G450" s="10" t="str">
        <f>_xlfn.XLOOKUP(D450,'Gemini Output'!B:B,'Gemini Output'!E:E,"No Match Yet")</f>
        <v>L2</v>
      </c>
      <c r="H450" s="10"/>
      <c r="I450" s="10"/>
      <c r="J450" s="10"/>
      <c r="K450" s="10"/>
      <c r="L450" s="10"/>
      <c r="M450" s="10"/>
      <c r="N450" s="10"/>
      <c r="O450" s="10"/>
    </row>
    <row r="451" spans="2:15" ht="20.25">
      <c r="B451" s="10"/>
      <c r="C451" s="14">
        <v>448</v>
      </c>
      <c r="D451" s="15" t="s">
        <v>525</v>
      </c>
      <c r="E451" s="14">
        <v>39</v>
      </c>
      <c r="F451" s="15">
        <f>_xlfn.XLOOKUP(D451,'Gemini Output'!B:B,'Gemini Output'!C:C,"No Match Yet")</f>
        <v>3</v>
      </c>
      <c r="G451" s="10" t="str">
        <f>_xlfn.XLOOKUP(D451,'Gemini Output'!B:B,'Gemini Output'!E:E,"No Match Yet")</f>
        <v>L2</v>
      </c>
      <c r="H451" s="10"/>
      <c r="I451" s="10"/>
      <c r="J451" s="10"/>
      <c r="K451" s="10"/>
      <c r="L451" s="10"/>
      <c r="M451" s="10"/>
      <c r="N451" s="10"/>
      <c r="O451" s="10"/>
    </row>
    <row r="452" spans="2:15" ht="20.25">
      <c r="B452" s="10"/>
      <c r="C452" s="14">
        <v>449</v>
      </c>
      <c r="D452" s="15" t="s">
        <v>526</v>
      </c>
      <c r="E452" s="14">
        <v>39</v>
      </c>
      <c r="F452" s="15">
        <f>_xlfn.XLOOKUP(D452,'Gemini Output'!B:B,'Gemini Output'!C:C,"No Match Yet")</f>
        <v>2</v>
      </c>
      <c r="G452" s="10" t="str">
        <f>_xlfn.XLOOKUP(D452,'Gemini Output'!B:B,'Gemini Output'!E:E,"No Match Yet")</f>
        <v>L2</v>
      </c>
      <c r="H452" s="10"/>
      <c r="I452" s="10"/>
      <c r="J452" s="10"/>
      <c r="K452" s="10"/>
      <c r="L452" s="10"/>
      <c r="M452" s="10"/>
      <c r="N452" s="10"/>
      <c r="O452" s="10"/>
    </row>
    <row r="453" spans="2:15" ht="20.25">
      <c r="B453" s="10"/>
      <c r="C453" s="14">
        <v>450</v>
      </c>
      <c r="D453" s="15" t="s">
        <v>527</v>
      </c>
      <c r="E453" s="14">
        <v>39</v>
      </c>
      <c r="F453" s="15">
        <f>_xlfn.XLOOKUP(D453,'Gemini Output'!B:B,'Gemini Output'!C:C,"No Match Yet")</f>
        <v>1</v>
      </c>
      <c r="G453" s="10" t="str">
        <f>_xlfn.XLOOKUP(D453,'Gemini Output'!B:B,'Gemini Output'!E:E,"No Match Yet")</f>
        <v>L2</v>
      </c>
      <c r="H453" s="10"/>
      <c r="I453" s="10"/>
      <c r="J453" s="10"/>
      <c r="K453" s="10"/>
      <c r="L453" s="10"/>
      <c r="M453" s="10"/>
      <c r="N453" s="10"/>
      <c r="O453" s="10"/>
    </row>
    <row r="454" spans="2:15" ht="20.25">
      <c r="B454" s="10"/>
      <c r="C454" s="14">
        <v>451</v>
      </c>
      <c r="D454" s="15" t="s">
        <v>528</v>
      </c>
      <c r="E454" s="14">
        <v>39</v>
      </c>
      <c r="F454" s="15">
        <f>_xlfn.XLOOKUP(D454,'Gemini Output'!B:B,'Gemini Output'!C:C,"No Match Yet")</f>
        <v>8</v>
      </c>
      <c r="G454" s="10" t="str">
        <f>_xlfn.XLOOKUP(D454,'Gemini Output'!B:B,'Gemini Output'!E:E,"No Match Yet")</f>
        <v>L1</v>
      </c>
      <c r="H454" s="10"/>
      <c r="I454" s="10"/>
      <c r="J454" s="10"/>
      <c r="K454" s="10"/>
      <c r="L454" s="10"/>
      <c r="M454" s="10"/>
      <c r="N454" s="10"/>
      <c r="O454" s="10"/>
    </row>
    <row r="455" spans="2:15" ht="20.25">
      <c r="B455" s="10"/>
      <c r="C455" s="14">
        <v>452</v>
      </c>
      <c r="D455" s="15" t="s">
        <v>529</v>
      </c>
      <c r="E455" s="14">
        <v>39</v>
      </c>
      <c r="F455" s="15">
        <f>_xlfn.XLOOKUP(D455,'Gemini Output'!B:B,'Gemini Output'!C:C,"No Match Yet")</f>
        <v>9</v>
      </c>
      <c r="G455" s="10" t="str">
        <f>_xlfn.XLOOKUP(D455,'Gemini Output'!B:B,'Gemini Output'!E:E,"No Match Yet")</f>
        <v>L2</v>
      </c>
      <c r="H455" s="10"/>
      <c r="I455" s="10"/>
      <c r="J455" s="10"/>
      <c r="K455" s="10"/>
      <c r="L455" s="10"/>
      <c r="M455" s="10"/>
      <c r="N455" s="10"/>
      <c r="O455" s="10"/>
    </row>
    <row r="456" spans="2:15" ht="20.25">
      <c r="B456" s="10"/>
      <c r="C456" s="14">
        <v>453</v>
      </c>
      <c r="D456" s="15" t="s">
        <v>530</v>
      </c>
      <c r="E456" s="14">
        <v>39</v>
      </c>
      <c r="F456" s="15">
        <f>_xlfn.XLOOKUP(D456,'Gemini Output'!B:B,'Gemini Output'!C:C,"No Match Yet")</f>
        <v>13</v>
      </c>
      <c r="G456" s="10" t="str">
        <f>_xlfn.XLOOKUP(D456,'Gemini Output'!B:B,'Gemini Output'!E:E,"No Match Yet")</f>
        <v>L2</v>
      </c>
      <c r="H456" s="10"/>
      <c r="I456" s="10"/>
      <c r="J456" s="10"/>
      <c r="K456" s="10"/>
      <c r="L456" s="10"/>
      <c r="M456" s="10"/>
      <c r="N456" s="10"/>
      <c r="O456" s="10"/>
    </row>
    <row r="457" spans="2:15" ht="20.25">
      <c r="B457" s="10"/>
      <c r="C457" s="14">
        <v>454</v>
      </c>
      <c r="D457" s="15" t="s">
        <v>531</v>
      </c>
      <c r="E457" s="14">
        <v>39</v>
      </c>
      <c r="F457" s="15">
        <f>_xlfn.XLOOKUP(D457,'Gemini Output'!B:B,'Gemini Output'!C:C,"No Match Yet")</f>
        <v>3</v>
      </c>
      <c r="G457" s="10" t="str">
        <f>_xlfn.XLOOKUP(D457,'Gemini Output'!B:B,'Gemini Output'!E:E,"No Match Yet")</f>
        <v>L2</v>
      </c>
      <c r="H457" s="10"/>
      <c r="I457" s="10"/>
      <c r="J457" s="10"/>
      <c r="K457" s="10"/>
      <c r="L457" s="10"/>
      <c r="M457" s="10"/>
      <c r="N457" s="10"/>
      <c r="O457" s="10"/>
    </row>
    <row r="458" spans="2:15" ht="20.25">
      <c r="B458" s="10"/>
      <c r="C458" s="14">
        <v>455</v>
      </c>
      <c r="D458" s="15" t="s">
        <v>532</v>
      </c>
      <c r="E458" s="14">
        <v>39</v>
      </c>
      <c r="F458" s="15">
        <f>_xlfn.XLOOKUP(D458,'Gemini Output'!B:B,'Gemini Output'!C:C,"No Match Yet")</f>
        <v>12</v>
      </c>
      <c r="G458" s="10" t="str">
        <f>_xlfn.XLOOKUP(D458,'Gemini Output'!B:B,'Gemini Output'!E:E,"No Match Yet")</f>
        <v>L1</v>
      </c>
      <c r="H458" s="10"/>
      <c r="I458" s="10"/>
      <c r="J458" s="10"/>
      <c r="K458" s="10"/>
      <c r="L458" s="10"/>
      <c r="M458" s="10"/>
      <c r="N458" s="10"/>
      <c r="O458" s="10"/>
    </row>
    <row r="459" spans="2:15" ht="20.25">
      <c r="B459" s="10"/>
      <c r="C459" s="14">
        <v>456</v>
      </c>
      <c r="D459" s="15" t="s">
        <v>533</v>
      </c>
      <c r="E459" s="14">
        <v>39</v>
      </c>
      <c r="F459" s="15">
        <f>_xlfn.XLOOKUP(D459,'Gemini Output'!B:B,'Gemini Output'!C:C,"No Match Yet")</f>
        <v>11</v>
      </c>
      <c r="G459" s="10" t="str">
        <f>_xlfn.XLOOKUP(D459,'Gemini Output'!B:B,'Gemini Output'!E:E,"No Match Yet")</f>
        <v>L1</v>
      </c>
      <c r="H459" s="10"/>
      <c r="I459" s="10"/>
      <c r="J459" s="10"/>
      <c r="K459" s="10"/>
      <c r="L459" s="10"/>
      <c r="M459" s="10"/>
      <c r="N459" s="10"/>
      <c r="O459" s="10"/>
    </row>
    <row r="460" spans="2:15" ht="20.25">
      <c r="B460" s="10"/>
      <c r="C460" s="14">
        <v>457</v>
      </c>
      <c r="D460" s="15" t="s">
        <v>534</v>
      </c>
      <c r="E460" s="14">
        <v>39</v>
      </c>
      <c r="F460" s="15">
        <f>_xlfn.XLOOKUP(D460,'Gemini Output'!B:B,'Gemini Output'!C:C,"No Match Yet")</f>
        <v>8</v>
      </c>
      <c r="G460" s="10" t="str">
        <f>_xlfn.XLOOKUP(D460,'Gemini Output'!B:B,'Gemini Output'!E:E,"No Match Yet")</f>
        <v>L2</v>
      </c>
      <c r="H460" s="10"/>
      <c r="I460" s="10"/>
      <c r="J460" s="10"/>
      <c r="K460" s="10"/>
      <c r="L460" s="10"/>
      <c r="M460" s="10"/>
      <c r="N460" s="10"/>
      <c r="O460" s="10"/>
    </row>
    <row r="461" spans="2:15" ht="20.25">
      <c r="B461" s="10"/>
      <c r="C461" s="14">
        <v>458</v>
      </c>
      <c r="D461" s="15" t="s">
        <v>535</v>
      </c>
      <c r="E461" s="14">
        <v>39</v>
      </c>
      <c r="F461" s="15">
        <f>_xlfn.XLOOKUP(D461,'Gemini Output'!B:B,'Gemini Output'!C:C,"No Match Yet")</f>
        <v>3</v>
      </c>
      <c r="G461" s="10" t="str">
        <f>_xlfn.XLOOKUP(D461,'Gemini Output'!B:B,'Gemini Output'!E:E,"No Match Yet")</f>
        <v>L2</v>
      </c>
      <c r="H461" s="10"/>
      <c r="I461" s="10"/>
      <c r="J461" s="10"/>
      <c r="K461" s="10"/>
      <c r="L461" s="10"/>
      <c r="M461" s="10"/>
      <c r="N461" s="10"/>
      <c r="O461" s="10"/>
    </row>
    <row r="462" spans="2:15" ht="20.25">
      <c r="B462" s="10"/>
      <c r="C462" s="14">
        <v>459</v>
      </c>
      <c r="D462" s="15" t="s">
        <v>536</v>
      </c>
      <c r="E462" s="14">
        <v>39</v>
      </c>
      <c r="F462" s="15">
        <f>_xlfn.XLOOKUP(D462,'Gemini Output'!B:B,'Gemini Output'!C:C,"No Match Yet")</f>
        <v>6</v>
      </c>
      <c r="G462" s="10" t="str">
        <f>_xlfn.XLOOKUP(D462,'Gemini Output'!B:B,'Gemini Output'!E:E,"No Match Yet")</f>
        <v>L2</v>
      </c>
      <c r="H462" s="10"/>
      <c r="I462" s="10"/>
      <c r="J462" s="10"/>
      <c r="K462" s="10"/>
      <c r="L462" s="10"/>
      <c r="M462" s="10"/>
      <c r="N462" s="10"/>
      <c r="O462" s="10"/>
    </row>
    <row r="463" spans="2:15" ht="20.25">
      <c r="B463" s="10"/>
      <c r="C463" s="14">
        <v>460</v>
      </c>
      <c r="D463" s="15" t="s">
        <v>537</v>
      </c>
      <c r="E463" s="14">
        <v>39</v>
      </c>
      <c r="F463" s="15">
        <f>_xlfn.XLOOKUP(D463,'Gemini Output'!B:B,'Gemini Output'!C:C,"No Match Yet")</f>
        <v>6</v>
      </c>
      <c r="G463" s="10" t="str">
        <f>_xlfn.XLOOKUP(D463,'Gemini Output'!B:B,'Gemini Output'!E:E,"No Match Yet")</f>
        <v>L2</v>
      </c>
      <c r="H463" s="10"/>
      <c r="I463" s="10"/>
      <c r="J463" s="10"/>
      <c r="K463" s="10"/>
      <c r="L463" s="10"/>
      <c r="M463" s="10"/>
      <c r="N463" s="10"/>
      <c r="O463" s="10"/>
    </row>
    <row r="464" spans="2:15" ht="20.25">
      <c r="B464" s="10"/>
      <c r="C464" s="14">
        <v>461</v>
      </c>
      <c r="D464" s="15" t="s">
        <v>538</v>
      </c>
      <c r="E464" s="14">
        <v>39</v>
      </c>
      <c r="F464" s="15">
        <f>_xlfn.XLOOKUP(D464,'Gemini Output'!B:B,'Gemini Output'!C:C,"No Match Yet")</f>
        <v>7</v>
      </c>
      <c r="G464" s="10" t="str">
        <f>_xlfn.XLOOKUP(D464,'Gemini Output'!B:B,'Gemini Output'!E:E,"No Match Yet")</f>
        <v>L2</v>
      </c>
      <c r="H464" s="10"/>
      <c r="I464" s="10"/>
      <c r="J464" s="10"/>
      <c r="K464" s="10"/>
      <c r="L464" s="10"/>
      <c r="M464" s="10"/>
      <c r="N464" s="10"/>
      <c r="O464" s="10"/>
    </row>
    <row r="465" spans="2:15" ht="20.25">
      <c r="B465" s="10"/>
      <c r="C465" s="14">
        <v>462</v>
      </c>
      <c r="D465" s="15" t="s">
        <v>539</v>
      </c>
      <c r="E465" s="14">
        <v>39</v>
      </c>
      <c r="F465" s="15">
        <f>_xlfn.XLOOKUP(D465,'Gemini Output'!B:B,'Gemini Output'!C:C,"No Match Yet")</f>
        <v>9</v>
      </c>
      <c r="G465" s="10" t="str">
        <f>_xlfn.XLOOKUP(D465,'Gemini Output'!B:B,'Gemini Output'!E:E,"No Match Yet")</f>
        <v>L2</v>
      </c>
      <c r="H465" s="10"/>
      <c r="I465" s="10"/>
      <c r="J465" s="10"/>
      <c r="K465" s="10"/>
      <c r="L465" s="10"/>
      <c r="M465" s="10"/>
      <c r="N465" s="10"/>
      <c r="O465" s="10"/>
    </row>
    <row r="466" spans="2:15" ht="20.25">
      <c r="B466" s="10"/>
      <c r="C466" s="14">
        <v>463</v>
      </c>
      <c r="D466" s="15" t="s">
        <v>540</v>
      </c>
      <c r="E466" s="14"/>
      <c r="F466" s="15">
        <f>_xlfn.XLOOKUP(D466,'Gemini Output'!B:B,'Gemini Output'!C:C,"No Match Yet")</f>
        <v>2</v>
      </c>
      <c r="G466" s="10" t="str">
        <f>_xlfn.XLOOKUP(D466,'Gemini Output'!B:B,'Gemini Output'!E:E,"No Match Yet")</f>
        <v>L2</v>
      </c>
      <c r="H466" s="10"/>
      <c r="I466" s="10"/>
      <c r="J466" s="10"/>
      <c r="K466" s="10"/>
      <c r="L466" s="10"/>
      <c r="M466" s="10"/>
      <c r="N466" s="10"/>
      <c r="O466" s="10"/>
    </row>
    <row r="467" spans="2:15" ht="20.25">
      <c r="B467" s="10"/>
      <c r="C467" s="14">
        <v>464</v>
      </c>
      <c r="D467" s="15" t="s">
        <v>541</v>
      </c>
      <c r="E467" s="14"/>
      <c r="F467" s="15">
        <f>_xlfn.XLOOKUP(D467,'Gemini Output'!B:B,'Gemini Output'!C:C,"No Match Yet")</f>
        <v>11</v>
      </c>
      <c r="G467" s="10" t="str">
        <f>_xlfn.XLOOKUP(D467,'Gemini Output'!B:B,'Gemini Output'!E:E,"No Match Yet")</f>
        <v>L1</v>
      </c>
      <c r="H467" s="10"/>
      <c r="I467" s="10"/>
      <c r="J467" s="10"/>
      <c r="K467" s="10"/>
      <c r="L467" s="10"/>
      <c r="M467" s="10"/>
      <c r="N467" s="10"/>
      <c r="O467" s="10"/>
    </row>
    <row r="468" spans="2:15" ht="20.25">
      <c r="B468" s="10"/>
      <c r="C468" s="14">
        <v>465</v>
      </c>
      <c r="D468" s="15" t="s">
        <v>542</v>
      </c>
      <c r="E468" s="14"/>
      <c r="F468" s="15">
        <f>_xlfn.XLOOKUP(D468,'Gemini Output'!B:B,'Gemini Output'!C:C,"No Match Yet")</f>
        <v>4</v>
      </c>
      <c r="G468" s="10" t="str">
        <f>_xlfn.XLOOKUP(D468,'Gemini Output'!B:B,'Gemini Output'!E:E,"No Match Yet")</f>
        <v>L1</v>
      </c>
      <c r="H468" s="10"/>
      <c r="I468" s="10"/>
      <c r="J468" s="10"/>
      <c r="K468" s="10"/>
      <c r="L468" s="10"/>
      <c r="M468" s="10"/>
      <c r="N468" s="10"/>
      <c r="O468" s="10"/>
    </row>
    <row r="469" spans="2:15" ht="20.25">
      <c r="B469" s="10"/>
      <c r="C469" s="14">
        <v>466</v>
      </c>
      <c r="D469" s="15" t="s">
        <v>543</v>
      </c>
      <c r="E469" s="14"/>
      <c r="F469" s="15">
        <f>_xlfn.XLOOKUP(D469,'Gemini Output'!B:B,'Gemini Output'!C:C,"No Match Yet")</f>
        <v>9</v>
      </c>
      <c r="G469" s="10" t="str">
        <f>_xlfn.XLOOKUP(D469,'Gemini Output'!B:B,'Gemini Output'!E:E,"No Match Yet")</f>
        <v>L2</v>
      </c>
      <c r="H469" s="10"/>
      <c r="I469" s="10"/>
      <c r="J469" s="10"/>
      <c r="K469" s="10"/>
      <c r="L469" s="10"/>
      <c r="M469" s="10"/>
      <c r="N469" s="10"/>
      <c r="O469" s="10"/>
    </row>
    <row r="470" spans="2:15" ht="20.25">
      <c r="B470" s="10"/>
      <c r="C470" s="14">
        <v>467</v>
      </c>
      <c r="D470" s="15" t="s">
        <v>544</v>
      </c>
      <c r="E470" s="14">
        <v>38</v>
      </c>
      <c r="F470" s="15">
        <f>_xlfn.XLOOKUP(D470,'Gemini Output'!B:B,'Gemini Output'!C:C,"No Match Yet")</f>
        <v>7</v>
      </c>
      <c r="G470" s="10" t="str">
        <f>_xlfn.XLOOKUP(D470,'Gemini Output'!B:B,'Gemini Output'!E:E,"No Match Yet")</f>
        <v>L1</v>
      </c>
      <c r="H470" s="10"/>
      <c r="I470" s="10"/>
      <c r="J470" s="10"/>
      <c r="K470" s="10"/>
      <c r="L470" s="10"/>
      <c r="M470" s="10"/>
      <c r="N470" s="10"/>
      <c r="O470" s="10"/>
    </row>
    <row r="471" spans="2:15" ht="20.25">
      <c r="B471" s="10"/>
      <c r="C471" s="14">
        <v>468</v>
      </c>
      <c r="D471" s="15" t="s">
        <v>545</v>
      </c>
      <c r="E471" s="14">
        <v>38</v>
      </c>
      <c r="F471" s="15">
        <f>_xlfn.XLOOKUP(D471,'Gemini Output'!B:B,'Gemini Output'!C:C,"No Match Yet")</f>
        <v>1</v>
      </c>
      <c r="G471" s="10" t="str">
        <f>_xlfn.XLOOKUP(D471,'Gemini Output'!B:B,'Gemini Output'!E:E,"No Match Yet")</f>
        <v>L2</v>
      </c>
      <c r="H471" s="10"/>
      <c r="I471" s="10"/>
      <c r="J471" s="10"/>
      <c r="K471" s="10"/>
      <c r="L471" s="10"/>
      <c r="M471" s="10"/>
      <c r="N471" s="10"/>
      <c r="O471" s="10"/>
    </row>
    <row r="472" spans="2:15" ht="20.25">
      <c r="B472" s="10"/>
      <c r="C472" s="14">
        <v>469</v>
      </c>
      <c r="D472" s="15" t="s">
        <v>546</v>
      </c>
      <c r="E472" s="14">
        <v>38</v>
      </c>
      <c r="F472" s="15">
        <f>_xlfn.XLOOKUP(D472,'Gemini Output'!B:B,'Gemini Output'!C:C,"No Match Yet")</f>
        <v>10</v>
      </c>
      <c r="G472" s="10" t="str">
        <f>_xlfn.XLOOKUP(D472,'Gemini Output'!B:B,'Gemini Output'!E:E,"No Match Yet")</f>
        <v>L1</v>
      </c>
      <c r="H472" s="10"/>
      <c r="I472" s="10"/>
      <c r="J472" s="10"/>
      <c r="K472" s="10"/>
      <c r="L472" s="10"/>
      <c r="M472" s="10"/>
      <c r="N472" s="10"/>
      <c r="O472" s="10"/>
    </row>
    <row r="473" spans="2:15" ht="20.25">
      <c r="B473" s="10"/>
      <c r="C473" s="14">
        <v>470</v>
      </c>
      <c r="D473" s="15" t="s">
        <v>547</v>
      </c>
      <c r="E473" s="14">
        <v>38</v>
      </c>
      <c r="F473" s="15">
        <f>_xlfn.XLOOKUP(D473,'Gemini Output'!B:B,'Gemini Output'!C:C,"No Match Yet")</f>
        <v>10</v>
      </c>
      <c r="G473" s="10" t="str">
        <f>_xlfn.XLOOKUP(D473,'Gemini Output'!B:B,'Gemini Output'!E:E,"No Match Yet")</f>
        <v>L1</v>
      </c>
      <c r="H473" s="10"/>
      <c r="I473" s="10"/>
      <c r="J473" s="10"/>
      <c r="K473" s="10"/>
      <c r="L473" s="10"/>
      <c r="M473" s="10"/>
      <c r="N473" s="10"/>
      <c r="O473" s="10"/>
    </row>
    <row r="474" spans="2:15" ht="20.25">
      <c r="B474" s="10"/>
      <c r="C474" s="14">
        <v>471</v>
      </c>
      <c r="D474" s="15" t="s">
        <v>548</v>
      </c>
      <c r="E474" s="14">
        <v>38</v>
      </c>
      <c r="F474" s="15">
        <f>_xlfn.XLOOKUP(D474,'Gemini Output'!B:B,'Gemini Output'!C:C,"No Match Yet")</f>
        <v>13</v>
      </c>
      <c r="G474" s="10" t="str">
        <f>_xlfn.XLOOKUP(D474,'Gemini Output'!B:B,'Gemini Output'!E:E,"No Match Yet")</f>
        <v>L2</v>
      </c>
      <c r="H474" s="10"/>
      <c r="I474" s="10"/>
      <c r="J474" s="10"/>
      <c r="K474" s="10"/>
      <c r="L474" s="10"/>
      <c r="M474" s="10"/>
      <c r="N474" s="10"/>
      <c r="O474" s="10"/>
    </row>
    <row r="475" spans="2:15" ht="20.25">
      <c r="B475" s="10"/>
      <c r="C475" s="14">
        <v>472</v>
      </c>
      <c r="D475" s="15" t="s">
        <v>549</v>
      </c>
      <c r="E475" s="14">
        <v>38</v>
      </c>
      <c r="F475" s="15">
        <f>_xlfn.XLOOKUP(D475,'Gemini Output'!B:B,'Gemini Output'!C:C,"No Match Yet")</f>
        <v>4</v>
      </c>
      <c r="G475" s="10" t="str">
        <f>_xlfn.XLOOKUP(D475,'Gemini Output'!B:B,'Gemini Output'!E:E,"No Match Yet")</f>
        <v>L2</v>
      </c>
      <c r="H475" s="10"/>
      <c r="I475" s="10"/>
      <c r="J475" s="10"/>
      <c r="K475" s="10"/>
      <c r="L475" s="10"/>
      <c r="M475" s="10"/>
      <c r="N475" s="10"/>
      <c r="O475" s="10"/>
    </row>
    <row r="476" spans="2:15" ht="20.25">
      <c r="B476" s="10"/>
      <c r="C476" s="14">
        <v>473</v>
      </c>
      <c r="D476" s="15" t="s">
        <v>550</v>
      </c>
      <c r="E476" s="14">
        <v>38</v>
      </c>
      <c r="F476" s="15">
        <f>_xlfn.XLOOKUP(D476,'Gemini Output'!B:B,'Gemini Output'!C:C,"No Match Yet")</f>
        <v>1</v>
      </c>
      <c r="G476" s="10" t="str">
        <f>_xlfn.XLOOKUP(D476,'Gemini Output'!B:B,'Gemini Output'!E:E,"No Match Yet")</f>
        <v>L2</v>
      </c>
      <c r="H476" s="10"/>
      <c r="I476" s="10"/>
      <c r="J476" s="10"/>
      <c r="K476" s="10"/>
      <c r="L476" s="10"/>
      <c r="M476" s="10"/>
      <c r="N476" s="10"/>
      <c r="O476" s="10"/>
    </row>
    <row r="477" spans="2:15" ht="20.25">
      <c r="B477" s="10"/>
      <c r="C477" s="14">
        <v>474</v>
      </c>
      <c r="D477" s="15" t="s">
        <v>551</v>
      </c>
      <c r="E477" s="14">
        <v>38</v>
      </c>
      <c r="F477" s="15">
        <f>_xlfn.XLOOKUP(D477,'Gemini Output'!B:B,'Gemini Output'!C:C,"No Match Yet")</f>
        <v>5</v>
      </c>
      <c r="G477" s="10" t="str">
        <f>_xlfn.XLOOKUP(D477,'Gemini Output'!B:B,'Gemini Output'!E:E,"No Match Yet")</f>
        <v>L2</v>
      </c>
      <c r="H477" s="10"/>
      <c r="I477" s="10"/>
      <c r="J477" s="10"/>
      <c r="K477" s="10"/>
      <c r="L477" s="10"/>
      <c r="M477" s="10"/>
      <c r="N477" s="10"/>
      <c r="O477" s="10"/>
    </row>
    <row r="478" spans="2:15" ht="20.25">
      <c r="B478" s="10"/>
      <c r="C478" s="14">
        <v>475</v>
      </c>
      <c r="D478" s="15" t="s">
        <v>552</v>
      </c>
      <c r="E478" s="14">
        <v>38</v>
      </c>
      <c r="F478" s="15">
        <f>_xlfn.XLOOKUP(D478,'Gemini Output'!B:B,'Gemini Output'!C:C,"No Match Yet")</f>
        <v>12</v>
      </c>
      <c r="G478" s="10" t="str">
        <f>_xlfn.XLOOKUP(D478,'Gemini Output'!B:B,'Gemini Output'!E:E,"No Match Yet")</f>
        <v>L1</v>
      </c>
      <c r="H478" s="10"/>
      <c r="I478" s="10"/>
      <c r="J478" s="10"/>
      <c r="K478" s="10"/>
      <c r="L478" s="10"/>
      <c r="M478" s="10"/>
      <c r="N478" s="10"/>
      <c r="O478" s="10"/>
    </row>
    <row r="479" spans="2:15" ht="20.25">
      <c r="B479" s="10"/>
      <c r="C479" s="14">
        <v>476</v>
      </c>
      <c r="D479" s="15" t="s">
        <v>553</v>
      </c>
      <c r="E479" s="14">
        <v>38</v>
      </c>
      <c r="F479" s="15">
        <f>_xlfn.XLOOKUP(D479,'Gemini Output'!B:B,'Gemini Output'!C:C,"No Match Yet")</f>
        <v>6</v>
      </c>
      <c r="G479" s="10" t="str">
        <f>_xlfn.XLOOKUP(D479,'Gemini Output'!B:B,'Gemini Output'!E:E,"No Match Yet")</f>
        <v>L2</v>
      </c>
      <c r="H479" s="10"/>
      <c r="I479" s="10"/>
      <c r="J479" s="10"/>
      <c r="K479" s="10"/>
      <c r="L479" s="10"/>
      <c r="M479" s="10"/>
      <c r="N479" s="10"/>
      <c r="O479" s="10"/>
    </row>
    <row r="480" spans="2:15" ht="20.25">
      <c r="B480" s="10"/>
      <c r="C480" s="14">
        <v>477</v>
      </c>
      <c r="D480" s="15" t="s">
        <v>554</v>
      </c>
      <c r="E480" s="14">
        <v>38</v>
      </c>
      <c r="F480" s="15">
        <f>_xlfn.XLOOKUP(D480,'Gemini Output'!B:B,'Gemini Output'!C:C,"No Match Yet")</f>
        <v>6</v>
      </c>
      <c r="G480" s="10" t="str">
        <f>_xlfn.XLOOKUP(D480,'Gemini Output'!B:B,'Gemini Output'!E:E,"No Match Yet")</f>
        <v>L1</v>
      </c>
      <c r="H480" s="10"/>
      <c r="I480" s="10"/>
      <c r="J480" s="10"/>
      <c r="K480" s="10"/>
      <c r="L480" s="10"/>
      <c r="M480" s="10"/>
      <c r="N480" s="10"/>
      <c r="O480" s="10"/>
    </row>
    <row r="481" spans="2:15" ht="20.25">
      <c r="B481" s="10"/>
      <c r="C481" s="14">
        <v>478</v>
      </c>
      <c r="D481" s="15" t="s">
        <v>555</v>
      </c>
      <c r="E481" s="14">
        <v>38</v>
      </c>
      <c r="F481" s="15">
        <f>_xlfn.XLOOKUP(D481,'Gemini Output'!B:B,'Gemini Output'!C:C,"No Match Yet")</f>
        <v>11</v>
      </c>
      <c r="G481" s="10" t="str">
        <f>_xlfn.XLOOKUP(D481,'Gemini Output'!B:B,'Gemini Output'!E:E,"No Match Yet")</f>
        <v>L2</v>
      </c>
      <c r="H481" s="10"/>
      <c r="I481" s="10"/>
      <c r="J481" s="10"/>
      <c r="K481" s="10"/>
      <c r="L481" s="10"/>
      <c r="M481" s="10"/>
      <c r="N481" s="10"/>
      <c r="O481" s="10"/>
    </row>
    <row r="482" spans="2:15" ht="20.25">
      <c r="B482" s="10"/>
      <c r="C482" s="14">
        <v>479</v>
      </c>
      <c r="D482" s="15" t="s">
        <v>556</v>
      </c>
      <c r="E482" s="14">
        <v>38</v>
      </c>
      <c r="F482" s="15">
        <f>_xlfn.XLOOKUP(D482,'Gemini Output'!B:B,'Gemini Output'!C:C,"No Match Yet")</f>
        <v>1</v>
      </c>
      <c r="G482" s="10" t="str">
        <f>_xlfn.XLOOKUP(D482,'Gemini Output'!B:B,'Gemini Output'!E:E,"No Match Yet")</f>
        <v>L1</v>
      </c>
      <c r="H482" s="10"/>
      <c r="I482" s="10"/>
      <c r="J482" s="10"/>
      <c r="K482" s="10"/>
      <c r="L482" s="10"/>
      <c r="M482" s="10"/>
      <c r="N482" s="10"/>
      <c r="O482" s="10"/>
    </row>
    <row r="483" spans="2:15" ht="20.25">
      <c r="B483" s="10"/>
      <c r="C483" s="14">
        <v>480</v>
      </c>
      <c r="D483" s="15" t="s">
        <v>557</v>
      </c>
      <c r="E483" s="14">
        <v>38</v>
      </c>
      <c r="F483" s="15">
        <f>_xlfn.XLOOKUP(D483,'Gemini Output'!B:B,'Gemini Output'!C:C,"No Match Yet")</f>
        <v>12</v>
      </c>
      <c r="G483" s="10" t="str">
        <f>_xlfn.XLOOKUP(D483,'Gemini Output'!B:B,'Gemini Output'!E:E,"No Match Yet")</f>
        <v>L2</v>
      </c>
      <c r="H483" s="10"/>
      <c r="I483" s="10"/>
      <c r="J483" s="10"/>
      <c r="K483" s="10"/>
      <c r="L483" s="10"/>
      <c r="M483" s="10"/>
      <c r="N483" s="10"/>
      <c r="O483" s="10"/>
    </row>
    <row r="484" spans="2:15" ht="20.25">
      <c r="B484" s="10"/>
      <c r="C484" s="14">
        <v>481</v>
      </c>
      <c r="D484" s="15" t="s">
        <v>558</v>
      </c>
      <c r="E484" s="14">
        <v>38</v>
      </c>
      <c r="F484" s="15">
        <f>_xlfn.XLOOKUP(D484,'Gemini Output'!B:B,'Gemini Output'!C:C,"No Match Yet")</f>
        <v>9</v>
      </c>
      <c r="G484" s="10" t="str">
        <f>_xlfn.XLOOKUP(D484,'Gemini Output'!B:B,'Gemini Output'!E:E,"No Match Yet")</f>
        <v>L2</v>
      </c>
      <c r="H484" s="10"/>
      <c r="I484" s="10"/>
      <c r="J484" s="10"/>
      <c r="K484" s="10"/>
      <c r="L484" s="10"/>
      <c r="M484" s="10"/>
      <c r="N484" s="10"/>
      <c r="O484" s="10"/>
    </row>
    <row r="485" spans="2:15" ht="20.25">
      <c r="B485" s="10"/>
      <c r="C485" s="14">
        <v>482</v>
      </c>
      <c r="D485" s="15" t="s">
        <v>559</v>
      </c>
      <c r="E485" s="14">
        <v>38</v>
      </c>
      <c r="F485" s="15">
        <f>_xlfn.XLOOKUP(D485,'Gemini Output'!B:B,'Gemini Output'!C:C,"No Match Yet")</f>
        <v>15</v>
      </c>
      <c r="G485" s="10" t="str">
        <f>_xlfn.XLOOKUP(D485,'Gemini Output'!B:B,'Gemini Output'!E:E,"No Match Yet")</f>
        <v>L1</v>
      </c>
      <c r="H485" s="10"/>
      <c r="I485" s="10"/>
      <c r="J485" s="10"/>
      <c r="K485" s="10"/>
      <c r="L485" s="10"/>
      <c r="M485" s="10"/>
      <c r="N485" s="10"/>
      <c r="O485" s="10"/>
    </row>
    <row r="486" spans="2:15" ht="20.25">
      <c r="B486" s="10"/>
      <c r="C486" s="14">
        <v>483</v>
      </c>
      <c r="D486" s="15" t="s">
        <v>560</v>
      </c>
      <c r="E486" s="14">
        <v>38</v>
      </c>
      <c r="F486" s="15">
        <f>_xlfn.XLOOKUP(D486,'Gemini Output'!B:B,'Gemini Output'!C:C,"No Match Yet")</f>
        <v>12</v>
      </c>
      <c r="G486" s="10" t="str">
        <f>_xlfn.XLOOKUP(D486,'Gemini Output'!B:B,'Gemini Output'!E:E,"No Match Yet")</f>
        <v>L1</v>
      </c>
      <c r="H486" s="10"/>
      <c r="I486" s="10"/>
      <c r="J486" s="10"/>
      <c r="K486" s="10"/>
      <c r="L486" s="10"/>
      <c r="M486" s="10"/>
      <c r="N486" s="10"/>
      <c r="O486" s="10"/>
    </row>
    <row r="487" spans="2:15" ht="20.25">
      <c r="B487" s="10"/>
      <c r="C487" s="14">
        <v>484</v>
      </c>
      <c r="D487" s="15" t="s">
        <v>561</v>
      </c>
      <c r="E487" s="14"/>
      <c r="F487" s="15">
        <f>_xlfn.XLOOKUP(D487,'Gemini Output'!B:B,'Gemini Output'!C:C,"No Match Yet")</f>
        <v>3</v>
      </c>
      <c r="G487" s="10" t="str">
        <f>_xlfn.XLOOKUP(D487,'Gemini Output'!B:B,'Gemini Output'!E:E,"No Match Yet")</f>
        <v>L1</v>
      </c>
      <c r="H487" s="10"/>
      <c r="I487" s="10"/>
      <c r="J487" s="10"/>
      <c r="K487" s="10"/>
      <c r="L487" s="10"/>
      <c r="M487" s="10"/>
      <c r="N487" s="10"/>
      <c r="O487" s="10"/>
    </row>
    <row r="488" spans="2:15" ht="20.25">
      <c r="B488" s="10"/>
      <c r="C488" s="14">
        <v>485</v>
      </c>
      <c r="D488" s="15" t="s">
        <v>562</v>
      </c>
      <c r="E488" s="14"/>
      <c r="F488" s="15">
        <f>_xlfn.XLOOKUP(D488,'Gemini Output'!B:B,'Gemini Output'!C:C,"No Match Yet")</f>
        <v>9</v>
      </c>
      <c r="G488" s="10" t="str">
        <f>_xlfn.XLOOKUP(D488,'Gemini Output'!B:B,'Gemini Output'!E:E,"No Match Yet")</f>
        <v>L1</v>
      </c>
      <c r="H488" s="10"/>
      <c r="I488" s="10"/>
      <c r="J488" s="10"/>
      <c r="K488" s="10"/>
      <c r="L488" s="10"/>
      <c r="M488" s="10"/>
      <c r="N488" s="10"/>
      <c r="O488" s="10"/>
    </row>
    <row r="489" spans="2:15" ht="20.25">
      <c r="B489" s="10"/>
      <c r="C489" s="14">
        <v>486</v>
      </c>
      <c r="D489" s="15" t="s">
        <v>563</v>
      </c>
      <c r="E489" s="14"/>
      <c r="F489" s="15">
        <f>_xlfn.XLOOKUP(D489,'Gemini Output'!B:B,'Gemini Output'!C:C,"No Match Yet")</f>
        <v>2</v>
      </c>
      <c r="G489" s="10" t="str">
        <f>_xlfn.XLOOKUP(D489,'Gemini Output'!B:B,'Gemini Output'!E:E,"No Match Yet")</f>
        <v>L2</v>
      </c>
      <c r="H489" s="10"/>
      <c r="I489" s="10"/>
      <c r="J489" s="10"/>
      <c r="K489" s="10"/>
      <c r="L489" s="10"/>
      <c r="M489" s="10"/>
      <c r="N489" s="10"/>
      <c r="O489" s="10"/>
    </row>
    <row r="490" spans="2:15" ht="20.25">
      <c r="B490" s="10"/>
      <c r="C490" s="14">
        <v>487</v>
      </c>
      <c r="D490" s="15" t="s">
        <v>564</v>
      </c>
      <c r="E490" s="14">
        <v>37</v>
      </c>
      <c r="F490" s="15">
        <f>_xlfn.XLOOKUP(D490,'Gemini Output'!B:B,'Gemini Output'!C:C,"No Match Yet")</f>
        <v>12</v>
      </c>
      <c r="G490" s="10" t="str">
        <f>_xlfn.XLOOKUP(D490,'Gemini Output'!B:B,'Gemini Output'!E:E,"No Match Yet")</f>
        <v>L2</v>
      </c>
      <c r="H490" s="10"/>
      <c r="I490" s="10"/>
      <c r="J490" s="10"/>
      <c r="K490" s="10"/>
      <c r="L490" s="10"/>
      <c r="M490" s="10"/>
      <c r="N490" s="10"/>
      <c r="O490" s="10"/>
    </row>
    <row r="491" spans="2:15" ht="20.25">
      <c r="B491" s="10"/>
      <c r="C491" s="14">
        <v>488</v>
      </c>
      <c r="D491" s="15" t="s">
        <v>565</v>
      </c>
      <c r="E491" s="14">
        <v>37</v>
      </c>
      <c r="F491" s="15">
        <f>_xlfn.XLOOKUP(D491,'Gemini Output'!B:B,'Gemini Output'!C:C,"No Match Yet")</f>
        <v>13</v>
      </c>
      <c r="G491" s="10" t="str">
        <f>_xlfn.XLOOKUP(D491,'Gemini Output'!B:B,'Gemini Output'!E:E,"No Match Yet")</f>
        <v>L1</v>
      </c>
      <c r="H491" s="10"/>
      <c r="I491" s="10"/>
      <c r="J491" s="10"/>
      <c r="K491" s="10"/>
      <c r="L491" s="10"/>
      <c r="M491" s="10"/>
      <c r="N491" s="10"/>
      <c r="O491" s="10"/>
    </row>
    <row r="492" spans="2:15" ht="20.25">
      <c r="B492" s="10"/>
      <c r="C492" s="14">
        <v>489</v>
      </c>
      <c r="D492" s="15" t="s">
        <v>566</v>
      </c>
      <c r="E492" s="14">
        <v>37</v>
      </c>
      <c r="F492" s="15">
        <f>_xlfn.XLOOKUP(D492,'Gemini Output'!B:B,'Gemini Output'!C:C,"No Match Yet")</f>
        <v>8</v>
      </c>
      <c r="G492" s="10" t="str">
        <f>_xlfn.XLOOKUP(D492,'Gemini Output'!B:B,'Gemini Output'!E:E,"No Match Yet")</f>
        <v>L2</v>
      </c>
      <c r="H492" s="10"/>
      <c r="I492" s="10"/>
      <c r="J492" s="10"/>
      <c r="K492" s="10"/>
      <c r="L492" s="10"/>
      <c r="M492" s="10"/>
      <c r="N492" s="10"/>
      <c r="O492" s="10"/>
    </row>
    <row r="493" spans="2:15" ht="20.25">
      <c r="B493" s="10"/>
      <c r="C493" s="14">
        <v>490</v>
      </c>
      <c r="D493" s="15" t="s">
        <v>567</v>
      </c>
      <c r="E493" s="14">
        <v>37</v>
      </c>
      <c r="F493" s="15">
        <f>_xlfn.XLOOKUP(D493,'Gemini Output'!B:B,'Gemini Output'!C:C,"No Match Yet")</f>
        <v>13</v>
      </c>
      <c r="G493" s="10" t="str">
        <f>_xlfn.XLOOKUP(D493,'Gemini Output'!B:B,'Gemini Output'!E:E,"No Match Yet")</f>
        <v>L1</v>
      </c>
      <c r="H493" s="10"/>
      <c r="I493" s="10"/>
      <c r="J493" s="10"/>
      <c r="K493" s="10"/>
      <c r="L493" s="10"/>
      <c r="M493" s="10"/>
      <c r="N493" s="10"/>
      <c r="O493" s="10"/>
    </row>
    <row r="494" spans="2:15" ht="20.25">
      <c r="B494" s="10"/>
      <c r="C494" s="14">
        <v>491</v>
      </c>
      <c r="D494" s="15" t="s">
        <v>568</v>
      </c>
      <c r="E494" s="14">
        <v>37</v>
      </c>
      <c r="F494" s="15">
        <f>_xlfn.XLOOKUP(D494,'Gemini Output'!B:B,'Gemini Output'!C:C,"No Match Yet")</f>
        <v>3</v>
      </c>
      <c r="G494" s="10" t="str">
        <f>_xlfn.XLOOKUP(D494,'Gemini Output'!B:B,'Gemini Output'!E:E,"No Match Yet")</f>
        <v>L2</v>
      </c>
      <c r="H494" s="10"/>
      <c r="I494" s="10"/>
      <c r="J494" s="10"/>
      <c r="K494" s="10"/>
      <c r="L494" s="10"/>
      <c r="M494" s="10"/>
      <c r="N494" s="10"/>
      <c r="O494" s="10"/>
    </row>
    <row r="495" spans="2:15" ht="20.25">
      <c r="B495" s="10"/>
      <c r="C495" s="14">
        <v>492</v>
      </c>
      <c r="D495" s="15" t="s">
        <v>569</v>
      </c>
      <c r="E495" s="14">
        <v>37</v>
      </c>
      <c r="F495" s="15">
        <f>_xlfn.XLOOKUP(D495,'Gemini Output'!B:B,'Gemini Output'!C:C,"No Match Yet")</f>
        <v>6</v>
      </c>
      <c r="G495" s="10" t="str">
        <f>_xlfn.XLOOKUP(D495,'Gemini Output'!B:B,'Gemini Output'!E:E,"No Match Yet")</f>
        <v>L2</v>
      </c>
      <c r="H495" s="10"/>
      <c r="I495" s="10"/>
      <c r="J495" s="10"/>
      <c r="K495" s="10"/>
      <c r="L495" s="10"/>
      <c r="M495" s="10"/>
      <c r="N495" s="10"/>
      <c r="O495" s="10"/>
    </row>
    <row r="496" spans="2:15" ht="20.25">
      <c r="B496" s="10"/>
      <c r="C496" s="14">
        <v>493</v>
      </c>
      <c r="D496" s="15" t="s">
        <v>570</v>
      </c>
      <c r="E496" s="14">
        <v>37</v>
      </c>
      <c r="F496" s="15">
        <f>_xlfn.XLOOKUP(D496,'Gemini Output'!B:B,'Gemini Output'!C:C,"No Match Yet")</f>
        <v>6</v>
      </c>
      <c r="G496" s="10" t="str">
        <f>_xlfn.XLOOKUP(D496,'Gemini Output'!B:B,'Gemini Output'!E:E,"No Match Yet")</f>
        <v>L2</v>
      </c>
      <c r="H496" s="10"/>
      <c r="I496" s="10"/>
      <c r="J496" s="10"/>
      <c r="K496" s="10"/>
      <c r="L496" s="10"/>
      <c r="M496" s="10"/>
      <c r="N496" s="10"/>
      <c r="O496" s="10"/>
    </row>
    <row r="497" spans="2:15" ht="20.25">
      <c r="B497" s="10"/>
      <c r="C497" s="14">
        <v>494</v>
      </c>
      <c r="D497" s="15" t="s">
        <v>571</v>
      </c>
      <c r="E497" s="14">
        <v>37</v>
      </c>
      <c r="F497" s="15">
        <f>_xlfn.XLOOKUP(D497,'Gemini Output'!B:B,'Gemini Output'!C:C,"No Match Yet")</f>
        <v>12</v>
      </c>
      <c r="G497" s="10" t="str">
        <f>_xlfn.XLOOKUP(D497,'Gemini Output'!B:B,'Gemini Output'!E:E,"No Match Yet")</f>
        <v>L2</v>
      </c>
      <c r="H497" s="10"/>
      <c r="I497" s="10"/>
      <c r="J497" s="10"/>
      <c r="K497" s="10"/>
      <c r="L497" s="10"/>
      <c r="M497" s="10"/>
      <c r="N497" s="10"/>
      <c r="O497" s="10"/>
    </row>
    <row r="498" spans="2:15" ht="20.25">
      <c r="B498" s="10"/>
      <c r="C498" s="14">
        <v>495</v>
      </c>
      <c r="D498" s="15" t="s">
        <v>572</v>
      </c>
      <c r="E498" s="14">
        <v>37</v>
      </c>
      <c r="F498" s="15">
        <f>_xlfn.XLOOKUP(D498,'Gemini Output'!B:B,'Gemini Output'!C:C,"No Match Yet")</f>
        <v>2</v>
      </c>
      <c r="G498" s="10" t="str">
        <f>_xlfn.XLOOKUP(D498,'Gemini Output'!B:B,'Gemini Output'!E:E,"No Match Yet")</f>
        <v>L2</v>
      </c>
      <c r="H498" s="10"/>
      <c r="I498" s="10"/>
      <c r="J498" s="10"/>
      <c r="K498" s="10"/>
      <c r="L498" s="10"/>
      <c r="M498" s="10"/>
      <c r="N498" s="10"/>
      <c r="O498" s="10"/>
    </row>
    <row r="499" spans="2:15" ht="20.25">
      <c r="B499" s="10"/>
      <c r="C499" s="14">
        <v>496</v>
      </c>
      <c r="D499" s="15" t="s">
        <v>573</v>
      </c>
      <c r="E499" s="14">
        <v>37</v>
      </c>
      <c r="F499" s="15">
        <f>_xlfn.XLOOKUP(D499,'Gemini Output'!B:B,'Gemini Output'!C:C,"No Match Yet")</f>
        <v>12</v>
      </c>
      <c r="G499" s="10" t="str">
        <f>_xlfn.XLOOKUP(D499,'Gemini Output'!B:B,'Gemini Output'!E:E,"No Match Yet")</f>
        <v>L2</v>
      </c>
      <c r="H499" s="10"/>
      <c r="I499" s="10"/>
      <c r="J499" s="10"/>
      <c r="K499" s="10"/>
      <c r="L499" s="10"/>
      <c r="M499" s="10"/>
      <c r="N499" s="10"/>
      <c r="O499" s="10"/>
    </row>
    <row r="500" spans="2:15" ht="20.25">
      <c r="B500" s="10"/>
      <c r="C500" s="14">
        <v>497</v>
      </c>
      <c r="D500" s="15" t="s">
        <v>574</v>
      </c>
      <c r="E500" s="14">
        <v>37</v>
      </c>
      <c r="F500" s="15">
        <f>_xlfn.XLOOKUP(D500,'Gemini Output'!B:B,'Gemini Output'!C:C,"No Match Yet")</f>
        <v>1</v>
      </c>
      <c r="G500" s="10" t="str">
        <f>_xlfn.XLOOKUP(D500,'Gemini Output'!B:B,'Gemini Output'!E:E,"No Match Yet")</f>
        <v>L2</v>
      </c>
      <c r="H500" s="10"/>
      <c r="I500" s="10"/>
      <c r="J500" s="10"/>
      <c r="K500" s="10"/>
      <c r="L500" s="10"/>
      <c r="M500" s="10"/>
      <c r="N500" s="10"/>
      <c r="O500" s="10"/>
    </row>
    <row r="501" spans="2:15" ht="20.25">
      <c r="B501" s="10"/>
      <c r="C501" s="14">
        <v>498</v>
      </c>
      <c r="D501" s="15" t="s">
        <v>575</v>
      </c>
      <c r="E501" s="14">
        <v>37</v>
      </c>
      <c r="F501" s="15">
        <f>_xlfn.XLOOKUP(D501,'Gemini Output'!B:B,'Gemini Output'!C:C,"No Match Yet")</f>
        <v>4</v>
      </c>
      <c r="G501" s="10" t="str">
        <f>_xlfn.XLOOKUP(D501,'Gemini Output'!B:B,'Gemini Output'!E:E,"No Match Yet")</f>
        <v>L2</v>
      </c>
      <c r="H501" s="10"/>
      <c r="I501" s="10"/>
      <c r="J501" s="10"/>
      <c r="K501" s="10"/>
      <c r="L501" s="10"/>
      <c r="M501" s="10"/>
      <c r="N501" s="10"/>
      <c r="O501" s="10"/>
    </row>
    <row r="502" spans="2:15" ht="20.25">
      <c r="B502" s="10"/>
      <c r="C502" s="14">
        <v>499</v>
      </c>
      <c r="D502" s="15" t="s">
        <v>576</v>
      </c>
      <c r="E502" s="14">
        <v>37</v>
      </c>
      <c r="F502" s="15">
        <f>_xlfn.XLOOKUP(D502,'Gemini Output'!B:B,'Gemini Output'!C:C,"No Match Yet")</f>
        <v>3</v>
      </c>
      <c r="G502" s="10" t="str">
        <f>_xlfn.XLOOKUP(D502,'Gemini Output'!B:B,'Gemini Output'!E:E,"No Match Yet")</f>
        <v>L2</v>
      </c>
      <c r="H502" s="10"/>
      <c r="I502" s="10"/>
      <c r="J502" s="10"/>
      <c r="K502" s="10"/>
      <c r="L502" s="10"/>
      <c r="M502" s="10"/>
      <c r="N502" s="10"/>
      <c r="O502" s="10"/>
    </row>
    <row r="503" spans="2:15" ht="20.25">
      <c r="B503" s="10"/>
      <c r="C503" s="14">
        <v>500</v>
      </c>
      <c r="D503" s="15" t="s">
        <v>577</v>
      </c>
      <c r="E503" s="14"/>
      <c r="F503" s="15">
        <f>_xlfn.XLOOKUP(D503,'Gemini Output'!B:B,'Gemini Output'!C:C,"No Match Yet")</f>
        <v>12</v>
      </c>
      <c r="G503" s="10" t="str">
        <f>_xlfn.XLOOKUP(D503,'Gemini Output'!B:B,'Gemini Output'!E:E,"No Match Yet")</f>
        <v>L2</v>
      </c>
      <c r="H503" s="10"/>
      <c r="I503" s="10"/>
      <c r="J503" s="10"/>
      <c r="K503" s="10"/>
      <c r="L503" s="10"/>
      <c r="M503" s="10"/>
      <c r="N503" s="10"/>
      <c r="O503" s="10"/>
    </row>
    <row r="504" spans="2:15" ht="20.25">
      <c r="B504" s="10"/>
      <c r="C504" s="14">
        <v>501</v>
      </c>
      <c r="D504" s="15" t="s">
        <v>578</v>
      </c>
      <c r="E504" s="14"/>
      <c r="F504" s="15">
        <f>_xlfn.XLOOKUP(D504,'Gemini Output'!B:B,'Gemini Output'!C:C,"No Match Yet")</f>
        <v>10</v>
      </c>
      <c r="G504" s="10" t="str">
        <f>_xlfn.XLOOKUP(D504,'Gemini Output'!B:B,'Gemini Output'!E:E,"No Match Yet")</f>
        <v>L1</v>
      </c>
      <c r="H504" s="10"/>
      <c r="I504" s="10"/>
      <c r="J504" s="10"/>
      <c r="K504" s="10"/>
      <c r="L504" s="10"/>
      <c r="M504" s="10"/>
      <c r="N504" s="10"/>
      <c r="O504" s="10"/>
    </row>
    <row r="505" spans="2:15" ht="20.25">
      <c r="B505" s="10"/>
      <c r="C505" s="14">
        <v>502</v>
      </c>
      <c r="D505" s="15" t="s">
        <v>579</v>
      </c>
      <c r="E505" s="14">
        <v>36</v>
      </c>
      <c r="F505" s="15">
        <f>_xlfn.XLOOKUP(D505,'Gemini Output'!B:B,'Gemini Output'!C:C,"No Match Yet")</f>
        <v>12</v>
      </c>
      <c r="G505" s="10" t="str">
        <f>_xlfn.XLOOKUP(D505,'Gemini Output'!B:B,'Gemini Output'!E:E,"No Match Yet")</f>
        <v>L1</v>
      </c>
      <c r="H505" s="10"/>
      <c r="I505" s="10"/>
      <c r="J505" s="10"/>
      <c r="K505" s="10"/>
      <c r="L505" s="10"/>
      <c r="M505" s="10"/>
      <c r="N505" s="10"/>
      <c r="O505" s="10"/>
    </row>
    <row r="506" spans="2:15" ht="20.25">
      <c r="B506" s="10"/>
      <c r="C506" s="14">
        <v>503</v>
      </c>
      <c r="D506" s="15" t="s">
        <v>580</v>
      </c>
      <c r="E506" s="14">
        <v>36</v>
      </c>
      <c r="F506" s="15">
        <f>_xlfn.XLOOKUP(D506,'Gemini Output'!B:B,'Gemini Output'!C:C,"No Match Yet")</f>
        <v>3</v>
      </c>
      <c r="G506" s="10" t="str">
        <f>_xlfn.XLOOKUP(D506,'Gemini Output'!B:B,'Gemini Output'!E:E,"No Match Yet")</f>
        <v>L2</v>
      </c>
      <c r="H506" s="10"/>
      <c r="I506" s="10"/>
      <c r="J506" s="10"/>
      <c r="K506" s="10"/>
      <c r="L506" s="10"/>
      <c r="M506" s="10"/>
      <c r="N506" s="10"/>
      <c r="O506" s="10"/>
    </row>
    <row r="507" spans="2:15" ht="20.25">
      <c r="B507" s="10"/>
      <c r="C507" s="14">
        <v>504</v>
      </c>
      <c r="D507" s="15" t="s">
        <v>581</v>
      </c>
      <c r="E507" s="14">
        <v>36</v>
      </c>
      <c r="F507" s="15">
        <f>_xlfn.XLOOKUP(D507,'Gemini Output'!B:B,'Gemini Output'!C:C,"No Match Yet")</f>
        <v>8</v>
      </c>
      <c r="G507" s="10" t="str">
        <f>_xlfn.XLOOKUP(D507,'Gemini Output'!B:B,'Gemini Output'!E:E,"No Match Yet")</f>
        <v>L2</v>
      </c>
      <c r="H507" s="10"/>
      <c r="I507" s="10"/>
      <c r="J507" s="10"/>
      <c r="K507" s="10"/>
      <c r="L507" s="10"/>
      <c r="M507" s="10"/>
      <c r="N507" s="10"/>
      <c r="O507" s="10"/>
    </row>
    <row r="508" spans="2:15" ht="20.25">
      <c r="B508" s="10"/>
      <c r="C508" s="14">
        <v>505</v>
      </c>
      <c r="D508" s="15" t="s">
        <v>582</v>
      </c>
      <c r="E508" s="14">
        <v>36</v>
      </c>
      <c r="F508" s="15">
        <f>_xlfn.XLOOKUP(D508,'Gemini Output'!B:B,'Gemini Output'!C:C,"No Match Yet")</f>
        <v>6</v>
      </c>
      <c r="G508" s="10" t="str">
        <f>_xlfn.XLOOKUP(D508,'Gemini Output'!B:B,'Gemini Output'!E:E,"No Match Yet")</f>
        <v>L2</v>
      </c>
      <c r="H508" s="10"/>
      <c r="I508" s="10"/>
      <c r="J508" s="10"/>
      <c r="K508" s="10"/>
      <c r="L508" s="10"/>
      <c r="M508" s="10"/>
      <c r="N508" s="10"/>
      <c r="O508" s="10"/>
    </row>
    <row r="509" spans="2:15" ht="20.25">
      <c r="B509" s="10"/>
      <c r="C509" s="14">
        <v>506</v>
      </c>
      <c r="D509" s="15" t="s">
        <v>583</v>
      </c>
      <c r="E509" s="14">
        <v>36</v>
      </c>
      <c r="F509" s="15">
        <f>_xlfn.XLOOKUP(D509,'Gemini Output'!B:B,'Gemini Output'!C:C,"No Match Yet")</f>
        <v>12</v>
      </c>
      <c r="G509" s="10" t="str">
        <f>_xlfn.XLOOKUP(D509,'Gemini Output'!B:B,'Gemini Output'!E:E,"No Match Yet")</f>
        <v>L1</v>
      </c>
      <c r="H509" s="10"/>
      <c r="I509" s="10"/>
      <c r="J509" s="10"/>
      <c r="K509" s="10"/>
      <c r="L509" s="10"/>
      <c r="M509" s="10"/>
      <c r="N509" s="10"/>
      <c r="O509" s="10"/>
    </row>
    <row r="510" spans="2:15" ht="20.25">
      <c r="B510" s="10"/>
      <c r="C510" s="14">
        <v>507</v>
      </c>
      <c r="D510" s="15" t="s">
        <v>584</v>
      </c>
      <c r="E510" s="14">
        <v>36</v>
      </c>
      <c r="F510" s="15">
        <f>_xlfn.XLOOKUP(D510,'Gemini Output'!B:B,'Gemini Output'!C:C,"No Match Yet")</f>
        <v>12</v>
      </c>
      <c r="G510" s="10" t="str">
        <f>_xlfn.XLOOKUP(D510,'Gemini Output'!B:B,'Gemini Output'!E:E,"No Match Yet")</f>
        <v>L1</v>
      </c>
      <c r="H510" s="10"/>
      <c r="I510" s="10"/>
      <c r="J510" s="10"/>
      <c r="K510" s="10"/>
      <c r="L510" s="10"/>
      <c r="M510" s="10"/>
      <c r="N510" s="10"/>
      <c r="O510" s="10"/>
    </row>
    <row r="511" spans="2:15" ht="20.25">
      <c r="B511" s="10"/>
      <c r="C511" s="14">
        <v>508</v>
      </c>
      <c r="D511" s="15" t="s">
        <v>585</v>
      </c>
      <c r="E511" s="14">
        <v>36</v>
      </c>
      <c r="F511" s="15">
        <f>_xlfn.XLOOKUP(D511,'Gemini Output'!B:B,'Gemini Output'!C:C,"No Match Yet")</f>
        <v>7</v>
      </c>
      <c r="G511" s="10" t="str">
        <f>_xlfn.XLOOKUP(D511,'Gemini Output'!B:B,'Gemini Output'!E:E,"No Match Yet")</f>
        <v>L1</v>
      </c>
      <c r="H511" s="10"/>
      <c r="I511" s="10"/>
      <c r="J511" s="10"/>
      <c r="K511" s="10"/>
      <c r="L511" s="10"/>
      <c r="M511" s="10"/>
      <c r="N511" s="10"/>
      <c r="O511" s="10"/>
    </row>
    <row r="512" spans="2:15" ht="20.25">
      <c r="B512" s="10"/>
      <c r="C512" s="14">
        <v>509</v>
      </c>
      <c r="D512" s="15" t="s">
        <v>586</v>
      </c>
      <c r="E512" s="14">
        <v>36</v>
      </c>
      <c r="F512" s="15">
        <f>_xlfn.XLOOKUP(D512,'Gemini Output'!B:B,'Gemini Output'!C:C,"No Match Yet")</f>
        <v>1</v>
      </c>
      <c r="G512" s="10" t="str">
        <f>_xlfn.XLOOKUP(D512,'Gemini Output'!B:B,'Gemini Output'!E:E,"No Match Yet")</f>
        <v>L2</v>
      </c>
      <c r="H512" s="10"/>
      <c r="I512" s="10"/>
      <c r="J512" s="10"/>
      <c r="K512" s="10"/>
      <c r="L512" s="10"/>
      <c r="M512" s="10"/>
      <c r="N512" s="10"/>
      <c r="O512" s="10"/>
    </row>
    <row r="513" spans="2:15" ht="20.25">
      <c r="B513" s="10"/>
      <c r="C513" s="14">
        <v>510</v>
      </c>
      <c r="D513" s="15" t="s">
        <v>587</v>
      </c>
      <c r="E513" s="14">
        <v>36</v>
      </c>
      <c r="F513" s="15">
        <f>_xlfn.XLOOKUP(D513,'Gemini Output'!B:B,'Gemini Output'!C:C,"No Match Yet")</f>
        <v>4</v>
      </c>
      <c r="G513" s="10" t="str">
        <f>_xlfn.XLOOKUP(D513,'Gemini Output'!B:B,'Gemini Output'!E:E,"No Match Yet")</f>
        <v>L2</v>
      </c>
      <c r="H513" s="10"/>
      <c r="I513" s="10"/>
      <c r="J513" s="10"/>
      <c r="K513" s="10"/>
      <c r="L513" s="10"/>
      <c r="M513" s="10"/>
      <c r="N513" s="10"/>
      <c r="O513" s="10"/>
    </row>
    <row r="514" spans="2:15" ht="20.25">
      <c r="B514" s="10"/>
      <c r="C514" s="14">
        <v>511</v>
      </c>
      <c r="D514" s="15" t="s">
        <v>588</v>
      </c>
      <c r="E514" s="14">
        <v>36</v>
      </c>
      <c r="F514" s="15">
        <f>_xlfn.XLOOKUP(D514,'Gemini Output'!B:B,'Gemini Output'!C:C,"No Match Yet")</f>
        <v>13</v>
      </c>
      <c r="G514" s="10" t="str">
        <f>_xlfn.XLOOKUP(D514,'Gemini Output'!B:B,'Gemini Output'!E:E,"No Match Yet")</f>
        <v>L1</v>
      </c>
      <c r="H514" s="10"/>
      <c r="I514" s="10"/>
      <c r="J514" s="10"/>
      <c r="K514" s="10"/>
      <c r="L514" s="10"/>
      <c r="M514" s="10"/>
      <c r="N514" s="10"/>
      <c r="O514" s="10"/>
    </row>
    <row r="515" spans="2:15" ht="20.25">
      <c r="B515" s="10"/>
      <c r="C515" s="14">
        <v>512</v>
      </c>
      <c r="D515" s="15" t="s">
        <v>589</v>
      </c>
      <c r="E515" s="14">
        <v>36</v>
      </c>
      <c r="F515" s="15">
        <f>_xlfn.XLOOKUP(D515,'Gemini Output'!B:B,'Gemini Output'!C:C,"No Match Yet")</f>
        <v>1</v>
      </c>
      <c r="G515" s="10" t="str">
        <f>_xlfn.XLOOKUP(D515,'Gemini Output'!B:B,'Gemini Output'!E:E,"No Match Yet")</f>
        <v>L2</v>
      </c>
      <c r="H515" s="10"/>
      <c r="I515" s="10"/>
      <c r="J515" s="10"/>
      <c r="K515" s="10"/>
      <c r="L515" s="10"/>
      <c r="M515" s="10"/>
      <c r="N515" s="10"/>
      <c r="O515" s="10"/>
    </row>
    <row r="516" spans="2:15" ht="20.25">
      <c r="B516" s="10"/>
      <c r="C516" s="14">
        <v>513</v>
      </c>
      <c r="D516" s="15" t="s">
        <v>590</v>
      </c>
      <c r="E516" s="14">
        <v>36</v>
      </c>
      <c r="F516" s="15">
        <f>_xlfn.XLOOKUP(D516,'Gemini Output'!B:B,'Gemini Output'!C:C,"No Match Yet")</f>
        <v>10</v>
      </c>
      <c r="G516" s="10" t="str">
        <f>_xlfn.XLOOKUP(D516,'Gemini Output'!B:B,'Gemini Output'!E:E,"No Match Yet")</f>
        <v>L1</v>
      </c>
      <c r="H516" s="10"/>
      <c r="I516" s="10"/>
      <c r="J516" s="10"/>
      <c r="K516" s="10"/>
      <c r="L516" s="10"/>
      <c r="M516" s="10"/>
      <c r="N516" s="10"/>
      <c r="O516" s="10"/>
    </row>
    <row r="517" spans="2:15" ht="20.25">
      <c r="B517" s="10"/>
      <c r="C517" s="14">
        <v>514</v>
      </c>
      <c r="D517" s="15" t="s">
        <v>591</v>
      </c>
      <c r="E517" s="14">
        <v>36</v>
      </c>
      <c r="F517" s="15">
        <f>_xlfn.XLOOKUP(D517,'Gemini Output'!B:B,'Gemini Output'!C:C,"No Match Yet")</f>
        <v>9</v>
      </c>
      <c r="G517" s="10" t="str">
        <f>_xlfn.XLOOKUP(D517,'Gemini Output'!B:B,'Gemini Output'!E:E,"No Match Yet")</f>
        <v>L2</v>
      </c>
      <c r="H517" s="10"/>
      <c r="I517" s="10"/>
      <c r="J517" s="10"/>
      <c r="K517" s="10"/>
      <c r="L517" s="10"/>
      <c r="M517" s="10"/>
      <c r="N517" s="10"/>
      <c r="O517" s="10"/>
    </row>
    <row r="518" spans="2:15" ht="20.25">
      <c r="B518" s="10"/>
      <c r="C518" s="14">
        <v>515</v>
      </c>
      <c r="D518" s="15" t="s">
        <v>592</v>
      </c>
      <c r="E518" s="14">
        <v>36</v>
      </c>
      <c r="F518" s="15">
        <f>_xlfn.XLOOKUP(D518,'Gemini Output'!B:B,'Gemini Output'!C:C,"No Match Yet")</f>
        <v>13</v>
      </c>
      <c r="G518" s="10" t="str">
        <f>_xlfn.XLOOKUP(D518,'Gemini Output'!B:B,'Gemini Output'!E:E,"No Match Yet")</f>
        <v>L2</v>
      </c>
      <c r="H518" s="10"/>
      <c r="I518" s="10"/>
      <c r="J518" s="10"/>
      <c r="K518" s="10"/>
      <c r="L518" s="10"/>
      <c r="M518" s="10"/>
      <c r="N518" s="10"/>
      <c r="O518" s="10"/>
    </row>
    <row r="519" spans="2:15" ht="20.25">
      <c r="B519" s="10"/>
      <c r="C519" s="14">
        <v>516</v>
      </c>
      <c r="D519" s="15" t="s">
        <v>593</v>
      </c>
      <c r="E519" s="14">
        <v>36</v>
      </c>
      <c r="F519" s="15">
        <f>_xlfn.XLOOKUP(D519,'Gemini Output'!B:B,'Gemini Output'!C:C,"No Match Yet")</f>
        <v>12</v>
      </c>
      <c r="G519" s="10" t="str">
        <f>_xlfn.XLOOKUP(D519,'Gemini Output'!B:B,'Gemini Output'!E:E,"No Match Yet")</f>
        <v>L2</v>
      </c>
      <c r="H519" s="10"/>
      <c r="I519" s="10"/>
      <c r="J519" s="10"/>
      <c r="K519" s="10"/>
      <c r="L519" s="10"/>
      <c r="M519" s="10"/>
      <c r="N519" s="10"/>
      <c r="O519" s="10"/>
    </row>
    <row r="520" spans="2:15" ht="20.25">
      <c r="B520" s="10"/>
      <c r="C520" s="14">
        <v>517</v>
      </c>
      <c r="D520" s="15" t="s">
        <v>594</v>
      </c>
      <c r="E520" s="14">
        <v>36</v>
      </c>
      <c r="F520" s="15">
        <f>_xlfn.XLOOKUP(D520,'Gemini Output'!B:B,'Gemini Output'!C:C,"No Match Yet")</f>
        <v>4</v>
      </c>
      <c r="G520" s="10" t="str">
        <f>_xlfn.XLOOKUP(D520,'Gemini Output'!B:B,'Gemini Output'!E:E,"No Match Yet")</f>
        <v>L2</v>
      </c>
      <c r="H520" s="10"/>
      <c r="I520" s="10"/>
      <c r="J520" s="10"/>
      <c r="K520" s="10"/>
      <c r="L520" s="10"/>
      <c r="M520" s="10"/>
      <c r="N520" s="10"/>
      <c r="O520" s="10"/>
    </row>
    <row r="521" spans="2:15" ht="20.25">
      <c r="B521" s="10"/>
      <c r="C521" s="14">
        <v>518</v>
      </c>
      <c r="D521" s="15" t="s">
        <v>595</v>
      </c>
      <c r="E521" s="14"/>
      <c r="F521" s="15">
        <f>_xlfn.XLOOKUP(D521,'Gemini Output'!B:B,'Gemini Output'!C:C,"No Match Yet")</f>
        <v>9</v>
      </c>
      <c r="G521" s="10" t="str">
        <f>_xlfn.XLOOKUP(D521,'Gemini Output'!B:B,'Gemini Output'!E:E,"No Match Yet")</f>
        <v>L2</v>
      </c>
      <c r="H521" s="10"/>
      <c r="I521" s="10"/>
      <c r="J521" s="10"/>
      <c r="K521" s="10"/>
      <c r="L521" s="10"/>
      <c r="M521" s="10"/>
      <c r="N521" s="10"/>
      <c r="O521" s="10"/>
    </row>
    <row r="522" spans="2:15" ht="20.25">
      <c r="B522" s="10"/>
      <c r="C522" s="14">
        <v>519</v>
      </c>
      <c r="D522" s="15" t="s">
        <v>596</v>
      </c>
      <c r="E522" s="14"/>
      <c r="F522" s="15">
        <f>_xlfn.XLOOKUP(D522,'Gemini Output'!B:B,'Gemini Output'!C:C,"No Match Yet")</f>
        <v>9</v>
      </c>
      <c r="G522" s="10" t="str">
        <f>_xlfn.XLOOKUP(D522,'Gemini Output'!B:B,'Gemini Output'!E:E,"No Match Yet")</f>
        <v>L1</v>
      </c>
      <c r="H522" s="10"/>
      <c r="I522" s="10"/>
      <c r="J522" s="10"/>
      <c r="K522" s="10"/>
      <c r="L522" s="10"/>
      <c r="M522" s="10"/>
      <c r="N522" s="10"/>
      <c r="O522" s="10"/>
    </row>
    <row r="523" spans="2:15" ht="20.25">
      <c r="B523" s="10"/>
      <c r="C523" s="14">
        <v>520</v>
      </c>
      <c r="D523" s="15" t="s">
        <v>597</v>
      </c>
      <c r="E523" s="14">
        <v>35</v>
      </c>
      <c r="F523" s="15">
        <f>_xlfn.XLOOKUP(D523,'Gemini Output'!B:B,'Gemini Output'!C:C,"No Match Yet")</f>
        <v>1</v>
      </c>
      <c r="G523" s="10" t="str">
        <f>_xlfn.XLOOKUP(D523,'Gemini Output'!B:B,'Gemini Output'!E:E,"No Match Yet")</f>
        <v>L2</v>
      </c>
      <c r="H523" s="10"/>
      <c r="I523" s="10"/>
      <c r="J523" s="10"/>
      <c r="K523" s="10"/>
      <c r="L523" s="10"/>
      <c r="M523" s="10"/>
      <c r="N523" s="10"/>
      <c r="O523" s="10"/>
    </row>
    <row r="524" spans="2:15" ht="20.25">
      <c r="B524" s="10"/>
      <c r="C524" s="14">
        <v>521</v>
      </c>
      <c r="D524" s="15" t="s">
        <v>598</v>
      </c>
      <c r="E524" s="14">
        <v>35</v>
      </c>
      <c r="F524" s="15">
        <f>_xlfn.XLOOKUP(D524,'Gemini Output'!B:B,'Gemini Output'!C:C,"No Match Yet")</f>
        <v>8</v>
      </c>
      <c r="G524" s="10" t="str">
        <f>_xlfn.XLOOKUP(D524,'Gemini Output'!B:B,'Gemini Output'!E:E,"No Match Yet")</f>
        <v>L2</v>
      </c>
      <c r="H524" s="10"/>
      <c r="I524" s="10"/>
      <c r="J524" s="10"/>
      <c r="K524" s="10"/>
      <c r="L524" s="10"/>
      <c r="M524" s="10"/>
      <c r="N524" s="10"/>
      <c r="O524" s="10"/>
    </row>
    <row r="525" spans="2:15" ht="20.25">
      <c r="B525" s="10"/>
      <c r="C525" s="14">
        <v>522</v>
      </c>
      <c r="D525" s="15" t="s">
        <v>599</v>
      </c>
      <c r="E525" s="14">
        <v>35</v>
      </c>
      <c r="F525" s="15">
        <f>_xlfn.XLOOKUP(D525,'Gemini Output'!B:B,'Gemini Output'!C:C,"No Match Yet")</f>
        <v>2</v>
      </c>
      <c r="G525" s="10" t="str">
        <f>_xlfn.XLOOKUP(D525,'Gemini Output'!B:B,'Gemini Output'!E:E,"No Match Yet")</f>
        <v>L2</v>
      </c>
      <c r="H525" s="10"/>
      <c r="I525" s="10"/>
      <c r="J525" s="10"/>
      <c r="K525" s="10"/>
      <c r="L525" s="10"/>
      <c r="M525" s="10"/>
      <c r="N525" s="10"/>
      <c r="O525" s="10"/>
    </row>
    <row r="526" spans="2:15" ht="20.25">
      <c r="B526" s="10"/>
      <c r="C526" s="14">
        <v>523</v>
      </c>
      <c r="D526" s="15" t="s">
        <v>600</v>
      </c>
      <c r="E526" s="14">
        <v>35</v>
      </c>
      <c r="F526" s="15">
        <f>_xlfn.XLOOKUP(D526,'Gemini Output'!B:B,'Gemini Output'!C:C,"No Match Yet")</f>
        <v>6</v>
      </c>
      <c r="G526" s="10" t="str">
        <f>_xlfn.XLOOKUP(D526,'Gemini Output'!B:B,'Gemini Output'!E:E,"No Match Yet")</f>
        <v>L2</v>
      </c>
      <c r="H526" s="10"/>
      <c r="I526" s="10"/>
      <c r="J526" s="10"/>
      <c r="K526" s="10"/>
      <c r="L526" s="10"/>
      <c r="M526" s="10"/>
      <c r="N526" s="10"/>
      <c r="O526" s="10"/>
    </row>
    <row r="527" spans="2:15" ht="20.25">
      <c r="B527" s="10"/>
      <c r="C527" s="14">
        <v>524</v>
      </c>
      <c r="D527" s="15" t="s">
        <v>601</v>
      </c>
      <c r="E527" s="14">
        <v>35</v>
      </c>
      <c r="F527" s="15">
        <f>_xlfn.XLOOKUP(D527,'Gemini Output'!B:B,'Gemini Output'!C:C,"No Match Yet")</f>
        <v>3</v>
      </c>
      <c r="G527" s="10" t="str">
        <f>_xlfn.XLOOKUP(D527,'Gemini Output'!B:B,'Gemini Output'!E:E,"No Match Yet")</f>
        <v>L2</v>
      </c>
      <c r="H527" s="10"/>
      <c r="I527" s="10"/>
      <c r="J527" s="10"/>
      <c r="K527" s="10"/>
      <c r="L527" s="10"/>
      <c r="M527" s="10"/>
      <c r="N527" s="10"/>
      <c r="O527" s="10"/>
    </row>
    <row r="528" spans="2:15" ht="20.25">
      <c r="B528" s="10"/>
      <c r="C528" s="14">
        <v>525</v>
      </c>
      <c r="D528" s="15" t="s">
        <v>602</v>
      </c>
      <c r="E528" s="14">
        <v>35</v>
      </c>
      <c r="F528" s="15">
        <f>_xlfn.XLOOKUP(D528,'Gemini Output'!B:B,'Gemini Output'!C:C,"No Match Yet")</f>
        <v>6</v>
      </c>
      <c r="G528" s="10" t="str">
        <f>_xlfn.XLOOKUP(D528,'Gemini Output'!B:B,'Gemini Output'!E:E,"No Match Yet")</f>
        <v>L2</v>
      </c>
      <c r="H528" s="10"/>
      <c r="I528" s="10"/>
      <c r="J528" s="10"/>
      <c r="K528" s="10"/>
      <c r="L528" s="10"/>
      <c r="M528" s="10"/>
      <c r="N528" s="10"/>
      <c r="O528" s="10"/>
    </row>
    <row r="529" spans="2:15" ht="20.25">
      <c r="B529" s="10"/>
      <c r="C529" s="14">
        <v>526</v>
      </c>
      <c r="D529" s="15" t="s">
        <v>603</v>
      </c>
      <c r="E529" s="14">
        <v>35</v>
      </c>
      <c r="F529" s="15">
        <f>_xlfn.XLOOKUP(D529,'Gemini Output'!B:B,'Gemini Output'!C:C,"No Match Yet")</f>
        <v>13</v>
      </c>
      <c r="G529" s="10" t="str">
        <f>_xlfn.XLOOKUP(D529,'Gemini Output'!B:B,'Gemini Output'!E:E,"No Match Yet")</f>
        <v>L1</v>
      </c>
      <c r="H529" s="10"/>
      <c r="I529" s="10"/>
      <c r="J529" s="10"/>
      <c r="K529" s="10"/>
      <c r="L529" s="10"/>
      <c r="M529" s="10"/>
      <c r="N529" s="10"/>
      <c r="O529" s="10"/>
    </row>
    <row r="530" spans="2:15" ht="20.25">
      <c r="B530" s="10"/>
      <c r="C530" s="14">
        <v>527</v>
      </c>
      <c r="D530" s="15" t="s">
        <v>604</v>
      </c>
      <c r="E530" s="14">
        <v>35</v>
      </c>
      <c r="F530" s="15">
        <f>_xlfn.XLOOKUP(D530,'Gemini Output'!B:B,'Gemini Output'!C:C,"No Match Yet")</f>
        <v>13</v>
      </c>
      <c r="G530" s="10" t="str">
        <f>_xlfn.XLOOKUP(D530,'Gemini Output'!B:B,'Gemini Output'!E:E,"No Match Yet")</f>
        <v>L1</v>
      </c>
      <c r="H530" s="10"/>
      <c r="I530" s="10"/>
      <c r="J530" s="10"/>
      <c r="K530" s="10"/>
      <c r="L530" s="10"/>
      <c r="M530" s="10"/>
      <c r="N530" s="10"/>
      <c r="O530" s="10"/>
    </row>
    <row r="531" spans="2:15" ht="20.25">
      <c r="B531" s="10"/>
      <c r="C531" s="14">
        <v>528</v>
      </c>
      <c r="D531" s="15" t="s">
        <v>605</v>
      </c>
      <c r="E531" s="14">
        <v>35</v>
      </c>
      <c r="F531" s="15">
        <f>_xlfn.XLOOKUP(D531,'Gemini Output'!B:B,'Gemini Output'!C:C,"No Match Yet")</f>
        <v>3</v>
      </c>
      <c r="G531" s="10" t="str">
        <f>_xlfn.XLOOKUP(D531,'Gemini Output'!B:B,'Gemini Output'!E:E,"No Match Yet")</f>
        <v>L2</v>
      </c>
      <c r="H531" s="10"/>
      <c r="I531" s="10"/>
      <c r="J531" s="10"/>
      <c r="K531" s="10"/>
      <c r="L531" s="10"/>
      <c r="M531" s="10"/>
      <c r="N531" s="10"/>
      <c r="O531" s="10"/>
    </row>
    <row r="532" spans="2:15" ht="20.25">
      <c r="B532" s="10"/>
      <c r="C532" s="14">
        <v>529</v>
      </c>
      <c r="D532" s="15" t="s">
        <v>606</v>
      </c>
      <c r="E532" s="14">
        <v>35</v>
      </c>
      <c r="F532" s="15">
        <f>_xlfn.XLOOKUP(D532,'Gemini Output'!B:B,'Gemini Output'!C:C,"No Match Yet")</f>
        <v>12</v>
      </c>
      <c r="G532" s="10" t="str">
        <f>_xlfn.XLOOKUP(D532,'Gemini Output'!B:B,'Gemini Output'!E:E,"No Match Yet")</f>
        <v>L2</v>
      </c>
      <c r="H532" s="10"/>
      <c r="I532" s="10"/>
      <c r="J532" s="10"/>
      <c r="K532" s="10"/>
      <c r="L532" s="10"/>
      <c r="M532" s="10"/>
      <c r="N532" s="10"/>
      <c r="O532" s="10"/>
    </row>
    <row r="533" spans="2:15" ht="20.25">
      <c r="B533" s="10"/>
      <c r="C533" s="14">
        <v>530</v>
      </c>
      <c r="D533" s="15" t="s">
        <v>607</v>
      </c>
      <c r="E533" s="14">
        <v>35</v>
      </c>
      <c r="F533" s="15">
        <f>_xlfn.XLOOKUP(D533,'Gemini Output'!B:B,'Gemini Output'!C:C,"No Match Yet")</f>
        <v>7</v>
      </c>
      <c r="G533" s="10" t="str">
        <f>_xlfn.XLOOKUP(D533,'Gemini Output'!B:B,'Gemini Output'!E:E,"No Match Yet")</f>
        <v>L2</v>
      </c>
      <c r="H533" s="10"/>
      <c r="I533" s="10"/>
      <c r="J533" s="10"/>
      <c r="K533" s="10"/>
      <c r="L533" s="10"/>
      <c r="M533" s="10"/>
      <c r="N533" s="10"/>
      <c r="O533" s="10"/>
    </row>
    <row r="534" spans="2:15" ht="20.25">
      <c r="B534" s="10"/>
      <c r="C534" s="14">
        <v>531</v>
      </c>
      <c r="D534" s="15" t="s">
        <v>608</v>
      </c>
      <c r="E534" s="14">
        <v>35</v>
      </c>
      <c r="F534" s="15">
        <f>_xlfn.XLOOKUP(D534,'Gemini Output'!B:B,'Gemini Output'!C:C,"No Match Yet")</f>
        <v>7</v>
      </c>
      <c r="G534" s="10" t="str">
        <f>_xlfn.XLOOKUP(D534,'Gemini Output'!B:B,'Gemini Output'!E:E,"No Match Yet")</f>
        <v>L2</v>
      </c>
      <c r="H534" s="10"/>
      <c r="I534" s="10"/>
      <c r="J534" s="10"/>
      <c r="K534" s="10"/>
      <c r="L534" s="10"/>
      <c r="M534" s="10"/>
      <c r="N534" s="10"/>
      <c r="O534" s="10"/>
    </row>
    <row r="535" spans="2:15" ht="20.25">
      <c r="B535" s="10"/>
      <c r="C535" s="14">
        <v>532</v>
      </c>
      <c r="D535" s="15" t="s">
        <v>609</v>
      </c>
      <c r="E535" s="14">
        <v>35</v>
      </c>
      <c r="F535" s="15">
        <f>_xlfn.XLOOKUP(D535,'Gemini Output'!B:B,'Gemini Output'!C:C,"No Match Yet")</f>
        <v>9</v>
      </c>
      <c r="G535" s="10" t="str">
        <f>_xlfn.XLOOKUP(D535,'Gemini Output'!B:B,'Gemini Output'!E:E,"No Match Yet")</f>
        <v>L2</v>
      </c>
      <c r="H535" s="10"/>
      <c r="I535" s="10"/>
      <c r="J535" s="10"/>
      <c r="K535" s="10"/>
      <c r="L535" s="10"/>
      <c r="M535" s="10"/>
      <c r="N535" s="10"/>
      <c r="O535" s="10"/>
    </row>
    <row r="536" spans="2:15" ht="20.25">
      <c r="B536" s="10"/>
      <c r="C536" s="14">
        <v>533</v>
      </c>
      <c r="D536" s="15" t="s">
        <v>610</v>
      </c>
      <c r="E536" s="14">
        <v>35</v>
      </c>
      <c r="F536" s="15">
        <f>_xlfn.XLOOKUP(D536,'Gemini Output'!B:B,'Gemini Output'!C:C,"No Match Yet")</f>
        <v>14</v>
      </c>
      <c r="G536" s="10" t="str">
        <f>_xlfn.XLOOKUP(D536,'Gemini Output'!B:B,'Gemini Output'!E:E,"No Match Yet")</f>
        <v>L2</v>
      </c>
      <c r="H536" s="10"/>
      <c r="I536" s="10"/>
      <c r="J536" s="10"/>
      <c r="K536" s="10"/>
      <c r="L536" s="10"/>
      <c r="M536" s="10"/>
      <c r="N536" s="10"/>
      <c r="O536" s="10"/>
    </row>
    <row r="537" spans="2:15" ht="20.25">
      <c r="B537" s="10"/>
      <c r="C537" s="14">
        <v>534</v>
      </c>
      <c r="D537" s="15" t="s">
        <v>611</v>
      </c>
      <c r="E537" s="14">
        <v>35</v>
      </c>
      <c r="F537" s="15">
        <f>_xlfn.XLOOKUP(D537,'Gemini Output'!B:B,'Gemini Output'!C:C,"No Match Yet")</f>
        <v>4</v>
      </c>
      <c r="G537" s="10" t="str">
        <f>_xlfn.XLOOKUP(D537,'Gemini Output'!B:B,'Gemini Output'!E:E,"No Match Yet")</f>
        <v>L2</v>
      </c>
      <c r="H537" s="10"/>
      <c r="I537" s="10"/>
      <c r="J537" s="10"/>
      <c r="K537" s="10"/>
      <c r="L537" s="10"/>
      <c r="M537" s="10"/>
      <c r="N537" s="10"/>
      <c r="O537" s="10"/>
    </row>
    <row r="538" spans="2:15" ht="20.25">
      <c r="B538" s="10"/>
      <c r="C538" s="14">
        <v>535</v>
      </c>
      <c r="D538" s="15" t="s">
        <v>612</v>
      </c>
      <c r="E538" s="14">
        <v>35</v>
      </c>
      <c r="F538" s="15">
        <f>_xlfn.XLOOKUP(D538,'Gemini Output'!B:B,'Gemini Output'!C:C,"No Match Yet")</f>
        <v>5</v>
      </c>
      <c r="G538" s="10" t="str">
        <f>_xlfn.XLOOKUP(D538,'Gemini Output'!B:B,'Gemini Output'!E:E,"No Match Yet")</f>
        <v>L1</v>
      </c>
      <c r="H538" s="10"/>
      <c r="I538" s="10"/>
      <c r="J538" s="10"/>
      <c r="K538" s="10"/>
      <c r="L538" s="10"/>
      <c r="M538" s="10"/>
      <c r="N538" s="10"/>
      <c r="O538" s="10"/>
    </row>
    <row r="539" spans="2:15" ht="20.25">
      <c r="B539" s="10"/>
      <c r="C539" s="14">
        <v>536</v>
      </c>
      <c r="D539" s="15" t="s">
        <v>613</v>
      </c>
      <c r="E539" s="14">
        <v>35</v>
      </c>
      <c r="F539" s="15">
        <f>_xlfn.XLOOKUP(D539,'Gemini Output'!B:B,'Gemini Output'!C:C,"No Match Yet")</f>
        <v>6</v>
      </c>
      <c r="G539" s="10" t="str">
        <f>_xlfn.XLOOKUP(D539,'Gemini Output'!B:B,'Gemini Output'!E:E,"No Match Yet")</f>
        <v>L1</v>
      </c>
      <c r="H539" s="10"/>
      <c r="I539" s="10"/>
      <c r="J539" s="10"/>
      <c r="K539" s="10"/>
      <c r="L539" s="10"/>
      <c r="M539" s="10"/>
      <c r="N539" s="10"/>
      <c r="O539" s="10"/>
    </row>
    <row r="540" spans="2:15" ht="20.25">
      <c r="B540" s="10"/>
      <c r="C540" s="14">
        <v>537</v>
      </c>
      <c r="D540" s="15" t="s">
        <v>614</v>
      </c>
      <c r="E540" s="14"/>
      <c r="F540" s="15">
        <f>_xlfn.XLOOKUP(D540,'Gemini Output'!B:B,'Gemini Output'!C:C,"No Match Yet")</f>
        <v>12</v>
      </c>
      <c r="G540" s="10" t="str">
        <f>_xlfn.XLOOKUP(D540,'Gemini Output'!B:B,'Gemini Output'!E:E,"No Match Yet")</f>
        <v>L2</v>
      </c>
      <c r="H540" s="10"/>
      <c r="I540" s="10"/>
      <c r="J540" s="10"/>
      <c r="K540" s="10"/>
      <c r="L540" s="10"/>
      <c r="M540" s="10"/>
      <c r="N540" s="10"/>
      <c r="O540" s="10"/>
    </row>
    <row r="541" spans="2:15" ht="20.25">
      <c r="B541" s="10"/>
      <c r="C541" s="14">
        <v>538</v>
      </c>
      <c r="D541" s="15" t="s">
        <v>615</v>
      </c>
      <c r="E541" s="14">
        <v>34</v>
      </c>
      <c r="F541" s="15">
        <f>_xlfn.XLOOKUP(D541,'Gemini Output'!B:B,'Gemini Output'!C:C,"No Match Yet")</f>
        <v>13</v>
      </c>
      <c r="G541" s="10" t="str">
        <f>_xlfn.XLOOKUP(D541,'Gemini Output'!B:B,'Gemini Output'!E:E,"No Match Yet")</f>
        <v>L1</v>
      </c>
      <c r="H541" s="10"/>
      <c r="I541" s="10"/>
      <c r="J541" s="10"/>
      <c r="K541" s="10"/>
      <c r="L541" s="10"/>
      <c r="M541" s="10"/>
      <c r="N541" s="10"/>
      <c r="O541" s="10"/>
    </row>
    <row r="542" spans="2:15" ht="20.25">
      <c r="B542" s="10"/>
      <c r="C542" s="14">
        <v>539</v>
      </c>
      <c r="D542" s="15" t="s">
        <v>616</v>
      </c>
      <c r="E542" s="14">
        <v>34</v>
      </c>
      <c r="F542" s="15">
        <f>_xlfn.XLOOKUP(D542,'Gemini Output'!B:B,'Gemini Output'!C:C,"No Match Yet")</f>
        <v>13</v>
      </c>
      <c r="G542" s="10" t="str">
        <f>_xlfn.XLOOKUP(D542,'Gemini Output'!B:B,'Gemini Output'!E:E,"No Match Yet")</f>
        <v>L2</v>
      </c>
      <c r="H542" s="10"/>
      <c r="I542" s="10"/>
      <c r="J542" s="10"/>
      <c r="K542" s="10"/>
      <c r="L542" s="10"/>
      <c r="M542" s="10"/>
      <c r="N542" s="10"/>
      <c r="O542" s="10"/>
    </row>
    <row r="543" spans="2:15" ht="20.25">
      <c r="B543" s="10"/>
      <c r="C543" s="14">
        <v>540</v>
      </c>
      <c r="D543" s="15" t="s">
        <v>617</v>
      </c>
      <c r="E543" s="14">
        <v>34</v>
      </c>
      <c r="F543" s="15">
        <f>_xlfn.XLOOKUP(D543,'Gemini Output'!B:B,'Gemini Output'!C:C,"No Match Yet")</f>
        <v>12</v>
      </c>
      <c r="G543" s="10" t="str">
        <f>_xlfn.XLOOKUP(D543,'Gemini Output'!B:B,'Gemini Output'!E:E,"No Match Yet")</f>
        <v>L1</v>
      </c>
      <c r="H543" s="10"/>
      <c r="I543" s="10"/>
      <c r="J543" s="10"/>
      <c r="K543" s="10"/>
      <c r="L543" s="10"/>
      <c r="M543" s="10"/>
      <c r="N543" s="10"/>
      <c r="O543" s="10"/>
    </row>
    <row r="544" spans="2:15" ht="20.25">
      <c r="B544" s="10"/>
      <c r="C544" s="14">
        <v>541</v>
      </c>
      <c r="D544" s="15" t="s">
        <v>618</v>
      </c>
      <c r="E544" s="14">
        <v>34</v>
      </c>
      <c r="F544" s="15">
        <f>_xlfn.XLOOKUP(D544,'Gemini Output'!B:B,'Gemini Output'!C:C,"No Match Yet")</f>
        <v>9</v>
      </c>
      <c r="G544" s="10" t="str">
        <f>_xlfn.XLOOKUP(D544,'Gemini Output'!B:B,'Gemini Output'!E:E,"No Match Yet")</f>
        <v>L2</v>
      </c>
      <c r="H544" s="10"/>
      <c r="I544" s="10"/>
      <c r="J544" s="10"/>
      <c r="K544" s="10"/>
      <c r="L544" s="10"/>
      <c r="M544" s="10"/>
      <c r="N544" s="10"/>
      <c r="O544" s="10"/>
    </row>
    <row r="545" spans="2:15" ht="20.25">
      <c r="B545" s="10"/>
      <c r="C545" s="14">
        <v>542</v>
      </c>
      <c r="D545" s="15" t="s">
        <v>619</v>
      </c>
      <c r="E545" s="14">
        <v>34</v>
      </c>
      <c r="F545" s="15">
        <f>_xlfn.XLOOKUP(D545,'Gemini Output'!B:B,'Gemini Output'!C:C,"No Match Yet")</f>
        <v>1</v>
      </c>
      <c r="G545" s="10" t="str">
        <f>_xlfn.XLOOKUP(D545,'Gemini Output'!B:B,'Gemini Output'!E:E,"No Match Yet")</f>
        <v>L2</v>
      </c>
      <c r="H545" s="10"/>
      <c r="I545" s="10"/>
      <c r="J545" s="10"/>
      <c r="K545" s="10"/>
      <c r="L545" s="10"/>
      <c r="M545" s="10"/>
      <c r="N545" s="10"/>
      <c r="O545" s="10"/>
    </row>
    <row r="546" spans="2:15" ht="20.25">
      <c r="B546" s="10"/>
      <c r="C546" s="14">
        <v>543</v>
      </c>
      <c r="D546" s="15" t="s">
        <v>620</v>
      </c>
      <c r="E546" s="14">
        <v>34</v>
      </c>
      <c r="F546" s="15">
        <f>_xlfn.XLOOKUP(D546,'Gemini Output'!B:B,'Gemini Output'!C:C,"No Match Yet")</f>
        <v>2</v>
      </c>
      <c r="G546" s="10" t="str">
        <f>_xlfn.XLOOKUP(D546,'Gemini Output'!B:B,'Gemini Output'!E:E,"No Match Yet")</f>
        <v>L2</v>
      </c>
      <c r="H546" s="10"/>
      <c r="I546" s="10"/>
      <c r="J546" s="10"/>
      <c r="K546" s="10"/>
      <c r="L546" s="10"/>
      <c r="M546" s="10"/>
      <c r="N546" s="10"/>
      <c r="O546" s="10"/>
    </row>
    <row r="547" spans="2:15" ht="20.25">
      <c r="B547" s="10"/>
      <c r="C547" s="14">
        <v>544</v>
      </c>
      <c r="D547" s="15" t="s">
        <v>621</v>
      </c>
      <c r="E547" s="14">
        <v>34</v>
      </c>
      <c r="F547" s="15">
        <f>_xlfn.XLOOKUP(D547,'Gemini Output'!B:B,'Gemini Output'!C:C,"No Match Yet")</f>
        <v>13</v>
      </c>
      <c r="G547" s="10" t="str">
        <f>_xlfn.XLOOKUP(D547,'Gemini Output'!B:B,'Gemini Output'!E:E,"No Match Yet")</f>
        <v>L1</v>
      </c>
      <c r="H547" s="10"/>
      <c r="I547" s="10"/>
      <c r="J547" s="10"/>
      <c r="K547" s="10"/>
      <c r="L547" s="10"/>
      <c r="M547" s="10"/>
      <c r="N547" s="10"/>
      <c r="O547" s="10"/>
    </row>
    <row r="548" spans="2:15" ht="20.25">
      <c r="B548" s="10"/>
      <c r="C548" s="14">
        <v>545</v>
      </c>
      <c r="D548" s="15" t="s">
        <v>622</v>
      </c>
      <c r="E548" s="14">
        <v>34</v>
      </c>
      <c r="F548" s="15">
        <f>_xlfn.XLOOKUP(D548,'Gemini Output'!B:B,'Gemini Output'!C:C,"No Match Yet")</f>
        <v>1</v>
      </c>
      <c r="G548" s="10" t="str">
        <f>_xlfn.XLOOKUP(D548,'Gemini Output'!B:B,'Gemini Output'!E:E,"No Match Yet")</f>
        <v>L1</v>
      </c>
      <c r="H548" s="10"/>
      <c r="I548" s="10"/>
      <c r="J548" s="10"/>
      <c r="K548" s="10"/>
      <c r="L548" s="10"/>
      <c r="M548" s="10"/>
      <c r="N548" s="10"/>
      <c r="O548" s="10"/>
    </row>
    <row r="549" spans="2:15" ht="20.25">
      <c r="B549" s="10"/>
      <c r="C549" s="14">
        <v>546</v>
      </c>
      <c r="D549" s="15" t="s">
        <v>623</v>
      </c>
      <c r="E549" s="14">
        <v>34</v>
      </c>
      <c r="F549" s="15">
        <f>_xlfn.XLOOKUP(D549,'Gemini Output'!B:B,'Gemini Output'!C:C,"No Match Yet")</f>
        <v>12</v>
      </c>
      <c r="G549" s="10" t="str">
        <f>_xlfn.XLOOKUP(D549,'Gemini Output'!B:B,'Gemini Output'!E:E,"No Match Yet")</f>
        <v>L1</v>
      </c>
      <c r="H549" s="10"/>
      <c r="I549" s="10"/>
      <c r="J549" s="10"/>
      <c r="K549" s="10"/>
      <c r="L549" s="10"/>
      <c r="M549" s="10"/>
      <c r="N549" s="10"/>
      <c r="O549" s="10"/>
    </row>
    <row r="550" spans="2:15" ht="20.25">
      <c r="B550" s="10"/>
      <c r="C550" s="14">
        <v>547</v>
      </c>
      <c r="D550" s="15" t="s">
        <v>624</v>
      </c>
      <c r="E550" s="14">
        <v>34</v>
      </c>
      <c r="F550" s="15">
        <f>_xlfn.XLOOKUP(D550,'Gemini Output'!B:B,'Gemini Output'!C:C,"No Match Yet")</f>
        <v>13</v>
      </c>
      <c r="G550" s="10" t="str">
        <f>_xlfn.XLOOKUP(D550,'Gemini Output'!B:B,'Gemini Output'!E:E,"No Match Yet")</f>
        <v>L1</v>
      </c>
      <c r="H550" s="10"/>
      <c r="I550" s="10"/>
      <c r="J550" s="10"/>
      <c r="K550" s="10"/>
      <c r="L550" s="10"/>
      <c r="M550" s="10"/>
      <c r="N550" s="10"/>
      <c r="O550" s="10"/>
    </row>
    <row r="551" spans="2:15" ht="20.25">
      <c r="B551" s="10"/>
      <c r="C551" s="14">
        <v>548</v>
      </c>
      <c r="D551" s="15" t="s">
        <v>625</v>
      </c>
      <c r="E551" s="14">
        <v>34</v>
      </c>
      <c r="F551" s="15">
        <f>_xlfn.XLOOKUP(D551,'Gemini Output'!B:B,'Gemini Output'!C:C,"No Match Yet")</f>
        <v>11</v>
      </c>
      <c r="G551" s="10" t="str">
        <f>_xlfn.XLOOKUP(D551,'Gemini Output'!B:B,'Gemini Output'!E:E,"No Match Yet")</f>
        <v>L1</v>
      </c>
      <c r="H551" s="10"/>
      <c r="I551" s="10"/>
      <c r="J551" s="10"/>
      <c r="K551" s="10"/>
      <c r="L551" s="10"/>
      <c r="M551" s="10"/>
      <c r="N551" s="10"/>
      <c r="O551" s="10"/>
    </row>
    <row r="552" spans="2:15" ht="20.25">
      <c r="B552" s="10"/>
      <c r="C552" s="14">
        <v>549</v>
      </c>
      <c r="D552" s="15" t="s">
        <v>626</v>
      </c>
      <c r="E552" s="14">
        <v>34</v>
      </c>
      <c r="F552" s="15">
        <f>_xlfn.XLOOKUP(D552,'Gemini Output'!B:B,'Gemini Output'!C:C,"No Match Yet")</f>
        <v>6</v>
      </c>
      <c r="G552" s="10" t="str">
        <f>_xlfn.XLOOKUP(D552,'Gemini Output'!B:B,'Gemini Output'!E:E,"No Match Yet")</f>
        <v>L1</v>
      </c>
      <c r="H552" s="10"/>
      <c r="I552" s="10"/>
      <c r="J552" s="10"/>
      <c r="K552" s="10"/>
      <c r="L552" s="10"/>
      <c r="M552" s="10"/>
      <c r="N552" s="10"/>
      <c r="O552" s="10"/>
    </row>
    <row r="553" spans="2:15" ht="20.25">
      <c r="B553" s="10"/>
      <c r="C553" s="14">
        <v>550</v>
      </c>
      <c r="D553" s="15" t="s">
        <v>627</v>
      </c>
      <c r="E553" s="14">
        <v>34</v>
      </c>
      <c r="F553" s="15">
        <f>_xlfn.XLOOKUP(D553,'Gemini Output'!B:B,'Gemini Output'!C:C,"No Match Yet")</f>
        <v>9</v>
      </c>
      <c r="G553" s="10" t="str">
        <f>_xlfn.XLOOKUP(D553,'Gemini Output'!B:B,'Gemini Output'!E:E,"No Match Yet")</f>
        <v>L2</v>
      </c>
      <c r="H553" s="10"/>
      <c r="I553" s="10"/>
      <c r="J553" s="10"/>
      <c r="K553" s="10"/>
      <c r="L553" s="10"/>
      <c r="M553" s="10"/>
      <c r="N553" s="10"/>
      <c r="O553" s="10"/>
    </row>
    <row r="554" spans="2:15" ht="20.25">
      <c r="B554" s="10"/>
      <c r="C554" s="14">
        <v>551</v>
      </c>
      <c r="D554" s="15" t="s">
        <v>628</v>
      </c>
      <c r="E554" s="14">
        <v>34</v>
      </c>
      <c r="F554" s="15">
        <f>_xlfn.XLOOKUP(D554,'Gemini Output'!B:B,'Gemini Output'!C:C,"No Match Yet")</f>
        <v>8</v>
      </c>
      <c r="G554" s="10" t="str">
        <f>_xlfn.XLOOKUP(D554,'Gemini Output'!B:B,'Gemini Output'!E:E,"No Match Yet")</f>
        <v>L2</v>
      </c>
      <c r="H554" s="10"/>
      <c r="I554" s="10"/>
      <c r="J554" s="10"/>
      <c r="K554" s="10"/>
      <c r="L554" s="10"/>
      <c r="M554" s="10"/>
      <c r="N554" s="10"/>
      <c r="O554" s="10"/>
    </row>
    <row r="555" spans="2:15" ht="20.25">
      <c r="B555" s="10"/>
      <c r="C555" s="14">
        <v>552</v>
      </c>
      <c r="D555" s="15" t="s">
        <v>629</v>
      </c>
      <c r="E555" s="14">
        <v>34</v>
      </c>
      <c r="F555" s="15">
        <f>_xlfn.XLOOKUP(D555,'Gemini Output'!B:B,'Gemini Output'!C:C,"No Match Yet")</f>
        <v>2</v>
      </c>
      <c r="G555" s="10" t="str">
        <f>_xlfn.XLOOKUP(D555,'Gemini Output'!B:B,'Gemini Output'!E:E,"No Match Yet")</f>
        <v>L1</v>
      </c>
      <c r="H555" s="10"/>
      <c r="I555" s="10"/>
      <c r="J555" s="10"/>
      <c r="K555" s="10"/>
      <c r="L555" s="10"/>
      <c r="M555" s="10"/>
      <c r="N555" s="10"/>
      <c r="O555" s="10"/>
    </row>
    <row r="556" spans="2:15" ht="20.25">
      <c r="B556" s="10"/>
      <c r="C556" s="14">
        <v>553</v>
      </c>
      <c r="D556" s="15" t="s">
        <v>630</v>
      </c>
      <c r="E556" s="14">
        <v>34</v>
      </c>
      <c r="F556" s="15">
        <f>_xlfn.XLOOKUP(D556,'Gemini Output'!B:B,'Gemini Output'!C:C,"No Match Yet")</f>
        <v>3</v>
      </c>
      <c r="G556" s="10" t="str">
        <f>_xlfn.XLOOKUP(D556,'Gemini Output'!B:B,'Gemini Output'!E:E,"No Match Yet")</f>
        <v>L2</v>
      </c>
      <c r="H556" s="10"/>
      <c r="I556" s="10"/>
      <c r="J556" s="10"/>
      <c r="K556" s="10"/>
      <c r="L556" s="10"/>
      <c r="M556" s="10"/>
      <c r="N556" s="10"/>
      <c r="O556" s="10"/>
    </row>
    <row r="557" spans="2:15" ht="20.25">
      <c r="B557" s="10"/>
      <c r="C557" s="14">
        <v>554</v>
      </c>
      <c r="D557" s="15" t="s">
        <v>631</v>
      </c>
      <c r="E557" s="14">
        <v>34</v>
      </c>
      <c r="F557" s="15">
        <f>_xlfn.XLOOKUP(D557,'Gemini Output'!B:B,'Gemini Output'!C:C,"No Match Yet")</f>
        <v>10</v>
      </c>
      <c r="G557" s="10" t="str">
        <f>_xlfn.XLOOKUP(D557,'Gemini Output'!B:B,'Gemini Output'!E:E,"No Match Yet")</f>
        <v>L2</v>
      </c>
      <c r="H557" s="10"/>
      <c r="I557" s="10"/>
      <c r="J557" s="10"/>
      <c r="K557" s="10"/>
      <c r="L557" s="10"/>
      <c r="M557" s="10"/>
      <c r="N557" s="10"/>
      <c r="O557" s="10"/>
    </row>
    <row r="558" spans="2:15" ht="20.25">
      <c r="B558" s="10"/>
      <c r="C558" s="14">
        <v>555</v>
      </c>
      <c r="D558" s="15" t="s">
        <v>632</v>
      </c>
      <c r="E558" s="14">
        <v>34</v>
      </c>
      <c r="F558" s="15">
        <f>_xlfn.XLOOKUP(D558,'Gemini Output'!B:B,'Gemini Output'!C:C,"No Match Yet")</f>
        <v>6</v>
      </c>
      <c r="G558" s="10" t="str">
        <f>_xlfn.XLOOKUP(D558,'Gemini Output'!B:B,'Gemini Output'!E:E,"No Match Yet")</f>
        <v>L2</v>
      </c>
      <c r="H558" s="10"/>
      <c r="I558" s="10"/>
      <c r="J558" s="10"/>
      <c r="K558" s="10"/>
      <c r="L558" s="10"/>
      <c r="M558" s="10"/>
      <c r="N558" s="10"/>
      <c r="O558" s="10"/>
    </row>
    <row r="559" spans="2:15" ht="20.25">
      <c r="B559" s="10"/>
      <c r="C559" s="14">
        <v>556</v>
      </c>
      <c r="D559" s="15" t="s">
        <v>633</v>
      </c>
      <c r="E559" s="14">
        <v>33</v>
      </c>
      <c r="F559" s="15">
        <f>_xlfn.XLOOKUP(D559,'Gemini Output'!B:B,'Gemini Output'!C:C,"No Match Yet")</f>
        <v>9</v>
      </c>
      <c r="G559" s="10" t="str">
        <f>_xlfn.XLOOKUP(D559,'Gemini Output'!B:B,'Gemini Output'!E:E,"No Match Yet")</f>
        <v>L2</v>
      </c>
      <c r="H559" s="10"/>
      <c r="I559" s="10"/>
      <c r="J559" s="10"/>
      <c r="K559" s="10"/>
      <c r="L559" s="10"/>
      <c r="M559" s="10"/>
      <c r="N559" s="10"/>
      <c r="O559" s="10"/>
    </row>
    <row r="560" spans="2:15" ht="20.25">
      <c r="B560" s="10"/>
      <c r="C560" s="14">
        <v>557</v>
      </c>
      <c r="D560" s="15" t="s">
        <v>634</v>
      </c>
      <c r="E560" s="14">
        <v>33</v>
      </c>
      <c r="F560" s="15">
        <f>_xlfn.XLOOKUP(D560,'Gemini Output'!B:B,'Gemini Output'!C:C,"No Match Yet")</f>
        <v>12</v>
      </c>
      <c r="G560" s="10" t="str">
        <f>_xlfn.XLOOKUP(D560,'Gemini Output'!B:B,'Gemini Output'!E:E,"No Match Yet")</f>
        <v>L1</v>
      </c>
      <c r="H560" s="10"/>
      <c r="I560" s="10"/>
      <c r="J560" s="10"/>
      <c r="K560" s="10"/>
      <c r="L560" s="10"/>
      <c r="M560" s="10"/>
      <c r="N560" s="10"/>
      <c r="O560" s="10"/>
    </row>
    <row r="561" spans="2:15" ht="20.25">
      <c r="B561" s="10"/>
      <c r="C561" s="14">
        <v>558</v>
      </c>
      <c r="D561" s="15" t="s">
        <v>635</v>
      </c>
      <c r="E561" s="14">
        <v>33</v>
      </c>
      <c r="F561" s="15">
        <f>_xlfn.XLOOKUP(D561,'Gemini Output'!B:B,'Gemini Output'!C:C,"No Match Yet")</f>
        <v>2</v>
      </c>
      <c r="G561" s="10" t="str">
        <f>_xlfn.XLOOKUP(D561,'Gemini Output'!B:B,'Gemini Output'!E:E,"No Match Yet")</f>
        <v>L2</v>
      </c>
      <c r="H561" s="10"/>
      <c r="I561" s="10"/>
      <c r="J561" s="10"/>
      <c r="K561" s="10"/>
      <c r="L561" s="10"/>
      <c r="M561" s="10"/>
      <c r="N561" s="10"/>
      <c r="O561" s="10"/>
    </row>
    <row r="562" spans="2:15" ht="20.25">
      <c r="B562" s="10"/>
      <c r="C562" s="14">
        <v>559</v>
      </c>
      <c r="D562" s="15" t="s">
        <v>636</v>
      </c>
      <c r="E562" s="14">
        <v>33</v>
      </c>
      <c r="F562" s="15">
        <f>_xlfn.XLOOKUP(D562,'Gemini Output'!B:B,'Gemini Output'!C:C,"No Match Yet")</f>
        <v>4</v>
      </c>
      <c r="G562" s="10" t="str">
        <f>_xlfn.XLOOKUP(D562,'Gemini Output'!B:B,'Gemini Output'!E:E,"No Match Yet")</f>
        <v>L2</v>
      </c>
      <c r="H562" s="10"/>
      <c r="I562" s="10"/>
      <c r="J562" s="10"/>
      <c r="K562" s="10"/>
      <c r="L562" s="10"/>
      <c r="M562" s="10"/>
      <c r="N562" s="10"/>
      <c r="O562" s="10"/>
    </row>
    <row r="563" spans="2:15" ht="20.25">
      <c r="B563" s="10"/>
      <c r="C563" s="14">
        <v>560</v>
      </c>
      <c r="D563" s="15" t="s">
        <v>637</v>
      </c>
      <c r="E563" s="14">
        <v>33</v>
      </c>
      <c r="F563" s="15">
        <f>_xlfn.XLOOKUP(D563,'Gemini Output'!B:B,'Gemini Output'!C:C,"No Match Yet")</f>
        <v>4</v>
      </c>
      <c r="G563" s="10" t="str">
        <f>_xlfn.XLOOKUP(D563,'Gemini Output'!B:B,'Gemini Output'!E:E,"No Match Yet")</f>
        <v>L2</v>
      </c>
      <c r="H563" s="10"/>
      <c r="I563" s="10"/>
      <c r="J563" s="10"/>
      <c r="K563" s="10"/>
      <c r="L563" s="10"/>
      <c r="M563" s="10"/>
      <c r="N563" s="10"/>
      <c r="O563" s="10"/>
    </row>
    <row r="564" spans="2:15" ht="20.25">
      <c r="B564" s="10"/>
      <c r="C564" s="14">
        <v>561</v>
      </c>
      <c r="D564" s="15" t="s">
        <v>638</v>
      </c>
      <c r="E564" s="14">
        <v>33</v>
      </c>
      <c r="F564" s="15">
        <f>_xlfn.XLOOKUP(D564,'Gemini Output'!B:B,'Gemini Output'!C:C,"No Match Yet")</f>
        <v>6</v>
      </c>
      <c r="G564" s="10" t="str">
        <f>_xlfn.XLOOKUP(D564,'Gemini Output'!B:B,'Gemini Output'!E:E,"No Match Yet")</f>
        <v>L2</v>
      </c>
      <c r="H564" s="10"/>
      <c r="I564" s="10"/>
      <c r="J564" s="10"/>
      <c r="K564" s="10"/>
      <c r="L564" s="10"/>
      <c r="M564" s="10"/>
      <c r="N564" s="10"/>
      <c r="O564" s="10"/>
    </row>
    <row r="565" spans="2:15" ht="20.25">
      <c r="B565" s="10"/>
      <c r="C565" s="14">
        <v>562</v>
      </c>
      <c r="D565" s="15" t="s">
        <v>639</v>
      </c>
      <c r="E565" s="14">
        <v>33</v>
      </c>
      <c r="F565" s="15">
        <f>_xlfn.XLOOKUP(D565,'Gemini Output'!B:B,'Gemini Output'!C:C,"No Match Yet")</f>
        <v>5</v>
      </c>
      <c r="G565" s="10" t="str">
        <f>_xlfn.XLOOKUP(D565,'Gemini Output'!B:B,'Gemini Output'!E:E,"No Match Yet")</f>
        <v>L2</v>
      </c>
      <c r="H565" s="10"/>
      <c r="I565" s="10"/>
      <c r="J565" s="10"/>
      <c r="K565" s="10"/>
      <c r="L565" s="10"/>
      <c r="M565" s="10"/>
      <c r="N565" s="10"/>
      <c r="O565" s="10"/>
    </row>
    <row r="566" spans="2:15" ht="20.25">
      <c r="B566" s="10"/>
      <c r="C566" s="14">
        <v>563</v>
      </c>
      <c r="D566" s="15" t="s">
        <v>640</v>
      </c>
      <c r="E566" s="14">
        <v>33</v>
      </c>
      <c r="F566" s="15">
        <f>_xlfn.XLOOKUP(D566,'Gemini Output'!B:B,'Gemini Output'!C:C,"No Match Yet")</f>
        <v>13</v>
      </c>
      <c r="G566" s="10" t="str">
        <f>_xlfn.XLOOKUP(D566,'Gemini Output'!B:B,'Gemini Output'!E:E,"No Match Yet")</f>
        <v>L2</v>
      </c>
      <c r="H566" s="10"/>
      <c r="I566" s="10"/>
      <c r="J566" s="10"/>
      <c r="K566" s="10"/>
      <c r="L566" s="10"/>
      <c r="M566" s="10"/>
      <c r="N566" s="10"/>
      <c r="O566" s="10"/>
    </row>
    <row r="567" spans="2:15" ht="20.25">
      <c r="B567" s="10"/>
      <c r="C567" s="14">
        <v>564</v>
      </c>
      <c r="D567" s="15" t="s">
        <v>641</v>
      </c>
      <c r="E567" s="14">
        <v>33</v>
      </c>
      <c r="F567" s="15">
        <f>_xlfn.XLOOKUP(D567,'Gemini Output'!B:B,'Gemini Output'!C:C,"No Match Yet")</f>
        <v>12</v>
      </c>
      <c r="G567" s="10" t="str">
        <f>_xlfn.XLOOKUP(D567,'Gemini Output'!B:B,'Gemini Output'!E:E,"No Match Yet")</f>
        <v>L3</v>
      </c>
      <c r="H567" s="10"/>
      <c r="I567" s="10"/>
      <c r="J567" s="10"/>
      <c r="K567" s="10"/>
      <c r="L567" s="10"/>
      <c r="M567" s="10"/>
      <c r="N567" s="10"/>
      <c r="O567" s="10"/>
    </row>
    <row r="568" spans="2:15" ht="20.25">
      <c r="B568" s="10"/>
      <c r="C568" s="14">
        <v>565</v>
      </c>
      <c r="D568" s="15" t="s">
        <v>642</v>
      </c>
      <c r="E568" s="14">
        <v>33</v>
      </c>
      <c r="F568" s="15">
        <f>_xlfn.XLOOKUP(D568,'Gemini Output'!B:B,'Gemini Output'!C:C,"No Match Yet")</f>
        <v>6</v>
      </c>
      <c r="G568" s="10" t="str">
        <f>_xlfn.XLOOKUP(D568,'Gemini Output'!B:B,'Gemini Output'!E:E,"No Match Yet")</f>
        <v>L2</v>
      </c>
      <c r="H568" s="10"/>
      <c r="I568" s="10"/>
      <c r="J568" s="10"/>
      <c r="K568" s="10"/>
      <c r="L568" s="10"/>
      <c r="M568" s="10"/>
      <c r="N568" s="10"/>
      <c r="O568" s="10"/>
    </row>
    <row r="569" spans="2:15" ht="20.25">
      <c r="B569" s="10"/>
      <c r="C569" s="14">
        <v>566</v>
      </c>
      <c r="D569" s="15" t="s">
        <v>643</v>
      </c>
      <c r="E569" s="14">
        <v>33</v>
      </c>
      <c r="F569" s="15">
        <f>_xlfn.XLOOKUP(D569,'Gemini Output'!B:B,'Gemini Output'!C:C,"No Match Yet")</f>
        <v>7</v>
      </c>
      <c r="G569" s="10" t="str">
        <f>_xlfn.XLOOKUP(D569,'Gemini Output'!B:B,'Gemini Output'!E:E,"No Match Yet")</f>
        <v>L2</v>
      </c>
      <c r="H569" s="10"/>
      <c r="I569" s="10"/>
      <c r="J569" s="10"/>
      <c r="K569" s="10"/>
      <c r="L569" s="10"/>
      <c r="M569" s="10"/>
      <c r="N569" s="10"/>
      <c r="O569" s="10"/>
    </row>
    <row r="570" spans="2:15" ht="20.25">
      <c r="B570" s="10"/>
      <c r="C570" s="14">
        <v>567</v>
      </c>
      <c r="D570" s="15" t="s">
        <v>644</v>
      </c>
      <c r="E570" s="14">
        <v>33</v>
      </c>
      <c r="F570" s="15">
        <f>_xlfn.XLOOKUP(D570,'Gemini Output'!B:B,'Gemini Output'!C:C,"No Match Yet")</f>
        <v>12</v>
      </c>
      <c r="G570" s="10" t="str">
        <f>_xlfn.XLOOKUP(D570,'Gemini Output'!B:B,'Gemini Output'!E:E,"No Match Yet")</f>
        <v>L2</v>
      </c>
      <c r="H570" s="10"/>
      <c r="I570" s="10"/>
      <c r="J570" s="10"/>
      <c r="K570" s="10"/>
      <c r="L570" s="10"/>
      <c r="M570" s="10"/>
      <c r="N570" s="10"/>
      <c r="O570" s="10"/>
    </row>
    <row r="571" spans="2:15" ht="20.25">
      <c r="B571" s="10"/>
      <c r="C571" s="14">
        <v>568</v>
      </c>
      <c r="D571" s="15" t="s">
        <v>645</v>
      </c>
      <c r="E571" s="14"/>
      <c r="F571" s="15">
        <f>_xlfn.XLOOKUP(D571,'Gemini Output'!B:B,'Gemini Output'!C:C,"No Match Yet")</f>
        <v>9</v>
      </c>
      <c r="G571" s="10" t="str">
        <f>_xlfn.XLOOKUP(D571,'Gemini Output'!B:B,'Gemini Output'!E:E,"No Match Yet")</f>
        <v>L1</v>
      </c>
      <c r="H571" s="10"/>
      <c r="I571" s="10"/>
      <c r="J571" s="10"/>
      <c r="K571" s="10"/>
      <c r="L571" s="10"/>
      <c r="M571" s="10"/>
      <c r="N571" s="10"/>
      <c r="O571" s="10"/>
    </row>
    <row r="572" spans="2:15" ht="20.25">
      <c r="B572" s="10"/>
      <c r="C572" s="14">
        <v>569</v>
      </c>
      <c r="D572" s="15" t="s">
        <v>646</v>
      </c>
      <c r="E572" s="14">
        <v>32</v>
      </c>
      <c r="F572" s="15">
        <f>_xlfn.XLOOKUP(D572,'Gemini Output'!B:B,'Gemini Output'!C:C,"No Match Yet")</f>
        <v>5</v>
      </c>
      <c r="G572" s="10" t="str">
        <f>_xlfn.XLOOKUP(D572,'Gemini Output'!B:B,'Gemini Output'!E:E,"No Match Yet")</f>
        <v>L2</v>
      </c>
      <c r="H572" s="10"/>
      <c r="I572" s="10"/>
      <c r="J572" s="10"/>
      <c r="K572" s="10"/>
      <c r="L572" s="10"/>
      <c r="M572" s="10"/>
      <c r="N572" s="10"/>
      <c r="O572" s="10"/>
    </row>
    <row r="573" spans="2:15" ht="20.25">
      <c r="B573" s="10"/>
      <c r="C573" s="14">
        <v>570</v>
      </c>
      <c r="D573" s="15" t="s">
        <v>647</v>
      </c>
      <c r="E573" s="14">
        <v>32</v>
      </c>
      <c r="F573" s="15">
        <f>_xlfn.XLOOKUP(D573,'Gemini Output'!B:B,'Gemini Output'!C:C,"No Match Yet")</f>
        <v>14</v>
      </c>
      <c r="G573" s="10" t="str">
        <f>_xlfn.XLOOKUP(D573,'Gemini Output'!B:B,'Gemini Output'!E:E,"No Match Yet")</f>
        <v>L1</v>
      </c>
      <c r="H573" s="10"/>
      <c r="I573" s="10"/>
      <c r="J573" s="10"/>
      <c r="K573" s="10"/>
      <c r="L573" s="10"/>
      <c r="M573" s="10"/>
      <c r="N573" s="10"/>
      <c r="O573" s="10"/>
    </row>
    <row r="574" spans="2:15" ht="20.25">
      <c r="B574" s="10"/>
      <c r="C574" s="14">
        <v>571</v>
      </c>
      <c r="D574" s="15" t="s">
        <v>648</v>
      </c>
      <c r="E574" s="14">
        <v>32</v>
      </c>
      <c r="F574" s="15">
        <f>_xlfn.XLOOKUP(D574,'Gemini Output'!B:B,'Gemini Output'!C:C,"No Match Yet")</f>
        <v>13</v>
      </c>
      <c r="G574" s="10" t="str">
        <f>_xlfn.XLOOKUP(D574,'Gemini Output'!B:B,'Gemini Output'!E:E,"No Match Yet")</f>
        <v>L2</v>
      </c>
      <c r="H574" s="10"/>
      <c r="I574" s="10"/>
      <c r="J574" s="10"/>
      <c r="K574" s="10"/>
      <c r="L574" s="10"/>
      <c r="M574" s="10"/>
      <c r="N574" s="10"/>
      <c r="O574" s="10"/>
    </row>
    <row r="575" spans="2:15" ht="20.25">
      <c r="B575" s="10"/>
      <c r="C575" s="14">
        <v>572</v>
      </c>
      <c r="D575" s="15" t="s">
        <v>649</v>
      </c>
      <c r="E575" s="14">
        <v>32</v>
      </c>
      <c r="F575" s="15">
        <f>_xlfn.XLOOKUP(D575,'Gemini Output'!B:B,'Gemini Output'!C:C,"No Match Yet")</f>
        <v>1</v>
      </c>
      <c r="G575" s="10" t="str">
        <f>_xlfn.XLOOKUP(D575,'Gemini Output'!B:B,'Gemini Output'!E:E,"No Match Yet")</f>
        <v>L1</v>
      </c>
      <c r="H575" s="10"/>
      <c r="I575" s="10"/>
      <c r="J575" s="10"/>
      <c r="K575" s="10"/>
      <c r="L575" s="10"/>
      <c r="M575" s="10"/>
      <c r="N575" s="10"/>
      <c r="O575" s="10"/>
    </row>
    <row r="576" spans="2:15" ht="20.25">
      <c r="B576" s="10"/>
      <c r="C576" s="14">
        <v>573</v>
      </c>
      <c r="D576" s="15" t="s">
        <v>650</v>
      </c>
      <c r="E576" s="14">
        <v>32</v>
      </c>
      <c r="F576" s="15">
        <f>_xlfn.XLOOKUP(D576,'Gemini Output'!B:B,'Gemini Output'!C:C,"No Match Yet")</f>
        <v>9</v>
      </c>
      <c r="G576" s="10" t="str">
        <f>_xlfn.XLOOKUP(D576,'Gemini Output'!B:B,'Gemini Output'!E:E,"No Match Yet")</f>
        <v>L1</v>
      </c>
      <c r="H576" s="10"/>
      <c r="I576" s="10"/>
      <c r="J576" s="10"/>
      <c r="K576" s="10"/>
      <c r="L576" s="10"/>
      <c r="M576" s="10"/>
      <c r="N576" s="10"/>
      <c r="O576" s="10"/>
    </row>
    <row r="577" spans="2:15" ht="20.25">
      <c r="B577" s="10"/>
      <c r="C577" s="14">
        <v>574</v>
      </c>
      <c r="D577" s="15" t="s">
        <v>651</v>
      </c>
      <c r="E577" s="14">
        <v>32</v>
      </c>
      <c r="F577" s="15">
        <f>_xlfn.XLOOKUP(D577,'Gemini Output'!B:B,'Gemini Output'!C:C,"No Match Yet")</f>
        <v>9</v>
      </c>
      <c r="G577" s="10" t="str">
        <f>_xlfn.XLOOKUP(D577,'Gemini Output'!B:B,'Gemini Output'!E:E,"No Match Yet")</f>
        <v>L2</v>
      </c>
      <c r="H577" s="10"/>
      <c r="I577" s="10"/>
      <c r="J577" s="10"/>
      <c r="K577" s="10"/>
      <c r="L577" s="10"/>
      <c r="M577" s="10"/>
      <c r="N577" s="10"/>
      <c r="O577" s="10"/>
    </row>
    <row r="578" spans="2:15" ht="20.25">
      <c r="B578" s="10"/>
      <c r="C578" s="14">
        <v>575</v>
      </c>
      <c r="D578" s="15" t="s">
        <v>652</v>
      </c>
      <c r="E578" s="14">
        <v>32</v>
      </c>
      <c r="F578" s="15">
        <f>_xlfn.XLOOKUP(D578,'Gemini Output'!B:B,'Gemini Output'!C:C,"No Match Yet")</f>
        <v>12</v>
      </c>
      <c r="G578" s="10" t="str">
        <f>_xlfn.XLOOKUP(D578,'Gemini Output'!B:B,'Gemini Output'!E:E,"No Match Yet")</f>
        <v>L1</v>
      </c>
      <c r="H578" s="10"/>
      <c r="I578" s="10"/>
      <c r="J578" s="10"/>
      <c r="K578" s="10"/>
      <c r="L578" s="10"/>
      <c r="M578" s="10"/>
      <c r="N578" s="10"/>
      <c r="O578" s="10"/>
    </row>
    <row r="579" spans="2:15" ht="20.25">
      <c r="B579" s="10"/>
      <c r="C579" s="14">
        <v>576</v>
      </c>
      <c r="D579" s="15" t="s">
        <v>653</v>
      </c>
      <c r="E579" s="14">
        <v>32</v>
      </c>
      <c r="F579" s="15">
        <f>_xlfn.XLOOKUP(D579,'Gemini Output'!B:B,'Gemini Output'!C:C,"No Match Yet")</f>
        <v>9</v>
      </c>
      <c r="G579" s="10" t="str">
        <f>_xlfn.XLOOKUP(D579,'Gemini Output'!B:B,'Gemini Output'!E:E,"No Match Yet")</f>
        <v>L1</v>
      </c>
      <c r="H579" s="10"/>
      <c r="I579" s="10"/>
      <c r="J579" s="10"/>
      <c r="K579" s="10"/>
      <c r="L579" s="10"/>
      <c r="M579" s="10"/>
      <c r="N579" s="10"/>
      <c r="O579" s="10"/>
    </row>
    <row r="580" spans="2:15" ht="20.25">
      <c r="B580" s="10"/>
      <c r="C580" s="14">
        <v>577</v>
      </c>
      <c r="D580" s="15" t="s">
        <v>654</v>
      </c>
      <c r="E580" s="14">
        <v>32</v>
      </c>
      <c r="F580" s="15">
        <f>_xlfn.XLOOKUP(D580,'Gemini Output'!B:B,'Gemini Output'!C:C,"No Match Yet")</f>
        <v>2</v>
      </c>
      <c r="G580" s="10" t="str">
        <f>_xlfn.XLOOKUP(D580,'Gemini Output'!B:B,'Gemini Output'!E:E,"No Match Yet")</f>
        <v>L1</v>
      </c>
      <c r="H580" s="10"/>
      <c r="I580" s="10"/>
      <c r="J580" s="10"/>
      <c r="K580" s="10"/>
      <c r="L580" s="10"/>
      <c r="M580" s="10"/>
      <c r="N580" s="10"/>
      <c r="O580" s="10"/>
    </row>
    <row r="581" spans="2:15" ht="20.25">
      <c r="B581" s="10"/>
      <c r="C581" s="14">
        <v>578</v>
      </c>
      <c r="D581" s="15" t="s">
        <v>655</v>
      </c>
      <c r="E581" s="14">
        <v>32</v>
      </c>
      <c r="F581" s="15">
        <f>_xlfn.XLOOKUP(D581,'Gemini Output'!B:B,'Gemini Output'!C:C,"No Match Yet")</f>
        <v>9</v>
      </c>
      <c r="G581" s="10" t="str">
        <f>_xlfn.XLOOKUP(D581,'Gemini Output'!B:B,'Gemini Output'!E:E,"No Match Yet")</f>
        <v>L1</v>
      </c>
      <c r="H581" s="10"/>
      <c r="I581" s="10"/>
      <c r="J581" s="10"/>
      <c r="K581" s="10"/>
      <c r="L581" s="10"/>
      <c r="M581" s="10"/>
      <c r="N581" s="10"/>
      <c r="O581" s="10"/>
    </row>
    <row r="582" spans="2:15" ht="20.25">
      <c r="B582" s="10"/>
      <c r="C582" s="14">
        <v>579</v>
      </c>
      <c r="D582" s="15" t="s">
        <v>656</v>
      </c>
      <c r="E582" s="14">
        <v>32</v>
      </c>
      <c r="F582" s="15">
        <f>_xlfn.XLOOKUP(D582,'Gemini Output'!B:B,'Gemini Output'!C:C,"No Match Yet")</f>
        <v>12</v>
      </c>
      <c r="G582" s="10" t="str">
        <f>_xlfn.XLOOKUP(D582,'Gemini Output'!B:B,'Gemini Output'!E:E,"No Match Yet")</f>
        <v>L1</v>
      </c>
      <c r="H582" s="10"/>
      <c r="I582" s="10"/>
      <c r="J582" s="10"/>
      <c r="K582" s="10"/>
      <c r="L582" s="10"/>
      <c r="M582" s="10"/>
      <c r="N582" s="10"/>
      <c r="O582" s="10"/>
    </row>
    <row r="583" spans="2:15" ht="20.25">
      <c r="B583" s="10"/>
      <c r="C583" s="14">
        <v>580</v>
      </c>
      <c r="D583" s="15" t="s">
        <v>657</v>
      </c>
      <c r="E583" s="14">
        <v>32</v>
      </c>
      <c r="F583" s="15">
        <f>_xlfn.XLOOKUP(D583,'Gemini Output'!B:B,'Gemini Output'!C:C,"No Match Yet")</f>
        <v>6</v>
      </c>
      <c r="G583" s="10" t="str">
        <f>_xlfn.XLOOKUP(D583,'Gemini Output'!B:B,'Gemini Output'!E:E,"No Match Yet")</f>
        <v>L2</v>
      </c>
      <c r="H583" s="10"/>
      <c r="I583" s="10"/>
      <c r="J583" s="10"/>
      <c r="K583" s="10"/>
      <c r="L583" s="10"/>
      <c r="M583" s="10"/>
      <c r="N583" s="10"/>
      <c r="O583" s="10"/>
    </row>
    <row r="584" spans="2:15" ht="20.25">
      <c r="B584" s="10"/>
      <c r="C584" s="14">
        <v>581</v>
      </c>
      <c r="D584" s="15" t="s">
        <v>658</v>
      </c>
      <c r="E584" s="14">
        <v>32</v>
      </c>
      <c r="F584" s="15">
        <f>_xlfn.XLOOKUP(D584,'Gemini Output'!B:B,'Gemini Output'!C:C,"No Match Yet")</f>
        <v>12</v>
      </c>
      <c r="G584" s="10" t="str">
        <f>_xlfn.XLOOKUP(D584,'Gemini Output'!B:B,'Gemini Output'!E:E,"No Match Yet")</f>
        <v>L2</v>
      </c>
      <c r="H584" s="10"/>
      <c r="I584" s="10"/>
      <c r="J584" s="10"/>
      <c r="K584" s="10"/>
      <c r="L584" s="10"/>
      <c r="M584" s="10"/>
      <c r="N584" s="10"/>
      <c r="O584" s="10"/>
    </row>
    <row r="585" spans="2:15" ht="20.25">
      <c r="B585" s="10"/>
      <c r="C585" s="14">
        <v>582</v>
      </c>
      <c r="D585" s="15" t="s">
        <v>659</v>
      </c>
      <c r="E585" s="14">
        <v>32</v>
      </c>
      <c r="F585" s="15">
        <f>_xlfn.XLOOKUP(D585,'Gemini Output'!B:B,'Gemini Output'!C:C,"No Match Yet")</f>
        <v>10</v>
      </c>
      <c r="G585" s="10" t="str">
        <f>_xlfn.XLOOKUP(D585,'Gemini Output'!B:B,'Gemini Output'!E:E,"No Match Yet")</f>
        <v>L2</v>
      </c>
      <c r="H585" s="10"/>
      <c r="I585" s="10"/>
      <c r="J585" s="10"/>
      <c r="K585" s="10"/>
      <c r="L585" s="10"/>
      <c r="M585" s="10"/>
      <c r="N585" s="10"/>
      <c r="O585" s="10"/>
    </row>
    <row r="586" spans="2:15" ht="20.25">
      <c r="B586" s="10"/>
      <c r="C586" s="14">
        <v>583</v>
      </c>
      <c r="D586" s="15" t="s">
        <v>660</v>
      </c>
      <c r="E586" s="14"/>
      <c r="F586" s="15">
        <f>_xlfn.XLOOKUP(D586,'Gemini Output'!B:B,'Gemini Output'!C:C,"No Match Yet")</f>
        <v>12</v>
      </c>
      <c r="G586" s="10" t="str">
        <f>_xlfn.XLOOKUP(D586,'Gemini Output'!B:B,'Gemini Output'!E:E,"No Match Yet")</f>
        <v>L2</v>
      </c>
      <c r="H586" s="10"/>
      <c r="I586" s="10"/>
      <c r="J586" s="10"/>
      <c r="K586" s="10"/>
      <c r="L586" s="10"/>
      <c r="M586" s="10"/>
      <c r="N586" s="10"/>
      <c r="O586" s="10"/>
    </row>
    <row r="587" spans="2:15" ht="20.25">
      <c r="B587" s="10"/>
      <c r="C587" s="14">
        <v>584</v>
      </c>
      <c r="D587" s="15" t="s">
        <v>661</v>
      </c>
      <c r="E587" s="14">
        <v>31</v>
      </c>
      <c r="F587" s="15">
        <f>_xlfn.XLOOKUP(D587,'Gemini Output'!B:B,'Gemini Output'!C:C,"No Match Yet")</f>
        <v>12</v>
      </c>
      <c r="G587" s="10" t="str">
        <f>_xlfn.XLOOKUP(D587,'Gemini Output'!B:B,'Gemini Output'!E:E,"No Match Yet")</f>
        <v>L1</v>
      </c>
      <c r="H587" s="10"/>
      <c r="I587" s="10"/>
      <c r="J587" s="10"/>
      <c r="K587" s="10"/>
      <c r="L587" s="10"/>
      <c r="M587" s="10"/>
      <c r="N587" s="10"/>
      <c r="O587" s="10"/>
    </row>
    <row r="588" spans="2:15" ht="20.25">
      <c r="B588" s="10"/>
      <c r="C588" s="14">
        <v>585</v>
      </c>
      <c r="D588" s="15" t="s">
        <v>662</v>
      </c>
      <c r="E588" s="14">
        <v>31</v>
      </c>
      <c r="F588" s="15">
        <f>_xlfn.XLOOKUP(D588,'Gemini Output'!B:B,'Gemini Output'!C:C,"No Match Yet")</f>
        <v>10</v>
      </c>
      <c r="G588" s="10" t="str">
        <f>_xlfn.XLOOKUP(D588,'Gemini Output'!B:B,'Gemini Output'!E:E,"No Match Yet")</f>
        <v>L2</v>
      </c>
      <c r="H588" s="10"/>
      <c r="I588" s="10"/>
      <c r="J588" s="10"/>
      <c r="K588" s="10"/>
      <c r="L588" s="10"/>
      <c r="M588" s="10"/>
      <c r="N588" s="10"/>
      <c r="O588" s="10"/>
    </row>
    <row r="589" spans="2:15" ht="20.25">
      <c r="B589" s="10"/>
      <c r="C589" s="14">
        <v>586</v>
      </c>
      <c r="D589" s="15" t="s">
        <v>663</v>
      </c>
      <c r="E589" s="14">
        <v>31</v>
      </c>
      <c r="F589" s="15">
        <f>_xlfn.XLOOKUP(D589,'Gemini Output'!B:B,'Gemini Output'!C:C,"No Match Yet")</f>
        <v>7</v>
      </c>
      <c r="G589" s="10" t="str">
        <f>_xlfn.XLOOKUP(D589,'Gemini Output'!B:B,'Gemini Output'!E:E,"No Match Yet")</f>
        <v>L2</v>
      </c>
      <c r="H589" s="10"/>
      <c r="I589" s="10"/>
      <c r="J589" s="10"/>
      <c r="K589" s="10"/>
      <c r="L589" s="10"/>
      <c r="M589" s="10"/>
      <c r="N589" s="10"/>
      <c r="O589" s="10"/>
    </row>
    <row r="590" spans="2:15" ht="20.25">
      <c r="B590" s="10"/>
      <c r="C590" s="14">
        <v>587</v>
      </c>
      <c r="D590" s="15" t="s">
        <v>664</v>
      </c>
      <c r="E590" s="14">
        <v>31</v>
      </c>
      <c r="F590" s="15">
        <f>_xlfn.XLOOKUP(D590,'Gemini Output'!B:B,'Gemini Output'!C:C,"No Match Yet")</f>
        <v>9</v>
      </c>
      <c r="G590" s="10" t="str">
        <f>_xlfn.XLOOKUP(D590,'Gemini Output'!B:B,'Gemini Output'!E:E,"No Match Yet")</f>
        <v>L2</v>
      </c>
      <c r="H590" s="10"/>
      <c r="I590" s="10"/>
      <c r="J590" s="10"/>
      <c r="K590" s="10"/>
      <c r="L590" s="10"/>
      <c r="M590" s="10"/>
      <c r="N590" s="10"/>
      <c r="O590" s="10"/>
    </row>
    <row r="591" spans="2:15" ht="20.25">
      <c r="B591" s="10"/>
      <c r="C591" s="14">
        <v>588</v>
      </c>
      <c r="D591" s="15" t="s">
        <v>665</v>
      </c>
      <c r="E591" s="14">
        <v>31</v>
      </c>
      <c r="F591" s="15">
        <f>_xlfn.XLOOKUP(D591,'Gemini Output'!B:B,'Gemini Output'!C:C,"No Match Yet")</f>
        <v>5</v>
      </c>
      <c r="G591" s="10" t="str">
        <f>_xlfn.XLOOKUP(D591,'Gemini Output'!B:B,'Gemini Output'!E:E,"No Match Yet")</f>
        <v>L2</v>
      </c>
      <c r="H591" s="10"/>
      <c r="I591" s="10"/>
      <c r="J591" s="10"/>
      <c r="K591" s="10"/>
      <c r="L591" s="10"/>
      <c r="M591" s="10"/>
      <c r="N591" s="10"/>
      <c r="O591" s="10"/>
    </row>
    <row r="592" spans="2:15" ht="20.25">
      <c r="B592" s="10"/>
      <c r="C592" s="14">
        <v>589</v>
      </c>
      <c r="D592" s="15" t="s">
        <v>666</v>
      </c>
      <c r="E592" s="14">
        <v>31</v>
      </c>
      <c r="F592" s="15">
        <f>_xlfn.XLOOKUP(D592,'Gemini Output'!B:B,'Gemini Output'!C:C,"No Match Yet")</f>
        <v>6</v>
      </c>
      <c r="G592" s="10" t="str">
        <f>_xlfn.XLOOKUP(D592,'Gemini Output'!B:B,'Gemini Output'!E:E,"No Match Yet")</f>
        <v>L2</v>
      </c>
      <c r="H592" s="10"/>
      <c r="I592" s="10"/>
      <c r="J592" s="10"/>
      <c r="K592" s="10"/>
      <c r="L592" s="10"/>
      <c r="M592" s="10"/>
      <c r="N592" s="10"/>
      <c r="O592" s="10"/>
    </row>
    <row r="593" spans="2:15" ht="20.25">
      <c r="B593" s="10"/>
      <c r="C593" s="14">
        <v>590</v>
      </c>
      <c r="D593" s="15" t="s">
        <v>667</v>
      </c>
      <c r="E593" s="14">
        <v>31</v>
      </c>
      <c r="F593" s="15">
        <f>_xlfn.XLOOKUP(D593,'Gemini Output'!B:B,'Gemini Output'!C:C,"No Match Yet")</f>
        <v>7</v>
      </c>
      <c r="G593" s="10" t="str">
        <f>_xlfn.XLOOKUP(D593,'Gemini Output'!B:B,'Gemini Output'!E:E,"No Match Yet")</f>
        <v>L2</v>
      </c>
      <c r="H593" s="10"/>
      <c r="I593" s="10"/>
      <c r="J593" s="10"/>
      <c r="K593" s="10"/>
      <c r="L593" s="10"/>
      <c r="M593" s="10"/>
      <c r="N593" s="10"/>
      <c r="O593" s="10"/>
    </row>
    <row r="594" spans="2:15" ht="20.25">
      <c r="B594" s="10"/>
      <c r="C594" s="14">
        <v>591</v>
      </c>
      <c r="D594" s="15" t="s">
        <v>668</v>
      </c>
      <c r="E594" s="14">
        <v>31</v>
      </c>
      <c r="F594" s="15">
        <f>_xlfn.XLOOKUP(D594,'Gemini Output'!B:B,'Gemini Output'!C:C,"No Match Yet")</f>
        <v>1</v>
      </c>
      <c r="G594" s="10" t="str">
        <f>_xlfn.XLOOKUP(D594,'Gemini Output'!B:B,'Gemini Output'!E:E,"No Match Yet")</f>
        <v>L2</v>
      </c>
      <c r="H594" s="10"/>
      <c r="I594" s="10"/>
      <c r="J594" s="10"/>
      <c r="K594" s="10"/>
      <c r="L594" s="10"/>
      <c r="M594" s="10"/>
      <c r="N594" s="10"/>
      <c r="O594" s="10"/>
    </row>
    <row r="595" spans="2:15" ht="20.25">
      <c r="B595" s="10"/>
      <c r="C595" s="14">
        <v>592</v>
      </c>
      <c r="D595" s="15" t="s">
        <v>669</v>
      </c>
      <c r="E595" s="14">
        <v>31</v>
      </c>
      <c r="F595" s="15">
        <f>_xlfn.XLOOKUP(D595,'Gemini Output'!B:B,'Gemini Output'!C:C,"No Match Yet")</f>
        <v>3</v>
      </c>
      <c r="G595" s="10" t="str">
        <f>_xlfn.XLOOKUP(D595,'Gemini Output'!B:B,'Gemini Output'!E:E,"No Match Yet")</f>
        <v>L2</v>
      </c>
      <c r="H595" s="10"/>
      <c r="I595" s="10"/>
      <c r="J595" s="10"/>
      <c r="K595" s="10"/>
      <c r="L595" s="10"/>
      <c r="M595" s="10"/>
      <c r="N595" s="10"/>
      <c r="O595" s="10"/>
    </row>
    <row r="596" spans="2:15" ht="20.25">
      <c r="B596" s="10"/>
      <c r="C596" s="14">
        <v>593</v>
      </c>
      <c r="D596" s="15" t="s">
        <v>670</v>
      </c>
      <c r="E596" s="14">
        <v>31</v>
      </c>
      <c r="F596" s="15">
        <f>_xlfn.XLOOKUP(D596,'Gemini Output'!B:B,'Gemini Output'!C:C,"No Match Yet")</f>
        <v>13</v>
      </c>
      <c r="G596" s="10" t="str">
        <f>_xlfn.XLOOKUP(D596,'Gemini Output'!B:B,'Gemini Output'!E:E,"No Match Yet")</f>
        <v>L1</v>
      </c>
      <c r="H596" s="10"/>
      <c r="I596" s="10"/>
      <c r="J596" s="10"/>
      <c r="K596" s="10"/>
      <c r="L596" s="10"/>
      <c r="M596" s="10"/>
      <c r="N596" s="10"/>
      <c r="O596" s="10"/>
    </row>
    <row r="597" spans="2:15" ht="20.25">
      <c r="B597" s="10"/>
      <c r="C597" s="14">
        <v>594</v>
      </c>
      <c r="D597" s="15" t="s">
        <v>671</v>
      </c>
      <c r="E597" s="14">
        <v>31</v>
      </c>
      <c r="F597" s="15">
        <f>_xlfn.XLOOKUP(D597,'Gemini Output'!B:B,'Gemini Output'!C:C,"No Match Yet")</f>
        <v>6</v>
      </c>
      <c r="G597" s="10" t="str">
        <f>_xlfn.XLOOKUP(D597,'Gemini Output'!B:B,'Gemini Output'!E:E,"No Match Yet")</f>
        <v>L2</v>
      </c>
      <c r="H597" s="10"/>
      <c r="I597" s="10"/>
      <c r="J597" s="10"/>
      <c r="K597" s="10"/>
      <c r="L597" s="10"/>
      <c r="M597" s="10"/>
      <c r="N597" s="10"/>
      <c r="O597" s="10"/>
    </row>
    <row r="598" spans="2:15" ht="20.25">
      <c r="B598" s="10"/>
      <c r="C598" s="14">
        <v>595</v>
      </c>
      <c r="D598" s="15" t="s">
        <v>672</v>
      </c>
      <c r="E598" s="14">
        <v>31</v>
      </c>
      <c r="F598" s="15">
        <f>_xlfn.XLOOKUP(D598,'Gemini Output'!B:B,'Gemini Output'!C:C,"No Match Yet")</f>
        <v>10</v>
      </c>
      <c r="G598" s="10" t="str">
        <f>_xlfn.XLOOKUP(D598,'Gemini Output'!B:B,'Gemini Output'!E:E,"No Match Yet")</f>
        <v>L2</v>
      </c>
      <c r="H598" s="10"/>
      <c r="I598" s="10"/>
      <c r="J598" s="10"/>
      <c r="K598" s="10"/>
      <c r="L598" s="10"/>
      <c r="M598" s="10"/>
      <c r="N598" s="10"/>
      <c r="O598" s="10"/>
    </row>
    <row r="599" spans="2:15" ht="20.25">
      <c r="B599" s="10"/>
      <c r="C599" s="14">
        <v>596</v>
      </c>
      <c r="D599" s="15" t="s">
        <v>673</v>
      </c>
      <c r="E599" s="14">
        <v>31</v>
      </c>
      <c r="F599" s="15">
        <f>_xlfn.XLOOKUP(D599,'Gemini Output'!B:B,'Gemini Output'!C:C,"No Match Yet")</f>
        <v>7</v>
      </c>
      <c r="G599" s="10" t="str">
        <f>_xlfn.XLOOKUP(D599,'Gemini Output'!B:B,'Gemini Output'!E:E,"No Match Yet")</f>
        <v>L2</v>
      </c>
      <c r="H599" s="10"/>
      <c r="I599" s="10"/>
      <c r="J599" s="10"/>
      <c r="K599" s="10"/>
      <c r="L599" s="10"/>
      <c r="M599" s="10"/>
      <c r="N599" s="10"/>
      <c r="O599" s="10"/>
    </row>
    <row r="600" spans="2:15" ht="20.25">
      <c r="B600" s="10"/>
      <c r="C600" s="14">
        <v>597</v>
      </c>
      <c r="D600" s="15" t="s">
        <v>674</v>
      </c>
      <c r="E600" s="14">
        <v>31</v>
      </c>
      <c r="F600" s="15">
        <f>_xlfn.XLOOKUP(D600,'Gemini Output'!B:B,'Gemini Output'!C:C,"No Match Yet")</f>
        <v>10</v>
      </c>
      <c r="G600" s="10" t="str">
        <f>_xlfn.XLOOKUP(D600,'Gemini Output'!B:B,'Gemini Output'!E:E,"No Match Yet")</f>
        <v>L2</v>
      </c>
      <c r="H600" s="10"/>
      <c r="I600" s="10"/>
      <c r="J600" s="10"/>
      <c r="K600" s="10"/>
      <c r="L600" s="10"/>
      <c r="M600" s="10"/>
      <c r="N600" s="10"/>
      <c r="O600" s="10"/>
    </row>
    <row r="601" spans="2:15" ht="20.25">
      <c r="B601" s="10"/>
      <c r="C601" s="14">
        <v>598</v>
      </c>
      <c r="D601" s="15" t="s">
        <v>675</v>
      </c>
      <c r="E601" s="14">
        <v>31</v>
      </c>
      <c r="F601" s="15">
        <f>_xlfn.XLOOKUP(D601,'Gemini Output'!B:B,'Gemini Output'!C:C,"No Match Yet")</f>
        <v>1</v>
      </c>
      <c r="G601" s="10" t="str">
        <f>_xlfn.XLOOKUP(D601,'Gemini Output'!B:B,'Gemini Output'!E:E,"No Match Yet")</f>
        <v>L1</v>
      </c>
      <c r="H601" s="10"/>
      <c r="I601" s="10"/>
      <c r="J601" s="10"/>
      <c r="K601" s="10"/>
      <c r="L601" s="10"/>
      <c r="M601" s="10"/>
      <c r="N601" s="10"/>
      <c r="O601" s="10"/>
    </row>
    <row r="602" spans="2:15" ht="20.25">
      <c r="B602" s="10"/>
      <c r="C602" s="14">
        <v>599</v>
      </c>
      <c r="D602" s="15" t="s">
        <v>676</v>
      </c>
      <c r="E602" s="14">
        <v>31</v>
      </c>
      <c r="F602" s="15">
        <f>_xlfn.XLOOKUP(D602,'Gemini Output'!B:B,'Gemini Output'!C:C,"No Match Yet")</f>
        <v>1</v>
      </c>
      <c r="G602" s="10" t="str">
        <f>_xlfn.XLOOKUP(D602,'Gemini Output'!B:B,'Gemini Output'!E:E,"No Match Yet")</f>
        <v>L1</v>
      </c>
      <c r="H602" s="10"/>
      <c r="I602" s="10"/>
      <c r="J602" s="10"/>
      <c r="K602" s="10"/>
      <c r="L602" s="10"/>
      <c r="M602" s="10"/>
      <c r="N602" s="10"/>
      <c r="O602" s="10"/>
    </row>
    <row r="603" spans="2:15" ht="20.25">
      <c r="B603" s="10"/>
      <c r="C603" s="14">
        <v>600</v>
      </c>
      <c r="D603" s="15" t="s">
        <v>677</v>
      </c>
      <c r="E603" s="14">
        <v>31</v>
      </c>
      <c r="F603" s="15">
        <f>_xlfn.XLOOKUP(D603,'Gemini Output'!B:B,'Gemini Output'!C:C,"No Match Yet")</f>
        <v>12</v>
      </c>
      <c r="G603" s="10" t="str">
        <f>_xlfn.XLOOKUP(D603,'Gemini Output'!B:B,'Gemini Output'!E:E,"No Match Yet")</f>
        <v>L3</v>
      </c>
      <c r="H603" s="10"/>
      <c r="I603" s="10"/>
      <c r="J603" s="10"/>
      <c r="K603" s="10"/>
      <c r="L603" s="10"/>
      <c r="M603" s="10"/>
      <c r="N603" s="10"/>
      <c r="O603" s="10"/>
    </row>
    <row r="604" spans="2:15" ht="20.25">
      <c r="B604" s="10"/>
      <c r="C604" s="14">
        <v>601</v>
      </c>
      <c r="D604" s="15" t="s">
        <v>678</v>
      </c>
      <c r="E604" s="14">
        <v>31</v>
      </c>
      <c r="F604" s="15">
        <f>_xlfn.XLOOKUP(D604,'Gemini Output'!B:B,'Gemini Output'!C:C,"No Match Yet")</f>
        <v>1</v>
      </c>
      <c r="G604" s="10" t="str">
        <f>_xlfn.XLOOKUP(D604,'Gemini Output'!B:B,'Gemini Output'!E:E,"No Match Yet")</f>
        <v>L3</v>
      </c>
      <c r="H604" s="10"/>
      <c r="I604" s="10"/>
      <c r="J604" s="10"/>
      <c r="K604" s="10"/>
      <c r="L604" s="10"/>
      <c r="M604" s="10"/>
      <c r="N604" s="10"/>
      <c r="O604" s="10"/>
    </row>
    <row r="605" spans="2:15" ht="20.25">
      <c r="B605" s="10"/>
      <c r="C605" s="14">
        <v>602</v>
      </c>
      <c r="D605" s="15" t="s">
        <v>679</v>
      </c>
      <c r="E605" s="14">
        <v>31</v>
      </c>
      <c r="F605" s="15">
        <f>_xlfn.XLOOKUP(D605,'Gemini Output'!B:B,'Gemini Output'!C:C,"No Match Yet")</f>
        <v>3</v>
      </c>
      <c r="G605" s="10" t="str">
        <f>_xlfn.XLOOKUP(D605,'Gemini Output'!B:B,'Gemini Output'!E:E,"No Match Yet")</f>
        <v>L2</v>
      </c>
      <c r="H605" s="10"/>
      <c r="I605" s="10"/>
      <c r="J605" s="10"/>
      <c r="K605" s="10"/>
      <c r="L605" s="10"/>
      <c r="M605" s="10"/>
      <c r="N605" s="10"/>
      <c r="O605" s="10"/>
    </row>
    <row r="606" spans="2:15" ht="20.25">
      <c r="B606" s="10"/>
      <c r="C606" s="14">
        <v>603</v>
      </c>
      <c r="D606" s="15" t="s">
        <v>680</v>
      </c>
      <c r="E606" s="14">
        <v>31</v>
      </c>
      <c r="F606" s="15">
        <f>_xlfn.XLOOKUP(D606,'Gemini Output'!B:B,'Gemini Output'!C:C,"No Match Yet")</f>
        <v>8</v>
      </c>
      <c r="G606" s="10" t="str">
        <f>_xlfn.XLOOKUP(D606,'Gemini Output'!B:B,'Gemini Output'!E:E,"No Match Yet")</f>
        <v>L3</v>
      </c>
      <c r="H606" s="10"/>
      <c r="I606" s="10"/>
      <c r="J606" s="10"/>
      <c r="K606" s="10"/>
      <c r="L606" s="10"/>
      <c r="M606" s="10"/>
      <c r="N606" s="10"/>
      <c r="O606" s="10"/>
    </row>
    <row r="607" spans="2:15" ht="20.25">
      <c r="B607" s="10"/>
      <c r="C607" s="14">
        <v>604</v>
      </c>
      <c r="D607" s="15" t="s">
        <v>681</v>
      </c>
      <c r="E607" s="14">
        <v>31</v>
      </c>
      <c r="F607" s="15">
        <f>_xlfn.XLOOKUP(D607,'Gemini Output'!B:B,'Gemini Output'!C:C,"No Match Yet")</f>
        <v>2</v>
      </c>
      <c r="G607" s="10" t="str">
        <f>_xlfn.XLOOKUP(D607,'Gemini Output'!B:B,'Gemini Output'!E:E,"No Match Yet")</f>
        <v>L2</v>
      </c>
      <c r="H607" s="10"/>
      <c r="I607" s="10"/>
      <c r="J607" s="10"/>
      <c r="K607" s="10"/>
      <c r="L607" s="10"/>
      <c r="M607" s="10"/>
      <c r="N607" s="10"/>
      <c r="O607" s="10"/>
    </row>
    <row r="608" spans="2:15" ht="20.25">
      <c r="B608" s="10"/>
      <c r="C608" s="14">
        <v>605</v>
      </c>
      <c r="D608" s="15" t="s">
        <v>682</v>
      </c>
      <c r="E608" s="14">
        <v>31</v>
      </c>
      <c r="F608" s="15">
        <f>_xlfn.XLOOKUP(D608,'Gemini Output'!B:B,'Gemini Output'!C:C,"No Match Yet")</f>
        <v>4</v>
      </c>
      <c r="G608" s="10" t="str">
        <f>_xlfn.XLOOKUP(D608,'Gemini Output'!B:B,'Gemini Output'!E:E,"No Match Yet")</f>
        <v>L2</v>
      </c>
      <c r="H608" s="10"/>
      <c r="I608" s="10"/>
      <c r="J608" s="10"/>
      <c r="K608" s="10"/>
      <c r="L608" s="10"/>
      <c r="M608" s="10"/>
      <c r="N608" s="10"/>
      <c r="O608" s="10"/>
    </row>
    <row r="609" spans="2:15" ht="20.25">
      <c r="B609" s="10"/>
      <c r="C609" s="14">
        <v>606</v>
      </c>
      <c r="D609" s="15" t="s">
        <v>683</v>
      </c>
      <c r="E609" s="14">
        <v>31</v>
      </c>
      <c r="F609" s="15">
        <f>_xlfn.XLOOKUP(D609,'Gemini Output'!B:B,'Gemini Output'!C:C,"No Match Yet")</f>
        <v>12</v>
      </c>
      <c r="G609" s="10" t="str">
        <f>_xlfn.XLOOKUP(D609,'Gemini Output'!B:B,'Gemini Output'!E:E,"No Match Yet")</f>
        <v>L1</v>
      </c>
      <c r="H609" s="10"/>
      <c r="I609" s="10"/>
      <c r="J609" s="10"/>
      <c r="K609" s="10"/>
      <c r="L609" s="10"/>
      <c r="M609" s="10"/>
      <c r="N609" s="10"/>
      <c r="O609" s="10"/>
    </row>
    <row r="610" spans="2:15" ht="20.25">
      <c r="B610" s="10"/>
      <c r="C610" s="14">
        <v>607</v>
      </c>
      <c r="D610" s="15" t="s">
        <v>684</v>
      </c>
      <c r="E610" s="14">
        <v>31</v>
      </c>
      <c r="F610" s="15">
        <f>_xlfn.XLOOKUP(D610,'Gemini Output'!B:B,'Gemini Output'!C:C,"No Match Yet")</f>
        <v>4</v>
      </c>
      <c r="G610" s="10" t="str">
        <f>_xlfn.XLOOKUP(D610,'Gemini Output'!B:B,'Gemini Output'!E:E,"No Match Yet")</f>
        <v>L2</v>
      </c>
      <c r="H610" s="10"/>
      <c r="I610" s="10"/>
      <c r="J610" s="10"/>
      <c r="K610" s="10"/>
      <c r="L610" s="10"/>
      <c r="M610" s="10"/>
      <c r="N610" s="10"/>
      <c r="O610" s="10"/>
    </row>
    <row r="611" spans="2:15" ht="20.25">
      <c r="B611" s="10"/>
      <c r="C611" s="14">
        <v>608</v>
      </c>
      <c r="D611" s="15" t="s">
        <v>685</v>
      </c>
      <c r="E611" s="14">
        <v>31</v>
      </c>
      <c r="F611" s="15">
        <f>_xlfn.XLOOKUP(D611,'Gemini Output'!B:B,'Gemini Output'!C:C,"No Match Yet")</f>
        <v>5</v>
      </c>
      <c r="G611" s="10" t="str">
        <f>_xlfn.XLOOKUP(D611,'Gemini Output'!B:B,'Gemini Output'!E:E,"No Match Yet")</f>
        <v>L1</v>
      </c>
      <c r="H611" s="10"/>
      <c r="I611" s="10"/>
      <c r="J611" s="10"/>
      <c r="K611" s="10"/>
      <c r="L611" s="10"/>
      <c r="M611" s="10"/>
      <c r="N611" s="10"/>
      <c r="O611" s="10"/>
    </row>
    <row r="612" spans="2:15" ht="20.25">
      <c r="B612" s="10"/>
      <c r="C612" s="14">
        <v>609</v>
      </c>
      <c r="D612" s="15" t="s">
        <v>686</v>
      </c>
      <c r="E612" s="14">
        <v>31</v>
      </c>
      <c r="F612" s="15">
        <f>_xlfn.XLOOKUP(D612,'Gemini Output'!B:B,'Gemini Output'!C:C,"No Match Yet")</f>
        <v>12</v>
      </c>
      <c r="G612" s="10" t="str">
        <f>_xlfn.XLOOKUP(D612,'Gemini Output'!B:B,'Gemini Output'!E:E,"No Match Yet")</f>
        <v>L1</v>
      </c>
      <c r="H612" s="10"/>
      <c r="I612" s="10"/>
      <c r="J612" s="10"/>
      <c r="K612" s="10"/>
      <c r="L612" s="10"/>
      <c r="M612" s="10"/>
      <c r="N612" s="10"/>
      <c r="O612" s="10"/>
    </row>
    <row r="613" spans="2:15" ht="20.25">
      <c r="B613" s="10"/>
      <c r="C613" s="14">
        <v>610</v>
      </c>
      <c r="D613" s="15" t="s">
        <v>687</v>
      </c>
      <c r="E613" s="14">
        <v>31</v>
      </c>
      <c r="F613" s="15">
        <f>_xlfn.XLOOKUP(D613,'Gemini Output'!B:B,'Gemini Output'!C:C,"No Match Yet")</f>
        <v>12</v>
      </c>
      <c r="G613" s="10" t="str">
        <f>_xlfn.XLOOKUP(D613,'Gemini Output'!B:B,'Gemini Output'!E:E,"No Match Yet")</f>
        <v>L3</v>
      </c>
      <c r="H613" s="10"/>
      <c r="I613" s="10"/>
      <c r="J613" s="10"/>
      <c r="K613" s="10"/>
      <c r="L613" s="10"/>
      <c r="M613" s="10"/>
      <c r="N613" s="10"/>
      <c r="O613" s="10"/>
    </row>
    <row r="614" spans="2:15" ht="20.25">
      <c r="B614" s="10"/>
      <c r="C614" s="14">
        <v>611</v>
      </c>
      <c r="D614" s="15" t="s">
        <v>688</v>
      </c>
      <c r="E614" s="14"/>
      <c r="F614" s="15">
        <f>_xlfn.XLOOKUP(D614,'Gemini Output'!B:B,'Gemini Output'!C:C,"No Match Yet")</f>
        <v>10</v>
      </c>
      <c r="G614" s="10" t="str">
        <f>_xlfn.XLOOKUP(D614,'Gemini Output'!B:B,'Gemini Output'!E:E,"No Match Yet")</f>
        <v>L1</v>
      </c>
      <c r="H614" s="10"/>
      <c r="I614" s="10"/>
      <c r="J614" s="10"/>
      <c r="K614" s="10"/>
      <c r="L614" s="10"/>
      <c r="M614" s="10"/>
      <c r="N614" s="10"/>
      <c r="O614" s="10"/>
    </row>
    <row r="615" spans="2:15" ht="20.25">
      <c r="B615" s="10"/>
      <c r="C615" s="14">
        <v>612</v>
      </c>
      <c r="D615" s="15" t="s">
        <v>689</v>
      </c>
      <c r="E615" s="14"/>
      <c r="F615" s="15">
        <f>_xlfn.XLOOKUP(D615,'Gemini Output'!B:B,'Gemini Output'!C:C,"No Match Yet")</f>
        <v>13</v>
      </c>
      <c r="G615" s="10" t="str">
        <f>_xlfn.XLOOKUP(D615,'Gemini Output'!B:B,'Gemini Output'!E:E,"No Match Yet")</f>
        <v>L2</v>
      </c>
      <c r="H615" s="10"/>
      <c r="I615" s="10"/>
      <c r="J615" s="10"/>
      <c r="K615" s="10"/>
      <c r="L615" s="10"/>
      <c r="M615" s="10"/>
      <c r="N615" s="10"/>
      <c r="O615" s="10"/>
    </row>
    <row r="616" spans="2:15" ht="20.25">
      <c r="B616" s="10"/>
      <c r="C616" s="14">
        <v>613</v>
      </c>
      <c r="D616" s="15" t="s">
        <v>691</v>
      </c>
      <c r="E616" s="14">
        <v>30</v>
      </c>
      <c r="F616" s="15">
        <f>_xlfn.XLOOKUP(D616,'Gemini Output'!B:B,'Gemini Output'!C:C,"No Match Yet")</f>
        <v>8</v>
      </c>
      <c r="G616" s="10" t="str">
        <f>_xlfn.XLOOKUP(D616,'Gemini Output'!B:B,'Gemini Output'!E:E,"No Match Yet")</f>
        <v>L2</v>
      </c>
      <c r="H616" s="10"/>
      <c r="I616" s="10"/>
      <c r="J616" s="10"/>
      <c r="K616" s="10"/>
      <c r="L616" s="10"/>
      <c r="M616" s="10"/>
      <c r="N616" s="10"/>
      <c r="O616" s="10"/>
    </row>
    <row r="617" spans="2:15" ht="20.25">
      <c r="B617" s="10"/>
      <c r="C617" s="14">
        <v>614</v>
      </c>
      <c r="D617" s="15" t="s">
        <v>692</v>
      </c>
      <c r="E617" s="14">
        <v>30</v>
      </c>
      <c r="F617" s="15">
        <f>_xlfn.XLOOKUP(D617,'Gemini Output'!B:B,'Gemini Output'!C:C,"No Match Yet")</f>
        <v>2</v>
      </c>
      <c r="G617" s="10" t="str">
        <f>_xlfn.XLOOKUP(D617,'Gemini Output'!B:B,'Gemini Output'!E:E,"No Match Yet")</f>
        <v>L2</v>
      </c>
      <c r="H617" s="10"/>
      <c r="I617" s="10"/>
      <c r="J617" s="10"/>
      <c r="K617" s="10"/>
      <c r="L617" s="10"/>
      <c r="M617" s="10"/>
      <c r="N617" s="10"/>
      <c r="O617" s="10"/>
    </row>
    <row r="618" spans="2:15" ht="20.25">
      <c r="B618" s="10"/>
      <c r="C618" s="14">
        <v>615</v>
      </c>
      <c r="D618" s="15" t="s">
        <v>693</v>
      </c>
      <c r="E618" s="14">
        <v>30</v>
      </c>
      <c r="F618" s="15">
        <f>_xlfn.XLOOKUP(D618,'Gemini Output'!B:B,'Gemini Output'!C:C,"No Match Yet")</f>
        <v>9</v>
      </c>
      <c r="G618" s="10" t="str">
        <f>_xlfn.XLOOKUP(D618,'Gemini Output'!B:B,'Gemini Output'!E:E,"No Match Yet")</f>
        <v>L1</v>
      </c>
      <c r="H618" s="10"/>
      <c r="I618" s="10"/>
      <c r="J618" s="10"/>
      <c r="K618" s="10"/>
      <c r="L618" s="10"/>
      <c r="M618" s="10"/>
      <c r="N618" s="10"/>
      <c r="O618" s="10"/>
    </row>
    <row r="619" spans="2:15" ht="20.25">
      <c r="B619" s="10"/>
      <c r="C619" s="14">
        <v>616</v>
      </c>
      <c r="D619" s="15" t="s">
        <v>694</v>
      </c>
      <c r="E619" s="14">
        <v>30</v>
      </c>
      <c r="F619" s="15">
        <f>_xlfn.XLOOKUP(D619,'Gemini Output'!B:B,'Gemini Output'!C:C,"No Match Yet")</f>
        <v>10</v>
      </c>
      <c r="G619" s="10" t="str">
        <f>_xlfn.XLOOKUP(D619,'Gemini Output'!B:B,'Gemini Output'!E:E,"No Match Yet")</f>
        <v>L2</v>
      </c>
      <c r="H619" s="10"/>
      <c r="I619" s="10"/>
      <c r="J619" s="10"/>
      <c r="K619" s="10"/>
      <c r="L619" s="10"/>
      <c r="M619" s="10"/>
      <c r="N619" s="10"/>
      <c r="O619" s="10"/>
    </row>
    <row r="620" spans="2:15" ht="20.25">
      <c r="B620" s="10"/>
      <c r="C620" s="14">
        <v>617</v>
      </c>
      <c r="D620" s="15" t="s">
        <v>695</v>
      </c>
      <c r="E620" s="14">
        <v>30</v>
      </c>
      <c r="F620" s="15">
        <f>_xlfn.XLOOKUP(D620,'Gemini Output'!B:B,'Gemini Output'!C:C,"No Match Yet")</f>
        <v>1</v>
      </c>
      <c r="G620" s="10" t="str">
        <f>_xlfn.XLOOKUP(D620,'Gemini Output'!B:B,'Gemini Output'!E:E,"No Match Yet")</f>
        <v>L1</v>
      </c>
      <c r="H620" s="10"/>
      <c r="I620" s="10"/>
      <c r="J620" s="10"/>
      <c r="K620" s="10"/>
      <c r="L620" s="10"/>
      <c r="M620" s="10"/>
      <c r="N620" s="10"/>
      <c r="O620" s="10"/>
    </row>
    <row r="621" spans="2:15" ht="20.25">
      <c r="B621" s="10"/>
      <c r="C621" s="14">
        <v>618</v>
      </c>
      <c r="D621" s="15" t="s">
        <v>696</v>
      </c>
      <c r="E621" s="14">
        <v>30</v>
      </c>
      <c r="F621" s="15">
        <f>_xlfn.XLOOKUP(D621,'Gemini Output'!B:B,'Gemini Output'!C:C,"No Match Yet")</f>
        <v>6</v>
      </c>
      <c r="G621" s="10" t="str">
        <f>_xlfn.XLOOKUP(D621,'Gemini Output'!B:B,'Gemini Output'!E:E,"No Match Yet")</f>
        <v>L2</v>
      </c>
      <c r="H621" s="10"/>
      <c r="I621" s="10"/>
      <c r="J621" s="10"/>
      <c r="K621" s="10"/>
      <c r="L621" s="10"/>
      <c r="M621" s="10"/>
      <c r="N621" s="10"/>
      <c r="O621" s="10"/>
    </row>
    <row r="622" spans="2:15" ht="20.25">
      <c r="B622" s="10"/>
      <c r="C622" s="14">
        <v>619</v>
      </c>
      <c r="D622" s="15" t="s">
        <v>697</v>
      </c>
      <c r="E622" s="14">
        <v>30</v>
      </c>
      <c r="F622" s="15">
        <f>_xlfn.XLOOKUP(D622,'Gemini Output'!B:B,'Gemini Output'!C:C,"No Match Yet")</f>
        <v>1</v>
      </c>
      <c r="G622" s="10" t="str">
        <f>_xlfn.XLOOKUP(D622,'Gemini Output'!B:B,'Gemini Output'!E:E,"No Match Yet")</f>
        <v>L3</v>
      </c>
      <c r="H622" s="10"/>
      <c r="I622" s="10"/>
      <c r="J622" s="10"/>
      <c r="K622" s="10"/>
      <c r="L622" s="10"/>
      <c r="M622" s="10"/>
      <c r="N622" s="10"/>
      <c r="O622" s="10"/>
    </row>
    <row r="623" spans="2:15" ht="20.25">
      <c r="B623" s="10"/>
      <c r="C623" s="14">
        <v>620</v>
      </c>
      <c r="D623" s="15" t="s">
        <v>698</v>
      </c>
      <c r="E623" s="14">
        <v>30</v>
      </c>
      <c r="F623" s="15">
        <f>_xlfn.XLOOKUP(D623,'Gemini Output'!B:B,'Gemini Output'!C:C,"No Match Yet")</f>
        <v>7</v>
      </c>
      <c r="G623" s="10" t="str">
        <f>_xlfn.XLOOKUP(D623,'Gemini Output'!B:B,'Gemini Output'!E:E,"No Match Yet")</f>
        <v>L3</v>
      </c>
      <c r="H623" s="10"/>
      <c r="I623" s="10"/>
      <c r="J623" s="10"/>
      <c r="K623" s="10"/>
      <c r="L623" s="10"/>
      <c r="M623" s="10"/>
      <c r="N623" s="10"/>
      <c r="O623" s="10"/>
    </row>
    <row r="624" spans="2:15" ht="20.25">
      <c r="B624" s="10"/>
      <c r="C624" s="14">
        <v>621</v>
      </c>
      <c r="D624" s="15" t="s">
        <v>700</v>
      </c>
      <c r="E624" s="14">
        <v>30</v>
      </c>
      <c r="F624" s="15">
        <f>_xlfn.XLOOKUP(D624,'Gemini Output'!B:B,'Gemini Output'!C:C,"No Match Yet")</f>
        <v>8</v>
      </c>
      <c r="G624" s="10" t="str">
        <f>_xlfn.XLOOKUP(D624,'Gemini Output'!B:B,'Gemini Output'!E:E,"No Match Yet")</f>
        <v>L2</v>
      </c>
      <c r="H624" s="10"/>
      <c r="I624" s="10"/>
      <c r="J624" s="10"/>
      <c r="K624" s="10"/>
      <c r="L624" s="10"/>
      <c r="M624" s="10"/>
      <c r="N624" s="10"/>
      <c r="O624" s="10"/>
    </row>
    <row r="625" spans="2:15" ht="20.25">
      <c r="B625" s="10"/>
      <c r="C625" s="14">
        <v>622</v>
      </c>
      <c r="D625" s="15" t="s">
        <v>701</v>
      </c>
      <c r="E625" s="14">
        <v>30</v>
      </c>
      <c r="F625" s="15">
        <f>_xlfn.XLOOKUP(D625,'Gemini Output'!B:B,'Gemini Output'!C:C,"No Match Yet")</f>
        <v>5</v>
      </c>
      <c r="G625" s="10" t="str">
        <f>_xlfn.XLOOKUP(D625,'Gemini Output'!B:B,'Gemini Output'!E:E,"No Match Yet")</f>
        <v>L2</v>
      </c>
      <c r="H625" s="10"/>
      <c r="I625" s="10"/>
      <c r="J625" s="10"/>
      <c r="K625" s="10"/>
      <c r="L625" s="10"/>
      <c r="M625" s="10"/>
      <c r="N625" s="10"/>
      <c r="O625" s="10"/>
    </row>
    <row r="626" spans="2:15" ht="20.25">
      <c r="B626" s="10"/>
      <c r="C626" s="14">
        <v>623</v>
      </c>
      <c r="D626" s="15" t="s">
        <v>702</v>
      </c>
      <c r="E626" s="14">
        <v>30</v>
      </c>
      <c r="F626" s="15">
        <f>_xlfn.XLOOKUP(D626,'Gemini Output'!B:B,'Gemini Output'!C:C,"No Match Yet")</f>
        <v>3</v>
      </c>
      <c r="G626" s="10" t="str">
        <f>_xlfn.XLOOKUP(D626,'Gemini Output'!B:B,'Gemini Output'!E:E,"No Match Yet")</f>
        <v>L2</v>
      </c>
      <c r="H626" s="10"/>
      <c r="I626" s="10"/>
      <c r="J626" s="10"/>
      <c r="K626" s="10"/>
      <c r="L626" s="10"/>
      <c r="M626" s="10"/>
      <c r="N626" s="10"/>
      <c r="O626" s="10"/>
    </row>
    <row r="627" spans="2:15" ht="20.25">
      <c r="B627" s="10"/>
      <c r="C627" s="14">
        <v>624</v>
      </c>
      <c r="D627" s="15" t="s">
        <v>703</v>
      </c>
      <c r="E627" s="14">
        <v>30</v>
      </c>
      <c r="F627" s="15">
        <f>_xlfn.XLOOKUP(D627,'Gemini Output'!B:B,'Gemini Output'!C:C,"No Match Yet")</f>
        <v>9</v>
      </c>
      <c r="G627" s="10" t="str">
        <f>_xlfn.XLOOKUP(D627,'Gemini Output'!B:B,'Gemini Output'!E:E,"No Match Yet")</f>
        <v>L3</v>
      </c>
      <c r="H627" s="10"/>
      <c r="I627" s="10"/>
      <c r="J627" s="10"/>
      <c r="K627" s="10"/>
      <c r="L627" s="10"/>
      <c r="M627" s="10"/>
      <c r="N627" s="10"/>
      <c r="O627" s="10"/>
    </row>
    <row r="628" spans="2:15" ht="20.25">
      <c r="B628" s="10"/>
      <c r="C628" s="14">
        <v>625</v>
      </c>
      <c r="D628" s="15" t="s">
        <v>704</v>
      </c>
      <c r="E628" s="14">
        <v>30</v>
      </c>
      <c r="F628" s="15">
        <f>_xlfn.XLOOKUP(D628,'Gemini Output'!B:B,'Gemini Output'!C:C,"No Match Yet")</f>
        <v>5</v>
      </c>
      <c r="G628" s="10" t="str">
        <f>_xlfn.XLOOKUP(D628,'Gemini Output'!B:B,'Gemini Output'!E:E,"No Match Yet")</f>
        <v>L2</v>
      </c>
      <c r="H628" s="10"/>
      <c r="I628" s="10"/>
      <c r="J628" s="10"/>
      <c r="K628" s="10"/>
      <c r="L628" s="10"/>
      <c r="M628" s="10"/>
      <c r="N628" s="10"/>
      <c r="O628" s="10"/>
    </row>
    <row r="629" spans="2:15" ht="20.25">
      <c r="B629" s="10"/>
      <c r="C629" s="14">
        <v>626</v>
      </c>
      <c r="D629" s="15" t="s">
        <v>705</v>
      </c>
      <c r="E629" s="14">
        <v>30</v>
      </c>
      <c r="F629" s="15">
        <f>_xlfn.XLOOKUP(D629,'Gemini Output'!B:B,'Gemini Output'!C:C,"No Match Yet")</f>
        <v>1</v>
      </c>
      <c r="G629" s="10" t="str">
        <f>_xlfn.XLOOKUP(D629,'Gemini Output'!B:B,'Gemini Output'!E:E,"No Match Yet")</f>
        <v>L2</v>
      </c>
      <c r="H629" s="10"/>
      <c r="I629" s="10"/>
      <c r="J629" s="10"/>
      <c r="K629" s="10"/>
      <c r="L629" s="10"/>
      <c r="M629" s="10"/>
      <c r="N629" s="10"/>
      <c r="O629" s="10"/>
    </row>
    <row r="630" spans="2:15" ht="20.25">
      <c r="B630" s="10"/>
      <c r="C630" s="14">
        <v>627</v>
      </c>
      <c r="D630" s="15" t="s">
        <v>706</v>
      </c>
      <c r="E630" s="14">
        <v>30</v>
      </c>
      <c r="F630" s="15">
        <f>_xlfn.XLOOKUP(D630,'Gemini Output'!B:B,'Gemini Output'!C:C,"No Match Yet")</f>
        <v>12</v>
      </c>
      <c r="G630" s="10" t="str">
        <f>_xlfn.XLOOKUP(D630,'Gemini Output'!B:B,'Gemini Output'!E:E,"No Match Yet")</f>
        <v>L2</v>
      </c>
      <c r="H630" s="10"/>
      <c r="I630" s="10"/>
      <c r="J630" s="10"/>
      <c r="K630" s="10"/>
      <c r="L630" s="10"/>
      <c r="M630" s="10"/>
      <c r="N630" s="10"/>
      <c r="O630" s="10"/>
    </row>
    <row r="631" spans="2:15" ht="20.25">
      <c r="B631" s="10"/>
      <c r="C631" s="14">
        <v>628</v>
      </c>
      <c r="D631" s="15" t="s">
        <v>707</v>
      </c>
      <c r="E631" s="14">
        <v>30</v>
      </c>
      <c r="F631" s="15">
        <f>_xlfn.XLOOKUP(D631,'Gemini Output'!B:B,'Gemini Output'!C:C,"No Match Yet")</f>
        <v>6</v>
      </c>
      <c r="G631" s="10" t="str">
        <f>_xlfn.XLOOKUP(D631,'Gemini Output'!B:B,'Gemini Output'!E:E,"No Match Yet")</f>
        <v>L2</v>
      </c>
      <c r="H631" s="10"/>
      <c r="I631" s="10"/>
      <c r="J631" s="10"/>
      <c r="K631" s="10"/>
      <c r="L631" s="10"/>
      <c r="M631" s="10"/>
      <c r="N631" s="10"/>
      <c r="O631" s="10"/>
    </row>
    <row r="632" spans="2:15" ht="20.25">
      <c r="B632" s="10"/>
      <c r="C632" s="14">
        <v>629</v>
      </c>
      <c r="D632" s="15" t="s">
        <v>708</v>
      </c>
      <c r="E632" s="14">
        <v>30</v>
      </c>
      <c r="F632" s="15">
        <f>_xlfn.XLOOKUP(D632,'Gemini Output'!B:B,'Gemini Output'!C:C,"No Match Yet")</f>
        <v>9</v>
      </c>
      <c r="G632" s="10" t="str">
        <f>_xlfn.XLOOKUP(D632,'Gemini Output'!B:B,'Gemini Output'!E:E,"No Match Yet")</f>
        <v>L2</v>
      </c>
      <c r="H632" s="10"/>
      <c r="I632" s="10"/>
      <c r="J632" s="10"/>
      <c r="K632" s="10"/>
      <c r="L632" s="10"/>
      <c r="M632" s="10"/>
      <c r="N632" s="10"/>
      <c r="O632" s="10"/>
    </row>
    <row r="633" spans="2:15" ht="20.25">
      <c r="B633" s="10"/>
      <c r="C633" s="14">
        <v>630</v>
      </c>
      <c r="D633" s="15" t="s">
        <v>709</v>
      </c>
      <c r="E633" s="14">
        <v>30</v>
      </c>
      <c r="F633" s="15">
        <f>_xlfn.XLOOKUP(D633,'Gemini Output'!B:B,'Gemini Output'!C:C,"No Match Yet")</f>
        <v>8</v>
      </c>
      <c r="G633" s="10" t="str">
        <f>_xlfn.XLOOKUP(D633,'Gemini Output'!B:B,'Gemini Output'!E:E,"No Match Yet")</f>
        <v>L3</v>
      </c>
      <c r="H633" s="10"/>
      <c r="I633" s="10"/>
      <c r="J633" s="10"/>
      <c r="K633" s="10"/>
      <c r="L633" s="10"/>
      <c r="M633" s="10"/>
      <c r="N633" s="10"/>
      <c r="O633" s="10"/>
    </row>
    <row r="634" spans="2:15" ht="20.25">
      <c r="B634" s="10"/>
      <c r="C634" s="14">
        <v>631</v>
      </c>
      <c r="D634" s="15" t="s">
        <v>710</v>
      </c>
      <c r="E634" s="14">
        <v>30</v>
      </c>
      <c r="F634" s="15">
        <f>_xlfn.XLOOKUP(D634,'Gemini Output'!B:B,'Gemini Output'!C:C,"No Match Yet")</f>
        <v>9</v>
      </c>
      <c r="G634" s="10" t="str">
        <f>_xlfn.XLOOKUP(D634,'Gemini Output'!B:B,'Gemini Output'!E:E,"No Match Yet")</f>
        <v>L2</v>
      </c>
      <c r="H634" s="10"/>
      <c r="I634" s="10"/>
      <c r="J634" s="10"/>
      <c r="K634" s="10"/>
      <c r="L634" s="10"/>
      <c r="M634" s="10"/>
      <c r="N634" s="10"/>
      <c r="O634" s="10"/>
    </row>
    <row r="635" spans="2:15" ht="20.25">
      <c r="B635" s="10"/>
      <c r="C635" s="14">
        <v>632</v>
      </c>
      <c r="D635" s="15" t="s">
        <v>712</v>
      </c>
      <c r="E635" s="14">
        <v>30</v>
      </c>
      <c r="F635" s="15">
        <f>_xlfn.XLOOKUP(D635,'Gemini Output'!B:B,'Gemini Output'!C:C,"No Match Yet")</f>
        <v>12</v>
      </c>
      <c r="G635" s="10" t="str">
        <f>_xlfn.XLOOKUP(D635,'Gemini Output'!B:B,'Gemini Output'!E:E,"No Match Yet")</f>
        <v>L1</v>
      </c>
      <c r="H635" s="10"/>
      <c r="I635" s="10"/>
      <c r="J635" s="10"/>
      <c r="K635" s="10"/>
      <c r="L635" s="10"/>
      <c r="M635" s="10"/>
      <c r="N635" s="10"/>
      <c r="O635" s="10"/>
    </row>
    <row r="636" spans="2:15" ht="20.25">
      <c r="B636" s="10"/>
      <c r="C636" s="14">
        <v>633</v>
      </c>
      <c r="D636" s="15" t="s">
        <v>713</v>
      </c>
      <c r="E636" s="14">
        <v>30</v>
      </c>
      <c r="F636" s="15">
        <f>_xlfn.XLOOKUP(D636,'Gemini Output'!B:B,'Gemini Output'!C:C,"No Match Yet")</f>
        <v>9</v>
      </c>
      <c r="G636" s="10" t="str">
        <f>_xlfn.XLOOKUP(D636,'Gemini Output'!B:B,'Gemini Output'!E:E,"No Match Yet")</f>
        <v>L2</v>
      </c>
      <c r="H636" s="10"/>
      <c r="I636" s="10"/>
      <c r="J636" s="10"/>
      <c r="K636" s="10"/>
      <c r="L636" s="10"/>
      <c r="M636" s="10"/>
      <c r="N636" s="10"/>
      <c r="O636" s="10"/>
    </row>
    <row r="637" spans="2:15" ht="20.25">
      <c r="B637" s="10"/>
      <c r="C637" s="14">
        <v>634</v>
      </c>
      <c r="D637" s="15" t="s">
        <v>714</v>
      </c>
      <c r="E637" s="14">
        <v>30</v>
      </c>
      <c r="F637" s="15">
        <f>_xlfn.XLOOKUP(D637,'Gemini Output'!B:B,'Gemini Output'!C:C,"No Match Yet")</f>
        <v>2</v>
      </c>
      <c r="G637" s="10" t="str">
        <f>_xlfn.XLOOKUP(D637,'Gemini Output'!B:B,'Gemini Output'!E:E,"No Match Yet")</f>
        <v>L2</v>
      </c>
      <c r="H637" s="10"/>
      <c r="I637" s="10"/>
      <c r="J637" s="10"/>
      <c r="K637" s="10"/>
      <c r="L637" s="10"/>
      <c r="M637" s="10"/>
      <c r="N637" s="10"/>
      <c r="O637" s="10"/>
    </row>
    <row r="638" spans="2:15" ht="20.25">
      <c r="B638" s="10"/>
      <c r="C638" s="14">
        <v>635</v>
      </c>
      <c r="D638" s="15" t="s">
        <v>715</v>
      </c>
      <c r="E638" s="14">
        <v>30</v>
      </c>
      <c r="F638" s="15">
        <f>_xlfn.XLOOKUP(D638,'Gemini Output'!B:B,'Gemini Output'!C:C,"No Match Yet")</f>
        <v>11</v>
      </c>
      <c r="G638" s="10" t="str">
        <f>_xlfn.XLOOKUP(D638,'Gemini Output'!B:B,'Gemini Output'!E:E,"No Match Yet")</f>
        <v>L1</v>
      </c>
      <c r="H638" s="10"/>
      <c r="I638" s="10"/>
      <c r="J638" s="10"/>
      <c r="K638" s="10"/>
      <c r="L638" s="10"/>
      <c r="M638" s="10"/>
      <c r="N638" s="10"/>
      <c r="O638" s="10"/>
    </row>
    <row r="639" spans="2:15" ht="20.25">
      <c r="B639" s="10"/>
      <c r="C639" s="14">
        <v>636</v>
      </c>
      <c r="D639" s="15" t="s">
        <v>716</v>
      </c>
      <c r="E639" s="14">
        <v>30</v>
      </c>
      <c r="F639" s="15">
        <f>_xlfn.XLOOKUP(D639,'Gemini Output'!B:B,'Gemini Output'!C:C,"No Match Yet")</f>
        <v>1</v>
      </c>
      <c r="G639" s="10" t="str">
        <f>_xlfn.XLOOKUP(D639,'Gemini Output'!B:B,'Gemini Output'!E:E,"No Match Yet")</f>
        <v>L2</v>
      </c>
      <c r="H639" s="10"/>
      <c r="I639" s="10"/>
      <c r="J639" s="10"/>
      <c r="K639" s="10"/>
      <c r="L639" s="10"/>
      <c r="M639" s="10"/>
      <c r="N639" s="10"/>
      <c r="O639" s="10"/>
    </row>
    <row r="640" spans="2:15" ht="20.25">
      <c r="B640" s="10"/>
      <c r="C640" s="14">
        <v>637</v>
      </c>
      <c r="D640" s="15" t="s">
        <v>717</v>
      </c>
      <c r="E640" s="14">
        <v>30</v>
      </c>
      <c r="F640" s="15">
        <f>_xlfn.XLOOKUP(D640,'Gemini Output'!B:B,'Gemini Output'!C:C,"No Match Yet")</f>
        <v>3</v>
      </c>
      <c r="G640" s="10" t="str">
        <f>_xlfn.XLOOKUP(D640,'Gemini Output'!B:B,'Gemini Output'!E:E,"No Match Yet")</f>
        <v>L2</v>
      </c>
      <c r="H640" s="10"/>
      <c r="I640" s="10"/>
      <c r="J640" s="10"/>
      <c r="K640" s="10"/>
      <c r="L640" s="10"/>
      <c r="M640" s="10"/>
      <c r="N640" s="10"/>
      <c r="O640" s="10"/>
    </row>
    <row r="641" spans="2:15" ht="20.25">
      <c r="B641" s="10"/>
      <c r="C641" s="14">
        <v>638</v>
      </c>
      <c r="D641" s="15" t="s">
        <v>718</v>
      </c>
      <c r="E641" s="14">
        <v>30</v>
      </c>
      <c r="F641" s="15">
        <f>_xlfn.XLOOKUP(D641,'Gemini Output'!B:B,'Gemini Output'!C:C,"No Match Yet")</f>
        <v>6</v>
      </c>
      <c r="G641" s="10" t="str">
        <f>_xlfn.XLOOKUP(D641,'Gemini Output'!B:B,'Gemini Output'!E:E,"No Match Yet")</f>
        <v>L2</v>
      </c>
      <c r="H641" s="10"/>
      <c r="I641" s="10"/>
      <c r="J641" s="10"/>
      <c r="K641" s="10"/>
      <c r="L641" s="10"/>
      <c r="M641" s="10"/>
      <c r="N641" s="10"/>
      <c r="O641" s="10"/>
    </row>
    <row r="642" spans="2:15" ht="20.25">
      <c r="B642" s="10"/>
      <c r="C642" s="14">
        <v>639</v>
      </c>
      <c r="D642" s="15" t="s">
        <v>719</v>
      </c>
      <c r="E642" s="14"/>
      <c r="F642" s="15">
        <f>_xlfn.XLOOKUP(D642,'Gemini Output'!B:B,'Gemini Output'!C:C,"No Match Yet")</f>
        <v>6</v>
      </c>
      <c r="G642" s="10" t="str">
        <f>_xlfn.XLOOKUP(D642,'Gemini Output'!B:B,'Gemini Output'!E:E,"No Match Yet")</f>
        <v>L3</v>
      </c>
      <c r="H642" s="10"/>
      <c r="I642" s="10"/>
      <c r="J642" s="10"/>
      <c r="K642" s="10"/>
      <c r="L642" s="10"/>
      <c r="M642" s="10"/>
      <c r="N642" s="10"/>
      <c r="O642" s="10"/>
    </row>
    <row r="643" spans="2:15" ht="20.25">
      <c r="B643" s="10"/>
      <c r="C643" s="14">
        <v>640</v>
      </c>
      <c r="D643" s="15" t="s">
        <v>720</v>
      </c>
      <c r="E643" s="14">
        <v>29</v>
      </c>
      <c r="F643" s="15">
        <f>_xlfn.XLOOKUP(D643,'Gemini Output'!B:B,'Gemini Output'!C:C,"No Match Yet")</f>
        <v>10</v>
      </c>
      <c r="G643" s="10" t="str">
        <f>_xlfn.XLOOKUP(D643,'Gemini Output'!B:B,'Gemini Output'!E:E,"No Match Yet")</f>
        <v>L1</v>
      </c>
      <c r="H643" s="10"/>
      <c r="I643" s="10"/>
      <c r="J643" s="10"/>
      <c r="K643" s="10"/>
      <c r="L643" s="10"/>
      <c r="M643" s="10"/>
      <c r="N643" s="10"/>
      <c r="O643" s="10"/>
    </row>
    <row r="644" spans="2:15" ht="20.25">
      <c r="B644" s="10"/>
      <c r="C644" s="14">
        <v>641</v>
      </c>
      <c r="D644" s="15" t="s">
        <v>721</v>
      </c>
      <c r="E644" s="14">
        <v>29</v>
      </c>
      <c r="F644" s="15">
        <f>_xlfn.XLOOKUP(D644,'Gemini Output'!B:B,'Gemini Output'!C:C,"No Match Yet")</f>
        <v>12</v>
      </c>
      <c r="G644" s="10" t="str">
        <f>_xlfn.XLOOKUP(D644,'Gemini Output'!B:B,'Gemini Output'!E:E,"No Match Yet")</f>
        <v>L2</v>
      </c>
      <c r="H644" s="10"/>
      <c r="I644" s="10"/>
      <c r="J644" s="10"/>
      <c r="K644" s="10"/>
      <c r="L644" s="10"/>
      <c r="M644" s="10"/>
      <c r="N644" s="10"/>
      <c r="O644" s="10"/>
    </row>
    <row r="645" spans="2:15" ht="20.25">
      <c r="B645" s="10"/>
      <c r="C645" s="14">
        <v>642</v>
      </c>
      <c r="D645" s="15" t="s">
        <v>722</v>
      </c>
      <c r="E645" s="14">
        <v>29</v>
      </c>
      <c r="F645" s="15">
        <f>_xlfn.XLOOKUP(D645,'Gemini Output'!B:B,'Gemini Output'!C:C,"No Match Yet")</f>
        <v>7</v>
      </c>
      <c r="G645" s="10" t="str">
        <f>_xlfn.XLOOKUP(D645,'Gemini Output'!B:B,'Gemini Output'!E:E,"No Match Yet")</f>
        <v>L2</v>
      </c>
      <c r="H645" s="10"/>
      <c r="I645" s="10"/>
      <c r="J645" s="10"/>
      <c r="K645" s="10"/>
      <c r="L645" s="10"/>
      <c r="M645" s="10"/>
      <c r="N645" s="10"/>
      <c r="O645" s="10"/>
    </row>
    <row r="646" spans="2:15" ht="20.25">
      <c r="B646" s="10"/>
      <c r="C646" s="14">
        <v>643</v>
      </c>
      <c r="D646" s="15" t="s">
        <v>723</v>
      </c>
      <c r="E646" s="14">
        <v>29</v>
      </c>
      <c r="F646" s="15">
        <f>_xlfn.XLOOKUP(D646,'Gemini Output'!B:B,'Gemini Output'!C:C,"No Match Yet")</f>
        <v>1</v>
      </c>
      <c r="G646" s="10" t="str">
        <f>_xlfn.XLOOKUP(D646,'Gemini Output'!B:B,'Gemini Output'!E:E,"No Match Yet")</f>
        <v>L2</v>
      </c>
      <c r="H646" s="10"/>
      <c r="I646" s="10"/>
      <c r="J646" s="10"/>
      <c r="K646" s="10"/>
      <c r="L646" s="10"/>
      <c r="M646" s="10"/>
      <c r="N646" s="10"/>
      <c r="O646" s="10"/>
    </row>
    <row r="647" spans="2:15" ht="20.25">
      <c r="B647" s="10"/>
      <c r="C647" s="14">
        <v>644</v>
      </c>
      <c r="D647" s="15" t="s">
        <v>724</v>
      </c>
      <c r="E647" s="14">
        <v>29</v>
      </c>
      <c r="F647" s="15">
        <f>_xlfn.XLOOKUP(D647,'Gemini Output'!B:B,'Gemini Output'!C:C,"No Match Yet")</f>
        <v>5</v>
      </c>
      <c r="G647" s="10" t="str">
        <f>_xlfn.XLOOKUP(D647,'Gemini Output'!B:B,'Gemini Output'!E:E,"No Match Yet")</f>
        <v>L2</v>
      </c>
      <c r="H647" s="10"/>
      <c r="I647" s="10"/>
      <c r="J647" s="10"/>
      <c r="K647" s="10"/>
      <c r="L647" s="10"/>
      <c r="M647" s="10"/>
      <c r="N647" s="10"/>
      <c r="O647" s="10"/>
    </row>
    <row r="648" spans="2:15" ht="20.25">
      <c r="B648" s="10"/>
      <c r="C648" s="14">
        <v>645</v>
      </c>
      <c r="D648" s="15" t="s">
        <v>725</v>
      </c>
      <c r="E648" s="14">
        <v>29</v>
      </c>
      <c r="F648" s="15">
        <f>_xlfn.XLOOKUP(D648,'Gemini Output'!B:B,'Gemini Output'!C:C,"No Match Yet")</f>
        <v>3</v>
      </c>
      <c r="G648" s="10" t="str">
        <f>_xlfn.XLOOKUP(D648,'Gemini Output'!B:B,'Gemini Output'!E:E,"No Match Yet")</f>
        <v>L2</v>
      </c>
      <c r="H648" s="10"/>
      <c r="I648" s="10"/>
      <c r="J648" s="10"/>
      <c r="K648" s="10"/>
      <c r="L648" s="10"/>
      <c r="M648" s="10"/>
      <c r="N648" s="10"/>
      <c r="O648" s="10"/>
    </row>
    <row r="649" spans="2:15" ht="20.25">
      <c r="B649" s="10"/>
      <c r="C649" s="14">
        <v>646</v>
      </c>
      <c r="D649" s="15" t="s">
        <v>726</v>
      </c>
      <c r="E649" s="14">
        <v>29</v>
      </c>
      <c r="F649" s="15">
        <f>_xlfn.XLOOKUP(D649,'Gemini Output'!B:B,'Gemini Output'!C:C,"No Match Yet")</f>
        <v>6</v>
      </c>
      <c r="G649" s="10" t="str">
        <f>_xlfn.XLOOKUP(D649,'Gemini Output'!B:B,'Gemini Output'!E:E,"No Match Yet")</f>
        <v>L1</v>
      </c>
      <c r="H649" s="10"/>
      <c r="I649" s="10"/>
      <c r="J649" s="10"/>
      <c r="K649" s="10"/>
      <c r="L649" s="10"/>
      <c r="M649" s="10"/>
      <c r="N649" s="10"/>
      <c r="O649" s="10"/>
    </row>
    <row r="650" spans="2:15" ht="20.25">
      <c r="B650" s="10"/>
      <c r="C650" s="14">
        <v>647</v>
      </c>
      <c r="D650" s="15" t="s">
        <v>727</v>
      </c>
      <c r="E650" s="14">
        <v>29</v>
      </c>
      <c r="F650" s="15">
        <f>_xlfn.XLOOKUP(D650,'Gemini Output'!B:B,'Gemini Output'!C:C,"No Match Yet")</f>
        <v>12</v>
      </c>
      <c r="G650" s="10" t="str">
        <f>_xlfn.XLOOKUP(D650,'Gemini Output'!B:B,'Gemini Output'!E:E,"No Match Yet")</f>
        <v>L1</v>
      </c>
      <c r="H650" s="10"/>
      <c r="I650" s="10"/>
      <c r="J650" s="10"/>
      <c r="K650" s="10"/>
      <c r="L650" s="10"/>
      <c r="M650" s="10"/>
      <c r="N650" s="10"/>
      <c r="O650" s="10"/>
    </row>
    <row r="651" spans="2:15" ht="20.25">
      <c r="B651" s="10"/>
      <c r="C651" s="14">
        <v>648</v>
      </c>
      <c r="D651" s="15" t="s">
        <v>728</v>
      </c>
      <c r="E651" s="14">
        <v>29</v>
      </c>
      <c r="F651" s="15">
        <f>_xlfn.XLOOKUP(D651,'Gemini Output'!B:B,'Gemini Output'!C:C,"No Match Yet")</f>
        <v>13</v>
      </c>
      <c r="G651" s="10" t="str">
        <f>_xlfn.XLOOKUP(D651,'Gemini Output'!B:B,'Gemini Output'!E:E,"No Match Yet")</f>
        <v>L2</v>
      </c>
      <c r="H651" s="10"/>
      <c r="I651" s="10"/>
      <c r="J651" s="10"/>
      <c r="K651" s="10"/>
      <c r="L651" s="10"/>
      <c r="M651" s="10"/>
      <c r="N651" s="10"/>
      <c r="O651" s="10"/>
    </row>
    <row r="652" spans="2:15" ht="20.25">
      <c r="B652" s="10"/>
      <c r="C652" s="14">
        <v>649</v>
      </c>
      <c r="D652" s="15" t="s">
        <v>729</v>
      </c>
      <c r="E652" s="14">
        <v>29</v>
      </c>
      <c r="F652" s="15">
        <f>_xlfn.XLOOKUP(D652,'Gemini Output'!B:B,'Gemini Output'!C:C,"No Match Yet")</f>
        <v>4</v>
      </c>
      <c r="G652" s="10" t="str">
        <f>_xlfn.XLOOKUP(D652,'Gemini Output'!B:B,'Gemini Output'!E:E,"No Match Yet")</f>
        <v>L2</v>
      </c>
      <c r="H652" s="10"/>
      <c r="I652" s="10"/>
      <c r="J652" s="10"/>
      <c r="K652" s="10"/>
      <c r="L652" s="10"/>
      <c r="M652" s="10"/>
      <c r="N652" s="10"/>
      <c r="O652" s="10"/>
    </row>
    <row r="653" spans="2:15" ht="20.25">
      <c r="B653" s="10"/>
      <c r="C653" s="14">
        <v>650</v>
      </c>
      <c r="D653" s="15" t="s">
        <v>730</v>
      </c>
      <c r="E653" s="14">
        <v>29</v>
      </c>
      <c r="F653" s="15">
        <f>_xlfn.XLOOKUP(D653,'Gemini Output'!B:B,'Gemini Output'!C:C,"No Match Yet")</f>
        <v>9</v>
      </c>
      <c r="G653" s="10" t="str">
        <f>_xlfn.XLOOKUP(D653,'Gemini Output'!B:B,'Gemini Output'!E:E,"No Match Yet")</f>
        <v>L2</v>
      </c>
      <c r="H653" s="10"/>
      <c r="I653" s="10"/>
      <c r="J653" s="10"/>
      <c r="K653" s="10"/>
      <c r="L653" s="10"/>
      <c r="M653" s="10"/>
      <c r="N653" s="10"/>
      <c r="O653" s="10"/>
    </row>
    <row r="654" spans="2:15" ht="20.25">
      <c r="B654" s="10"/>
      <c r="C654" s="14">
        <v>651</v>
      </c>
      <c r="D654" s="15" t="s">
        <v>731</v>
      </c>
      <c r="E654" s="14">
        <v>29</v>
      </c>
      <c r="F654" s="15">
        <f>_xlfn.XLOOKUP(D654,'Gemini Output'!B:B,'Gemini Output'!C:C,"No Match Yet")</f>
        <v>2</v>
      </c>
      <c r="G654" s="10" t="str">
        <f>_xlfn.XLOOKUP(D654,'Gemini Output'!B:B,'Gemini Output'!E:E,"No Match Yet")</f>
        <v>L2</v>
      </c>
      <c r="H654" s="10"/>
      <c r="I654" s="10"/>
      <c r="J654" s="10"/>
      <c r="K654" s="10"/>
      <c r="L654" s="10"/>
      <c r="M654" s="10"/>
      <c r="N654" s="10"/>
      <c r="O654" s="10"/>
    </row>
    <row r="655" spans="2:15" ht="20.25">
      <c r="B655" s="10"/>
      <c r="C655" s="14">
        <v>652</v>
      </c>
      <c r="D655" s="15" t="s">
        <v>732</v>
      </c>
      <c r="E655" s="14">
        <v>29</v>
      </c>
      <c r="F655" s="15">
        <f>_xlfn.XLOOKUP(D655,'Gemini Output'!B:B,'Gemini Output'!C:C,"No Match Yet")</f>
        <v>14</v>
      </c>
      <c r="G655" s="10" t="str">
        <f>_xlfn.XLOOKUP(D655,'Gemini Output'!B:B,'Gemini Output'!E:E,"No Match Yet")</f>
        <v>L2</v>
      </c>
      <c r="H655" s="10"/>
      <c r="I655" s="10"/>
      <c r="J655" s="10"/>
      <c r="K655" s="10"/>
      <c r="L655" s="10"/>
      <c r="M655" s="10"/>
      <c r="N655" s="10"/>
      <c r="O655" s="10"/>
    </row>
    <row r="656" spans="2:15" ht="20.25">
      <c r="B656" s="10"/>
      <c r="C656" s="14">
        <v>653</v>
      </c>
      <c r="D656" s="15" t="s">
        <v>733</v>
      </c>
      <c r="E656" s="14">
        <v>29</v>
      </c>
      <c r="F656" s="15">
        <f>_xlfn.XLOOKUP(D656,'Gemini Output'!B:B,'Gemini Output'!C:C,"No Match Yet")</f>
        <v>12</v>
      </c>
      <c r="G656" s="10" t="str">
        <f>_xlfn.XLOOKUP(D656,'Gemini Output'!B:B,'Gemini Output'!E:E,"No Match Yet")</f>
        <v>L1</v>
      </c>
      <c r="H656" s="10"/>
      <c r="I656" s="10"/>
      <c r="J656" s="10"/>
      <c r="K656" s="10"/>
      <c r="L656" s="10"/>
      <c r="M656" s="10"/>
      <c r="N656" s="10"/>
      <c r="O656" s="10"/>
    </row>
    <row r="657" spans="2:15" ht="20.25">
      <c r="B657" s="10"/>
      <c r="C657" s="14">
        <v>654</v>
      </c>
      <c r="D657" s="15" t="s">
        <v>734</v>
      </c>
      <c r="E657" s="14">
        <v>29</v>
      </c>
      <c r="F657" s="15">
        <f>_xlfn.XLOOKUP(D657,'Gemini Output'!B:B,'Gemini Output'!C:C,"No Match Yet")</f>
        <v>12</v>
      </c>
      <c r="G657" s="10" t="str">
        <f>_xlfn.XLOOKUP(D657,'Gemini Output'!B:B,'Gemini Output'!E:E,"No Match Yet")</f>
        <v>L2</v>
      </c>
      <c r="H657" s="10"/>
      <c r="I657" s="10"/>
      <c r="J657" s="10"/>
      <c r="K657" s="10"/>
      <c r="L657" s="10"/>
      <c r="M657" s="10"/>
      <c r="N657" s="10"/>
      <c r="O657" s="10"/>
    </row>
    <row r="658" spans="2:15" ht="20.25">
      <c r="B658" s="10"/>
      <c r="C658" s="14">
        <v>655</v>
      </c>
      <c r="D658" s="15" t="s">
        <v>735</v>
      </c>
      <c r="E658" s="14"/>
      <c r="F658" s="15">
        <f>_xlfn.XLOOKUP(D658,'Gemini Output'!B:B,'Gemini Output'!C:C,"No Match Yet")</f>
        <v>3</v>
      </c>
      <c r="G658" s="10" t="str">
        <f>_xlfn.XLOOKUP(D658,'Gemini Output'!B:B,'Gemini Output'!E:E,"No Match Yet")</f>
        <v>L2</v>
      </c>
      <c r="H658" s="10"/>
      <c r="I658" s="10"/>
      <c r="J658" s="10"/>
      <c r="K658" s="10"/>
      <c r="L658" s="10"/>
      <c r="M658" s="10"/>
      <c r="N658" s="10"/>
      <c r="O658" s="10"/>
    </row>
    <row r="659" spans="2:15" ht="20.25">
      <c r="B659" s="10"/>
      <c r="C659" s="14">
        <v>656</v>
      </c>
      <c r="D659" s="15" t="s">
        <v>736</v>
      </c>
      <c r="E659" s="14">
        <v>29</v>
      </c>
      <c r="F659" s="15">
        <f>_xlfn.XLOOKUP(D659,'Gemini Output'!B:B,'Gemini Output'!C:C,"No Match Yet")</f>
        <v>5</v>
      </c>
      <c r="G659" s="10" t="str">
        <f>_xlfn.XLOOKUP(D659,'Gemini Output'!B:B,'Gemini Output'!E:E,"No Match Yet")</f>
        <v>L1</v>
      </c>
      <c r="H659" s="10"/>
      <c r="I659" s="10"/>
      <c r="J659" s="10"/>
      <c r="K659" s="10"/>
      <c r="L659" s="10"/>
      <c r="M659" s="10"/>
      <c r="N659" s="10"/>
      <c r="O659" s="10"/>
    </row>
    <row r="660" spans="2:15" ht="20.25">
      <c r="B660" s="10"/>
      <c r="C660" s="14">
        <v>657</v>
      </c>
      <c r="D660" s="15">
        <v>22</v>
      </c>
      <c r="E660" s="14">
        <v>29</v>
      </c>
      <c r="F660" s="15">
        <f>_xlfn.XLOOKUP(D660,'Gemini Output'!B:B,'Gemini Output'!C:C,"No Match Yet")</f>
        <v>1</v>
      </c>
      <c r="G660" s="10" t="str">
        <f>_xlfn.XLOOKUP(D660,'Gemini Output'!B:B,'Gemini Output'!E:E,"No Match Yet")</f>
        <v>L1</v>
      </c>
      <c r="H660" s="10"/>
      <c r="I660" s="10"/>
      <c r="J660" s="10"/>
      <c r="K660" s="10"/>
      <c r="L660" s="10"/>
      <c r="M660" s="10"/>
      <c r="N660" s="10"/>
      <c r="O660" s="10"/>
    </row>
    <row r="661" spans="2:15" ht="20.25">
      <c r="B661" s="10"/>
      <c r="C661" s="14">
        <v>658</v>
      </c>
      <c r="D661" s="15" t="s">
        <v>737</v>
      </c>
      <c r="E661" s="14">
        <v>29</v>
      </c>
      <c r="F661" s="15">
        <f>_xlfn.XLOOKUP(D661,'Gemini Output'!B:B,'Gemini Output'!C:C,"No Match Yet")</f>
        <v>12</v>
      </c>
      <c r="G661" s="10" t="str">
        <f>_xlfn.XLOOKUP(D661,'Gemini Output'!B:B,'Gemini Output'!E:E,"No Match Yet")</f>
        <v>L1</v>
      </c>
      <c r="H661" s="10"/>
      <c r="I661" s="10"/>
      <c r="J661" s="10"/>
      <c r="K661" s="10"/>
      <c r="L661" s="10"/>
      <c r="M661" s="10"/>
      <c r="N661" s="10"/>
      <c r="O661" s="10"/>
    </row>
    <row r="662" spans="2:15" ht="20.25">
      <c r="B662" s="10"/>
      <c r="C662" s="14">
        <v>659</v>
      </c>
      <c r="D662" s="15" t="s">
        <v>738</v>
      </c>
      <c r="E662" s="14">
        <v>29</v>
      </c>
      <c r="F662" s="15">
        <f>_xlfn.XLOOKUP(D662,'Gemini Output'!B:B,'Gemini Output'!C:C,"No Match Yet")</f>
        <v>10</v>
      </c>
      <c r="G662" s="10" t="str">
        <f>_xlfn.XLOOKUP(D662,'Gemini Output'!B:B,'Gemini Output'!E:E,"No Match Yet")</f>
        <v>L1</v>
      </c>
      <c r="H662" s="10"/>
      <c r="I662" s="10"/>
      <c r="J662" s="10"/>
      <c r="K662" s="10"/>
      <c r="L662" s="10"/>
      <c r="M662" s="10"/>
      <c r="N662" s="10"/>
      <c r="O662" s="10"/>
    </row>
    <row r="663" spans="2:15" ht="20.25">
      <c r="B663" s="10"/>
      <c r="C663" s="14">
        <v>660</v>
      </c>
      <c r="D663" s="15" t="s">
        <v>739</v>
      </c>
      <c r="E663" s="14">
        <v>29</v>
      </c>
      <c r="F663" s="15">
        <f>_xlfn.XLOOKUP(D663,'Gemini Output'!B:B,'Gemini Output'!C:C,"No Match Yet")</f>
        <v>9</v>
      </c>
      <c r="G663" s="10" t="str">
        <f>_xlfn.XLOOKUP(D663,'Gemini Output'!B:B,'Gemini Output'!E:E,"No Match Yet")</f>
        <v>L1</v>
      </c>
      <c r="H663" s="10"/>
      <c r="I663" s="10"/>
      <c r="J663" s="10"/>
      <c r="K663" s="10"/>
      <c r="L663" s="10"/>
      <c r="M663" s="10"/>
      <c r="N663" s="10"/>
      <c r="O663" s="10"/>
    </row>
    <row r="664" spans="2:15" ht="20.25">
      <c r="B664" s="10"/>
      <c r="C664" s="14">
        <v>661</v>
      </c>
      <c r="D664" s="15" t="s">
        <v>740</v>
      </c>
      <c r="E664" s="14">
        <v>29</v>
      </c>
      <c r="F664" s="15">
        <f>_xlfn.XLOOKUP(D664,'Gemini Output'!B:B,'Gemini Output'!C:C,"No Match Yet")</f>
        <v>1</v>
      </c>
      <c r="G664" s="10" t="str">
        <f>_xlfn.XLOOKUP(D664,'Gemini Output'!B:B,'Gemini Output'!E:E,"No Match Yet")</f>
        <v>L2</v>
      </c>
      <c r="H664" s="10"/>
      <c r="I664" s="10"/>
      <c r="J664" s="10"/>
      <c r="K664" s="10"/>
      <c r="L664" s="10"/>
      <c r="M664" s="10"/>
      <c r="N664" s="10"/>
      <c r="O664" s="10"/>
    </row>
    <row r="665" spans="2:15" ht="20.25">
      <c r="B665" s="10"/>
      <c r="C665" s="14">
        <v>662</v>
      </c>
      <c r="D665" s="15" t="s">
        <v>741</v>
      </c>
      <c r="E665" s="14">
        <v>29</v>
      </c>
      <c r="F665" s="15">
        <f>_xlfn.XLOOKUP(D665,'Gemini Output'!B:B,'Gemini Output'!C:C,"No Match Yet")</f>
        <v>5</v>
      </c>
      <c r="G665" s="10" t="str">
        <f>_xlfn.XLOOKUP(D665,'Gemini Output'!B:B,'Gemini Output'!E:E,"No Match Yet")</f>
        <v>L2</v>
      </c>
      <c r="H665" s="10"/>
      <c r="I665" s="10"/>
      <c r="J665" s="10"/>
      <c r="K665" s="10"/>
      <c r="L665" s="10"/>
      <c r="M665" s="10"/>
      <c r="N665" s="10"/>
      <c r="O665" s="10"/>
    </row>
    <row r="666" spans="2:15" ht="20.25">
      <c r="B666" s="10"/>
      <c r="C666" s="14">
        <v>663</v>
      </c>
      <c r="D666" s="15" t="s">
        <v>742</v>
      </c>
      <c r="E666" s="14">
        <v>29</v>
      </c>
      <c r="F666" s="15">
        <f>_xlfn.XLOOKUP(D666,'Gemini Output'!B:B,'Gemini Output'!C:C,"No Match Yet")</f>
        <v>1</v>
      </c>
      <c r="G666" s="10" t="str">
        <f>_xlfn.XLOOKUP(D666,'Gemini Output'!B:B,'Gemini Output'!E:E,"No Match Yet")</f>
        <v>L2</v>
      </c>
      <c r="H666" s="10"/>
      <c r="I666" s="10"/>
      <c r="J666" s="10"/>
      <c r="K666" s="10"/>
      <c r="L666" s="10"/>
      <c r="M666" s="10"/>
      <c r="N666" s="10"/>
      <c r="O666" s="10"/>
    </row>
    <row r="667" spans="2:15" ht="20.25">
      <c r="B667" s="10"/>
      <c r="C667" s="14">
        <v>664</v>
      </c>
      <c r="D667" s="15" t="s">
        <v>743</v>
      </c>
      <c r="E667" s="14"/>
      <c r="F667" s="15">
        <f>_xlfn.XLOOKUP(D667,'Gemini Output'!B:B,'Gemini Output'!C:C,"No Match Yet")</f>
        <v>3</v>
      </c>
      <c r="G667" s="10" t="str">
        <f>_xlfn.XLOOKUP(D667,'Gemini Output'!B:B,'Gemini Output'!E:E,"No Match Yet")</f>
        <v>L2</v>
      </c>
      <c r="H667" s="10"/>
      <c r="I667" s="10"/>
      <c r="J667" s="10"/>
      <c r="K667" s="10"/>
      <c r="L667" s="10"/>
      <c r="M667" s="10"/>
      <c r="N667" s="10"/>
      <c r="O667" s="10"/>
    </row>
    <row r="668" spans="2:15" ht="20.25">
      <c r="B668" s="10"/>
      <c r="C668" s="14">
        <v>665</v>
      </c>
      <c r="D668" s="15" t="s">
        <v>744</v>
      </c>
      <c r="E668" s="14">
        <v>29</v>
      </c>
      <c r="F668" s="15">
        <f>_xlfn.XLOOKUP(D668,'Gemini Output'!B:B,'Gemini Output'!C:C,"No Match Yet")</f>
        <v>1</v>
      </c>
      <c r="G668" s="10" t="str">
        <f>_xlfn.XLOOKUP(D668,'Gemini Output'!B:B,'Gemini Output'!E:E,"No Match Yet")</f>
        <v>L2</v>
      </c>
      <c r="H668" s="10"/>
      <c r="I668" s="10"/>
      <c r="J668" s="10"/>
      <c r="K668" s="10"/>
      <c r="L668" s="10"/>
      <c r="M668" s="10"/>
      <c r="N668" s="10"/>
      <c r="O668" s="10"/>
    </row>
    <row r="669" spans="2:15" ht="20.25">
      <c r="B669" s="10"/>
      <c r="C669" s="14">
        <v>666</v>
      </c>
      <c r="D669" s="15" t="s">
        <v>745</v>
      </c>
      <c r="E669" s="14">
        <v>29</v>
      </c>
      <c r="F669" s="15">
        <f>_xlfn.XLOOKUP(D669,'Gemini Output'!B:B,'Gemini Output'!C:C,"No Match Yet")</f>
        <v>13</v>
      </c>
      <c r="G669" s="10" t="str">
        <f>_xlfn.XLOOKUP(D669,'Gemini Output'!B:B,'Gemini Output'!E:E,"No Match Yet")</f>
        <v>L1</v>
      </c>
      <c r="H669" s="10"/>
      <c r="I669" s="10"/>
      <c r="J669" s="10"/>
      <c r="K669" s="10"/>
      <c r="L669" s="10"/>
      <c r="M669" s="10"/>
      <c r="N669" s="10"/>
      <c r="O669" s="10"/>
    </row>
    <row r="670" spans="2:15" ht="20.25">
      <c r="B670" s="10"/>
      <c r="C670" s="14">
        <v>667</v>
      </c>
      <c r="D670" s="15" t="s">
        <v>746</v>
      </c>
      <c r="E670" s="14">
        <v>29</v>
      </c>
      <c r="F670" s="15">
        <f>_xlfn.XLOOKUP(D670,'Gemini Output'!B:B,'Gemini Output'!C:C,"No Match Yet")</f>
        <v>10</v>
      </c>
      <c r="G670" s="10" t="str">
        <f>_xlfn.XLOOKUP(D670,'Gemini Output'!B:B,'Gemini Output'!E:E,"No Match Yet")</f>
        <v>L1</v>
      </c>
      <c r="H670" s="10"/>
      <c r="I670" s="10"/>
      <c r="J670" s="10"/>
      <c r="K670" s="10"/>
      <c r="L670" s="10"/>
      <c r="M670" s="10"/>
      <c r="N670" s="10"/>
      <c r="O670" s="10"/>
    </row>
    <row r="671" spans="2:15" ht="20.25">
      <c r="B671" s="10"/>
      <c r="C671" s="14">
        <v>668</v>
      </c>
      <c r="D671" s="15" t="s">
        <v>747</v>
      </c>
      <c r="E671" s="14">
        <v>29</v>
      </c>
      <c r="F671" s="15">
        <f>_xlfn.XLOOKUP(D671,'Gemini Output'!B:B,'Gemini Output'!C:C,"No Match Yet")</f>
        <v>5</v>
      </c>
      <c r="G671" s="10" t="str">
        <f>_xlfn.XLOOKUP(D671,'Gemini Output'!B:B,'Gemini Output'!E:E,"No Match Yet")</f>
        <v>L2</v>
      </c>
      <c r="H671" s="10"/>
      <c r="I671" s="10"/>
      <c r="J671" s="10"/>
      <c r="K671" s="10"/>
      <c r="L671" s="10"/>
      <c r="M671" s="10"/>
      <c r="N671" s="10"/>
      <c r="O671" s="10"/>
    </row>
    <row r="672" spans="2:15" ht="20.25">
      <c r="B672" s="10"/>
      <c r="C672" s="14">
        <v>669</v>
      </c>
      <c r="D672" s="15" t="s">
        <v>748</v>
      </c>
      <c r="E672" s="14">
        <v>29</v>
      </c>
      <c r="F672" s="15">
        <f>_xlfn.XLOOKUP(D672,'Gemini Output'!B:B,'Gemini Output'!C:C,"No Match Yet")</f>
        <v>7</v>
      </c>
      <c r="G672" s="10" t="str">
        <f>_xlfn.XLOOKUP(D672,'Gemini Output'!B:B,'Gemini Output'!E:E,"No Match Yet")</f>
        <v>L2</v>
      </c>
      <c r="H672" s="10"/>
      <c r="I672" s="10"/>
      <c r="J672" s="10"/>
      <c r="K672" s="10"/>
      <c r="L672" s="10"/>
      <c r="M672" s="10"/>
      <c r="N672" s="10"/>
      <c r="O672" s="10"/>
    </row>
    <row r="673" spans="2:15" ht="20.25">
      <c r="B673" s="10"/>
      <c r="C673" s="14">
        <v>670</v>
      </c>
      <c r="D673" s="15" t="s">
        <v>749</v>
      </c>
      <c r="E673" s="14">
        <v>29</v>
      </c>
      <c r="F673" s="15">
        <f>_xlfn.XLOOKUP(D673,'Gemini Output'!B:B,'Gemini Output'!C:C,"No Match Yet")</f>
        <v>5</v>
      </c>
      <c r="G673" s="10" t="str">
        <f>_xlfn.XLOOKUP(D673,'Gemini Output'!B:B,'Gemini Output'!E:E,"No Match Yet")</f>
        <v>L2</v>
      </c>
      <c r="H673" s="10"/>
      <c r="I673" s="10"/>
      <c r="J673" s="10"/>
      <c r="K673" s="10"/>
      <c r="L673" s="10"/>
      <c r="M673" s="10"/>
      <c r="N673" s="10"/>
      <c r="O673" s="10"/>
    </row>
    <row r="674" spans="2:15" ht="20.25">
      <c r="B674" s="10"/>
      <c r="C674" s="14">
        <v>671</v>
      </c>
      <c r="D674" s="15" t="s">
        <v>750</v>
      </c>
      <c r="E674" s="14">
        <v>29</v>
      </c>
      <c r="F674" s="15">
        <f>_xlfn.XLOOKUP(D674,'Gemini Output'!B:B,'Gemini Output'!C:C,"No Match Yet")</f>
        <v>13</v>
      </c>
      <c r="G674" s="10" t="str">
        <f>_xlfn.XLOOKUP(D674,'Gemini Output'!B:B,'Gemini Output'!E:E,"No Match Yet")</f>
        <v>L1</v>
      </c>
      <c r="H674" s="10"/>
      <c r="I674" s="10"/>
      <c r="J674" s="10"/>
      <c r="K674" s="10"/>
      <c r="L674" s="10"/>
      <c r="M674" s="10"/>
      <c r="N674" s="10"/>
      <c r="O674" s="10"/>
    </row>
    <row r="675" spans="2:15" ht="20.25">
      <c r="B675" s="10"/>
      <c r="C675" s="14">
        <v>672</v>
      </c>
      <c r="D675" s="15" t="s">
        <v>751</v>
      </c>
      <c r="E675" s="14">
        <v>29</v>
      </c>
      <c r="F675" s="15">
        <f>_xlfn.XLOOKUP(D675,'Gemini Output'!B:B,'Gemini Output'!C:C,"No Match Yet")</f>
        <v>7</v>
      </c>
      <c r="G675" s="10" t="str">
        <f>_xlfn.XLOOKUP(D675,'Gemini Output'!B:B,'Gemini Output'!E:E,"No Match Yet")</f>
        <v>L1</v>
      </c>
      <c r="H675" s="10"/>
      <c r="I675" s="10"/>
      <c r="J675" s="10"/>
      <c r="K675" s="10"/>
      <c r="L675" s="10"/>
      <c r="M675" s="10"/>
      <c r="N675" s="10"/>
      <c r="O675" s="10"/>
    </row>
    <row r="676" spans="2:15" ht="20.25">
      <c r="B676" s="10"/>
      <c r="C676" s="14">
        <v>673</v>
      </c>
      <c r="D676" s="15" t="s">
        <v>752</v>
      </c>
      <c r="E676" s="14">
        <v>29</v>
      </c>
      <c r="F676" s="15">
        <f>_xlfn.XLOOKUP(D676,'Gemini Output'!B:B,'Gemini Output'!C:C,"No Match Yet")</f>
        <v>7</v>
      </c>
      <c r="G676" s="10" t="str">
        <f>_xlfn.XLOOKUP(D676,'Gemini Output'!B:B,'Gemini Output'!E:E,"No Match Yet")</f>
        <v>L2</v>
      </c>
      <c r="H676" s="10"/>
      <c r="I676" s="10"/>
      <c r="J676" s="10"/>
      <c r="K676" s="10"/>
      <c r="L676" s="10"/>
      <c r="M676" s="10"/>
      <c r="N676" s="10"/>
      <c r="O676" s="10"/>
    </row>
    <row r="677" spans="2:15" ht="20.25">
      <c r="B677" s="10"/>
      <c r="C677" s="14">
        <v>674</v>
      </c>
      <c r="D677" s="15" t="s">
        <v>753</v>
      </c>
      <c r="E677" s="14">
        <v>29</v>
      </c>
      <c r="F677" s="15">
        <f>_xlfn.XLOOKUP(D677,'Gemini Output'!B:B,'Gemini Output'!C:C,"No Match Yet")</f>
        <v>2</v>
      </c>
      <c r="G677" s="10" t="str">
        <f>_xlfn.XLOOKUP(D677,'Gemini Output'!B:B,'Gemini Output'!E:E,"No Match Yet")</f>
        <v>L3</v>
      </c>
      <c r="H677" s="10"/>
      <c r="I677" s="10"/>
      <c r="J677" s="10"/>
      <c r="K677" s="10"/>
      <c r="L677" s="10"/>
      <c r="M677" s="10"/>
      <c r="N677" s="10"/>
      <c r="O677" s="10"/>
    </row>
    <row r="678" spans="2:15" ht="20.25">
      <c r="B678" s="10"/>
      <c r="C678" s="14">
        <v>675</v>
      </c>
      <c r="D678" s="15" t="s">
        <v>754</v>
      </c>
      <c r="E678" s="14">
        <v>29</v>
      </c>
      <c r="F678" s="15">
        <f>_xlfn.XLOOKUP(D678,'Gemini Output'!B:B,'Gemini Output'!C:C,"No Match Yet")</f>
        <v>13</v>
      </c>
      <c r="G678" s="10" t="str">
        <f>_xlfn.XLOOKUP(D678,'Gemini Output'!B:B,'Gemini Output'!E:E,"No Match Yet")</f>
        <v>L1</v>
      </c>
      <c r="H678" s="10"/>
      <c r="I678" s="10"/>
      <c r="J678" s="10"/>
      <c r="K678" s="10"/>
      <c r="L678" s="10"/>
      <c r="M678" s="10"/>
      <c r="N678" s="10"/>
      <c r="O678" s="10"/>
    </row>
    <row r="679" spans="2:15" ht="20.25">
      <c r="B679" s="10"/>
      <c r="C679" s="14">
        <v>676</v>
      </c>
      <c r="D679" s="15" t="s">
        <v>755</v>
      </c>
      <c r="E679" s="14"/>
      <c r="F679" s="15">
        <f>_xlfn.XLOOKUP(D679,'Gemini Output'!B:B,'Gemini Output'!C:C,"No Match Yet")</f>
        <v>12</v>
      </c>
      <c r="G679" s="10" t="str">
        <f>_xlfn.XLOOKUP(D679,'Gemini Output'!B:B,'Gemini Output'!E:E,"No Match Yet")</f>
        <v>L1</v>
      </c>
      <c r="H679" s="10"/>
      <c r="I679" s="10"/>
      <c r="J679" s="10"/>
      <c r="K679" s="10"/>
      <c r="L679" s="10"/>
      <c r="M679" s="10"/>
      <c r="N679" s="10"/>
      <c r="O679" s="10"/>
    </row>
    <row r="680" spans="2:15" ht="15.95" customHeight="1">
      <c r="B680" s="10"/>
      <c r="C680" s="14">
        <v>677</v>
      </c>
      <c r="D680" s="15" t="s">
        <v>756</v>
      </c>
      <c r="E680" s="15"/>
      <c r="F680" s="15">
        <f>_xlfn.XLOOKUP(D680,'Gemini Output'!B:B,'Gemini Output'!C:C,"No Match Yet")</f>
        <v>12</v>
      </c>
      <c r="G680" s="10" t="str">
        <f>_xlfn.XLOOKUP(D680,'Gemini Output'!B:B,'Gemini Output'!E:E,"No Match Yet")</f>
        <v>L2</v>
      </c>
      <c r="H680" s="10"/>
      <c r="I680" s="10"/>
      <c r="J680" s="10"/>
      <c r="K680" s="10"/>
      <c r="L680" s="10"/>
      <c r="M680" s="10"/>
      <c r="N680" s="10"/>
      <c r="O680" s="10"/>
    </row>
    <row r="681" spans="2:15" ht="20.25">
      <c r="B681" s="10"/>
      <c r="C681" s="14">
        <v>678</v>
      </c>
      <c r="D681" s="15" t="s">
        <v>757</v>
      </c>
      <c r="E681" s="14"/>
      <c r="F681" s="15">
        <f>_xlfn.XLOOKUP(D681,'Gemini Output'!B:B,'Gemini Output'!C:C,"No Match Yet")</f>
        <v>6</v>
      </c>
      <c r="G681" s="10" t="str">
        <f>_xlfn.XLOOKUP(D681,'Gemini Output'!B:B,'Gemini Output'!E:E,"No Match Yet")</f>
        <v>L3</v>
      </c>
      <c r="H681" s="10"/>
      <c r="I681" s="10"/>
      <c r="J681" s="10"/>
      <c r="K681" s="10"/>
      <c r="L681" s="10"/>
      <c r="M681" s="10"/>
      <c r="N681" s="10"/>
      <c r="O681" s="10"/>
    </row>
    <row r="682" spans="2:15" ht="20.25">
      <c r="B682" s="10"/>
      <c r="C682" s="14">
        <v>679</v>
      </c>
      <c r="D682" s="15" t="s">
        <v>758</v>
      </c>
      <c r="E682" s="14"/>
      <c r="F682" s="15">
        <f>_xlfn.XLOOKUP(D682,'Gemini Output'!B:B,'Gemini Output'!C:C,"No Match Yet")</f>
        <v>6</v>
      </c>
      <c r="G682" s="10" t="str">
        <f>_xlfn.XLOOKUP(D682,'Gemini Output'!B:B,'Gemini Output'!E:E,"No Match Yet")</f>
        <v>L2</v>
      </c>
      <c r="H682" s="10"/>
      <c r="I682" s="10"/>
      <c r="J682" s="10"/>
      <c r="K682" s="10"/>
      <c r="L682" s="10"/>
      <c r="M682" s="10"/>
      <c r="N682" s="10"/>
      <c r="O682" s="10"/>
    </row>
    <row r="683" spans="2:15" ht="20.25">
      <c r="B683" s="10"/>
      <c r="C683" s="14">
        <v>680</v>
      </c>
      <c r="D683" s="15" t="s">
        <v>759</v>
      </c>
      <c r="E683" s="14">
        <v>28</v>
      </c>
      <c r="F683" s="15">
        <f>_xlfn.XLOOKUP(D683,'Gemini Output'!B:B,'Gemini Output'!C:C,"No Match Yet")</f>
        <v>2</v>
      </c>
      <c r="G683" s="10" t="str">
        <f>_xlfn.XLOOKUP(D683,'Gemini Output'!B:B,'Gemini Output'!E:E,"No Match Yet")</f>
        <v>L2</v>
      </c>
      <c r="H683" s="10"/>
      <c r="I683" s="10"/>
      <c r="J683" s="10"/>
      <c r="K683" s="10"/>
      <c r="L683" s="10"/>
      <c r="M683" s="10"/>
      <c r="N683" s="10"/>
      <c r="O683" s="10"/>
    </row>
    <row r="684" spans="2:15" ht="20.25">
      <c r="B684" s="10"/>
      <c r="C684" s="14">
        <v>681</v>
      </c>
      <c r="D684" s="15" t="s">
        <v>760</v>
      </c>
      <c r="E684" s="14">
        <v>28</v>
      </c>
      <c r="F684" s="15">
        <f>_xlfn.XLOOKUP(D684,'Gemini Output'!B:B,'Gemini Output'!C:C,"No Match Yet")</f>
        <v>5</v>
      </c>
      <c r="G684" s="10" t="str">
        <f>_xlfn.XLOOKUP(D684,'Gemini Output'!B:B,'Gemini Output'!E:E,"No Match Yet")</f>
        <v>L2</v>
      </c>
      <c r="H684" s="10"/>
      <c r="I684" s="10"/>
      <c r="J684" s="10"/>
      <c r="K684" s="10"/>
      <c r="L684" s="10"/>
      <c r="M684" s="10"/>
      <c r="N684" s="10"/>
      <c r="O684" s="10"/>
    </row>
    <row r="685" spans="2:15" ht="20.25">
      <c r="B685" s="10"/>
      <c r="C685" s="14">
        <v>682</v>
      </c>
      <c r="D685" s="15" t="s">
        <v>761</v>
      </c>
      <c r="E685" s="14">
        <v>28</v>
      </c>
      <c r="F685" s="15">
        <f>_xlfn.XLOOKUP(D685,'Gemini Output'!B:B,'Gemini Output'!C:C,"No Match Yet")</f>
        <v>12</v>
      </c>
      <c r="G685" s="10" t="str">
        <f>_xlfn.XLOOKUP(D685,'Gemini Output'!B:B,'Gemini Output'!E:E,"No Match Yet")</f>
        <v>L2</v>
      </c>
      <c r="H685" s="10"/>
      <c r="I685" s="10"/>
      <c r="J685" s="10"/>
      <c r="K685" s="10"/>
      <c r="L685" s="10"/>
      <c r="M685" s="10"/>
      <c r="N685" s="10"/>
      <c r="O685" s="10"/>
    </row>
    <row r="686" spans="2:15" ht="20.25">
      <c r="B686" s="10"/>
      <c r="C686" s="14">
        <v>683</v>
      </c>
      <c r="D686" s="15" t="s">
        <v>762</v>
      </c>
      <c r="E686" s="14">
        <v>28</v>
      </c>
      <c r="F686" s="15">
        <f>_xlfn.XLOOKUP(D686,'Gemini Output'!B:B,'Gemini Output'!C:C,"No Match Yet")</f>
        <v>4</v>
      </c>
      <c r="G686" s="10" t="str">
        <f>_xlfn.XLOOKUP(D686,'Gemini Output'!B:B,'Gemini Output'!E:E,"No Match Yet")</f>
        <v>L1</v>
      </c>
      <c r="H686" s="10"/>
      <c r="I686" s="10"/>
      <c r="J686" s="10"/>
      <c r="K686" s="10"/>
      <c r="L686" s="10"/>
      <c r="M686" s="10"/>
      <c r="N686" s="10"/>
      <c r="O686" s="10"/>
    </row>
    <row r="687" spans="2:15" ht="20.25">
      <c r="B687" s="10"/>
      <c r="C687" s="14">
        <v>684</v>
      </c>
      <c r="D687" s="15" t="s">
        <v>763</v>
      </c>
      <c r="E687" s="14">
        <v>28</v>
      </c>
      <c r="F687" s="15">
        <f>_xlfn.XLOOKUP(D687,'Gemini Output'!B:B,'Gemini Output'!C:C,"No Match Yet")</f>
        <v>3</v>
      </c>
      <c r="G687" s="10" t="str">
        <f>_xlfn.XLOOKUP(D687,'Gemini Output'!B:B,'Gemini Output'!E:E,"No Match Yet")</f>
        <v>L2</v>
      </c>
      <c r="H687" s="10"/>
      <c r="I687" s="10"/>
      <c r="J687" s="10"/>
      <c r="K687" s="10"/>
      <c r="L687" s="10"/>
      <c r="M687" s="10"/>
      <c r="N687" s="10"/>
      <c r="O687" s="10"/>
    </row>
    <row r="688" spans="2:15" ht="20.25">
      <c r="B688" s="10"/>
      <c r="C688" s="14">
        <v>685</v>
      </c>
      <c r="D688" s="15" t="s">
        <v>764</v>
      </c>
      <c r="E688" s="14">
        <v>28</v>
      </c>
      <c r="F688" s="15">
        <f>_xlfn.XLOOKUP(D688,'Gemini Output'!B:B,'Gemini Output'!C:C,"No Match Yet")</f>
        <v>10</v>
      </c>
      <c r="G688" s="10" t="str">
        <f>_xlfn.XLOOKUP(D688,'Gemini Output'!B:B,'Gemini Output'!E:E,"No Match Yet")</f>
        <v>L3</v>
      </c>
      <c r="H688" s="10"/>
      <c r="I688" s="10"/>
      <c r="J688" s="10"/>
      <c r="K688" s="10"/>
      <c r="L688" s="10"/>
      <c r="M688" s="10"/>
      <c r="N688" s="10"/>
      <c r="O688" s="10"/>
    </row>
    <row r="689" spans="2:15" ht="20.25">
      <c r="B689" s="10"/>
      <c r="C689" s="14">
        <v>686</v>
      </c>
      <c r="D689" s="15" t="s">
        <v>765</v>
      </c>
      <c r="E689" s="14">
        <v>28</v>
      </c>
      <c r="F689" s="15">
        <f>_xlfn.XLOOKUP(D689,'Gemini Output'!B:B,'Gemini Output'!C:C,"No Match Yet")</f>
        <v>4</v>
      </c>
      <c r="G689" s="10" t="str">
        <f>_xlfn.XLOOKUP(D689,'Gemini Output'!B:B,'Gemini Output'!E:E,"No Match Yet")</f>
        <v>L2</v>
      </c>
      <c r="H689" s="10"/>
      <c r="I689" s="10"/>
      <c r="J689" s="10"/>
      <c r="K689" s="10"/>
      <c r="L689" s="10"/>
      <c r="M689" s="10"/>
      <c r="N689" s="10"/>
      <c r="O689" s="10"/>
    </row>
    <row r="690" spans="2:15" ht="20.25">
      <c r="B690" s="10"/>
      <c r="C690" s="14">
        <v>687</v>
      </c>
      <c r="D690" s="15" t="s">
        <v>766</v>
      </c>
      <c r="E690" s="14">
        <v>28</v>
      </c>
      <c r="F690" s="15">
        <f>_xlfn.XLOOKUP(D690,'Gemini Output'!B:B,'Gemini Output'!C:C,"No Match Yet")</f>
        <v>7</v>
      </c>
      <c r="G690" s="10" t="str">
        <f>_xlfn.XLOOKUP(D690,'Gemini Output'!B:B,'Gemini Output'!E:E,"No Match Yet")</f>
        <v>L3</v>
      </c>
      <c r="H690" s="10"/>
      <c r="I690" s="10"/>
      <c r="J690" s="10"/>
      <c r="K690" s="10"/>
      <c r="L690" s="10"/>
      <c r="M690" s="10"/>
      <c r="N690" s="10"/>
      <c r="O690" s="10"/>
    </row>
    <row r="691" spans="2:15" ht="20.25">
      <c r="B691" s="10"/>
      <c r="C691" s="14">
        <v>688</v>
      </c>
      <c r="D691" s="15" t="s">
        <v>767</v>
      </c>
      <c r="E691" s="14">
        <v>28</v>
      </c>
      <c r="F691" s="15">
        <f>_xlfn.XLOOKUP(D691,'Gemini Output'!B:B,'Gemini Output'!C:C,"No Match Yet")</f>
        <v>6</v>
      </c>
      <c r="G691" s="10" t="str">
        <f>_xlfn.XLOOKUP(D691,'Gemini Output'!B:B,'Gemini Output'!E:E,"No Match Yet")</f>
        <v>L2</v>
      </c>
      <c r="H691" s="10"/>
      <c r="I691" s="10"/>
      <c r="J691" s="10"/>
      <c r="K691" s="10"/>
      <c r="L691" s="10"/>
      <c r="M691" s="10"/>
      <c r="N691" s="10"/>
      <c r="O691" s="10"/>
    </row>
    <row r="692" spans="2:15" ht="20.25">
      <c r="B692" s="10"/>
      <c r="C692" s="14">
        <v>689</v>
      </c>
      <c r="D692" s="15" t="s">
        <v>768</v>
      </c>
      <c r="E692" s="14">
        <v>28</v>
      </c>
      <c r="F692" s="15">
        <f>_xlfn.XLOOKUP(D692,'Gemini Output'!B:B,'Gemini Output'!C:C,"No Match Yet")</f>
        <v>8</v>
      </c>
      <c r="G692" s="10" t="str">
        <f>_xlfn.XLOOKUP(D692,'Gemini Output'!B:B,'Gemini Output'!E:E,"No Match Yet")</f>
        <v>L3</v>
      </c>
      <c r="H692" s="10"/>
      <c r="I692" s="10"/>
      <c r="J692" s="10"/>
      <c r="K692" s="10"/>
      <c r="L692" s="10"/>
      <c r="M692" s="10"/>
      <c r="N692" s="10"/>
      <c r="O692" s="10"/>
    </row>
    <row r="693" spans="2:15" ht="20.25">
      <c r="B693" s="10"/>
      <c r="C693" s="14">
        <v>690</v>
      </c>
      <c r="D693" s="15" t="s">
        <v>769</v>
      </c>
      <c r="E693" s="14">
        <v>28</v>
      </c>
      <c r="F693" s="15">
        <f>_xlfn.XLOOKUP(D693,'Gemini Output'!B:B,'Gemini Output'!C:C,"No Match Yet")</f>
        <v>6</v>
      </c>
      <c r="G693" s="10" t="str">
        <f>_xlfn.XLOOKUP(D693,'Gemini Output'!B:B,'Gemini Output'!E:E,"No Match Yet")</f>
        <v>L2</v>
      </c>
      <c r="H693" s="10"/>
      <c r="I693" s="10"/>
      <c r="J693" s="10"/>
      <c r="K693" s="10"/>
      <c r="L693" s="10"/>
      <c r="M693" s="10"/>
      <c r="N693" s="10"/>
      <c r="O693" s="10"/>
    </row>
    <row r="694" spans="2:15" ht="20.25">
      <c r="B694" s="10"/>
      <c r="C694" s="14">
        <v>691</v>
      </c>
      <c r="D694" s="15" t="s">
        <v>770</v>
      </c>
      <c r="E694" s="14">
        <v>28</v>
      </c>
      <c r="F694" s="15">
        <f>_xlfn.XLOOKUP(D694,'Gemini Output'!B:B,'Gemini Output'!C:C,"No Match Yet")</f>
        <v>4</v>
      </c>
      <c r="G694" s="10" t="str">
        <f>_xlfn.XLOOKUP(D694,'Gemini Output'!B:B,'Gemini Output'!E:E,"No Match Yet")</f>
        <v>L2</v>
      </c>
      <c r="H694" s="10"/>
      <c r="I694" s="10"/>
      <c r="J694" s="10"/>
      <c r="K694" s="10"/>
      <c r="L694" s="10"/>
      <c r="M694" s="10"/>
      <c r="N694" s="10"/>
      <c r="O694" s="10"/>
    </row>
    <row r="695" spans="2:15" ht="20.25">
      <c r="B695" s="10"/>
      <c r="C695" s="14">
        <v>692</v>
      </c>
      <c r="D695" s="15" t="s">
        <v>771</v>
      </c>
      <c r="E695" s="14">
        <v>28</v>
      </c>
      <c r="F695" s="15">
        <f>_xlfn.XLOOKUP(D695,'Gemini Output'!B:B,'Gemini Output'!C:C,"No Match Yet")</f>
        <v>4</v>
      </c>
      <c r="G695" s="10" t="str">
        <f>_xlfn.XLOOKUP(D695,'Gemini Output'!B:B,'Gemini Output'!E:E,"No Match Yet")</f>
        <v>L2</v>
      </c>
      <c r="H695" s="10"/>
      <c r="I695" s="10"/>
      <c r="J695" s="10"/>
      <c r="K695" s="10"/>
      <c r="L695" s="10"/>
      <c r="M695" s="10"/>
      <c r="N695" s="10"/>
      <c r="O695" s="10"/>
    </row>
    <row r="696" spans="2:15" ht="20.25">
      <c r="B696" s="10"/>
      <c r="C696" s="14">
        <v>693</v>
      </c>
      <c r="D696" s="15" t="s">
        <v>772</v>
      </c>
      <c r="E696" s="14">
        <v>28</v>
      </c>
      <c r="F696" s="15">
        <f>_xlfn.XLOOKUP(D696,'Gemini Output'!B:B,'Gemini Output'!C:C,"No Match Yet")</f>
        <v>1</v>
      </c>
      <c r="G696" s="10" t="str">
        <f>_xlfn.XLOOKUP(D696,'Gemini Output'!B:B,'Gemini Output'!E:E,"No Match Yet")</f>
        <v>L2</v>
      </c>
      <c r="H696" s="10"/>
      <c r="I696" s="10"/>
      <c r="J696" s="10"/>
      <c r="K696" s="10"/>
      <c r="L696" s="10"/>
      <c r="M696" s="10"/>
      <c r="N696" s="10"/>
      <c r="O696" s="10"/>
    </row>
    <row r="697" spans="2:15" ht="20.25">
      <c r="B697" s="10"/>
      <c r="C697" s="14">
        <v>694</v>
      </c>
      <c r="D697" s="15" t="s">
        <v>773</v>
      </c>
      <c r="E697" s="14">
        <v>28</v>
      </c>
      <c r="F697" s="15">
        <f>_xlfn.XLOOKUP(D697,'Gemini Output'!B:B,'Gemini Output'!C:C,"No Match Yet")</f>
        <v>9</v>
      </c>
      <c r="G697" s="10" t="str">
        <f>_xlfn.XLOOKUP(D697,'Gemini Output'!B:B,'Gemini Output'!E:E,"No Match Yet")</f>
        <v>L3</v>
      </c>
      <c r="H697" s="10"/>
      <c r="I697" s="10"/>
      <c r="J697" s="10"/>
      <c r="K697" s="10"/>
      <c r="L697" s="10"/>
      <c r="M697" s="10"/>
      <c r="N697" s="10"/>
      <c r="O697" s="10"/>
    </row>
    <row r="698" spans="2:15" ht="20.25">
      <c r="B698" s="10"/>
      <c r="C698" s="14">
        <v>695</v>
      </c>
      <c r="D698" s="15" t="s">
        <v>774</v>
      </c>
      <c r="E698" s="14">
        <v>28</v>
      </c>
      <c r="F698" s="15">
        <f>_xlfn.XLOOKUP(D698,'Gemini Output'!B:B,'Gemini Output'!C:C,"No Match Yet")</f>
        <v>9</v>
      </c>
      <c r="G698" s="10" t="str">
        <f>_xlfn.XLOOKUP(D698,'Gemini Output'!B:B,'Gemini Output'!E:E,"No Match Yet")</f>
        <v>L1</v>
      </c>
      <c r="H698" s="10"/>
      <c r="I698" s="10"/>
      <c r="J698" s="10"/>
      <c r="K698" s="10"/>
      <c r="L698" s="10"/>
      <c r="M698" s="10"/>
      <c r="N698" s="10"/>
      <c r="O698" s="10"/>
    </row>
    <row r="699" spans="2:15" ht="20.25">
      <c r="B699" s="10"/>
      <c r="C699" s="14">
        <v>696</v>
      </c>
      <c r="D699" s="15" t="s">
        <v>775</v>
      </c>
      <c r="E699" s="14">
        <v>28</v>
      </c>
      <c r="F699" s="15">
        <f>_xlfn.XLOOKUP(D699,'Gemini Output'!B:B,'Gemini Output'!C:C,"No Match Yet")</f>
        <v>10</v>
      </c>
      <c r="G699" s="10" t="str">
        <f>_xlfn.XLOOKUP(D699,'Gemini Output'!B:B,'Gemini Output'!E:E,"No Match Yet")</f>
        <v>L1</v>
      </c>
      <c r="H699" s="10"/>
      <c r="I699" s="10"/>
      <c r="J699" s="10"/>
      <c r="K699" s="10"/>
      <c r="L699" s="10"/>
      <c r="M699" s="10"/>
      <c r="N699" s="10"/>
      <c r="O699" s="10"/>
    </row>
    <row r="700" spans="2:15" ht="20.25">
      <c r="B700" s="10"/>
      <c r="C700" s="14">
        <v>697</v>
      </c>
      <c r="D700" s="15" t="s">
        <v>776</v>
      </c>
      <c r="E700" s="14">
        <v>28</v>
      </c>
      <c r="F700" s="15">
        <f>_xlfn.XLOOKUP(D700,'Gemini Output'!B:B,'Gemini Output'!C:C,"No Match Yet")</f>
        <v>4</v>
      </c>
      <c r="G700" s="10" t="str">
        <f>_xlfn.XLOOKUP(D700,'Gemini Output'!B:B,'Gemini Output'!E:E,"No Match Yet")</f>
        <v>L1</v>
      </c>
      <c r="H700" s="10"/>
      <c r="I700" s="10"/>
      <c r="J700" s="10"/>
      <c r="K700" s="10"/>
      <c r="L700" s="10"/>
      <c r="M700" s="10"/>
      <c r="N700" s="10"/>
      <c r="O700" s="10"/>
    </row>
    <row r="701" spans="2:15" ht="20.25">
      <c r="B701" s="10"/>
      <c r="C701" s="14">
        <v>698</v>
      </c>
      <c r="D701" s="15" t="s">
        <v>777</v>
      </c>
      <c r="E701" s="14">
        <v>28</v>
      </c>
      <c r="F701" s="15">
        <f>_xlfn.XLOOKUP(D701,'Gemini Output'!B:B,'Gemini Output'!C:C,"No Match Yet")</f>
        <v>1</v>
      </c>
      <c r="G701" s="10" t="str">
        <f>_xlfn.XLOOKUP(D701,'Gemini Output'!B:B,'Gemini Output'!E:E,"No Match Yet")</f>
        <v>L3</v>
      </c>
      <c r="H701" s="10"/>
      <c r="I701" s="10"/>
      <c r="J701" s="10"/>
      <c r="K701" s="10"/>
      <c r="L701" s="10"/>
      <c r="M701" s="10"/>
      <c r="N701" s="10"/>
      <c r="O701" s="10"/>
    </row>
    <row r="702" spans="2:15" ht="20.25">
      <c r="B702" s="10"/>
      <c r="C702" s="14">
        <v>699</v>
      </c>
      <c r="D702" s="15" t="s">
        <v>778</v>
      </c>
      <c r="E702" s="14">
        <v>28</v>
      </c>
      <c r="F702" s="15">
        <f>_xlfn.XLOOKUP(D702,'Gemini Output'!B:B,'Gemini Output'!C:C,"No Match Yet")</f>
        <v>14</v>
      </c>
      <c r="G702" s="10" t="str">
        <f>_xlfn.XLOOKUP(D702,'Gemini Output'!B:B,'Gemini Output'!E:E,"No Match Yet")</f>
        <v>L1</v>
      </c>
      <c r="H702" s="10"/>
      <c r="I702" s="10"/>
      <c r="J702" s="10"/>
      <c r="K702" s="10"/>
      <c r="L702" s="10"/>
      <c r="M702" s="10"/>
      <c r="N702" s="10"/>
      <c r="O702" s="10"/>
    </row>
    <row r="703" spans="2:15" ht="20.25">
      <c r="B703" s="10"/>
      <c r="C703" s="14">
        <v>700</v>
      </c>
      <c r="D703" s="15" t="s">
        <v>779</v>
      </c>
      <c r="E703" s="14">
        <v>28</v>
      </c>
      <c r="F703" s="15">
        <f>_xlfn.XLOOKUP(D703,'Gemini Output'!B:B,'Gemini Output'!C:C,"No Match Yet")</f>
        <v>11</v>
      </c>
      <c r="G703" s="10" t="str">
        <f>_xlfn.XLOOKUP(D703,'Gemini Output'!B:B,'Gemini Output'!E:E,"No Match Yet")</f>
        <v>L2</v>
      </c>
      <c r="H703" s="10"/>
      <c r="I703" s="10"/>
      <c r="J703" s="10"/>
      <c r="K703" s="10"/>
      <c r="L703" s="10"/>
      <c r="M703" s="10"/>
      <c r="N703" s="10"/>
      <c r="O703" s="10"/>
    </row>
    <row r="704" spans="2:15" ht="20.25">
      <c r="B704" s="10"/>
      <c r="C704" s="14">
        <v>701</v>
      </c>
      <c r="D704" s="15" t="s">
        <v>780</v>
      </c>
      <c r="E704" s="14">
        <v>28</v>
      </c>
      <c r="F704" s="15">
        <f>_xlfn.XLOOKUP(D704,'Gemini Output'!B:B,'Gemini Output'!C:C,"No Match Yet")</f>
        <v>12</v>
      </c>
      <c r="G704" s="10" t="str">
        <f>_xlfn.XLOOKUP(D704,'Gemini Output'!B:B,'Gemini Output'!E:E,"No Match Yet")</f>
        <v>L1</v>
      </c>
      <c r="H704" s="10"/>
      <c r="I704" s="10"/>
      <c r="J704" s="10"/>
      <c r="K704" s="10"/>
      <c r="L704" s="10"/>
      <c r="M704" s="10"/>
      <c r="N704" s="10"/>
      <c r="O704" s="10"/>
    </row>
    <row r="705" spans="2:15" ht="20.25">
      <c r="B705" s="10"/>
      <c r="C705" s="14">
        <v>702</v>
      </c>
      <c r="D705" s="15" t="s">
        <v>781</v>
      </c>
      <c r="E705" s="14">
        <v>28</v>
      </c>
      <c r="F705" s="15">
        <f>_xlfn.XLOOKUP(D705,'Gemini Output'!B:B,'Gemini Output'!C:C,"No Match Yet")</f>
        <v>1</v>
      </c>
      <c r="G705" s="10" t="str">
        <f>_xlfn.XLOOKUP(D705,'Gemini Output'!B:B,'Gemini Output'!E:E,"No Match Yet")</f>
        <v>L2</v>
      </c>
      <c r="H705" s="10"/>
      <c r="I705" s="10"/>
      <c r="J705" s="10"/>
      <c r="K705" s="10"/>
      <c r="L705" s="10"/>
      <c r="M705" s="10"/>
      <c r="N705" s="10"/>
      <c r="O705" s="10"/>
    </row>
    <row r="706" spans="2:15" ht="20.25">
      <c r="B706" s="10"/>
      <c r="C706" s="14">
        <v>703</v>
      </c>
      <c r="D706" s="15" t="s">
        <v>782</v>
      </c>
      <c r="E706" s="14">
        <v>28</v>
      </c>
      <c r="F706" s="15">
        <f>_xlfn.XLOOKUP(D706,'Gemini Output'!B:B,'Gemini Output'!C:C,"No Match Yet")</f>
        <v>15</v>
      </c>
      <c r="G706" s="10" t="str">
        <f>_xlfn.XLOOKUP(D706,'Gemini Output'!B:B,'Gemini Output'!E:E,"No Match Yet")</f>
        <v>L1</v>
      </c>
      <c r="H706" s="10"/>
      <c r="I706" s="10"/>
      <c r="J706" s="10"/>
      <c r="K706" s="10"/>
      <c r="L706" s="10"/>
      <c r="M706" s="10"/>
      <c r="N706" s="10"/>
      <c r="O706" s="10"/>
    </row>
    <row r="707" spans="2:15" ht="20.25">
      <c r="B707" s="10"/>
      <c r="C707" s="14">
        <v>704</v>
      </c>
      <c r="D707" s="15" t="s">
        <v>783</v>
      </c>
      <c r="E707" s="14">
        <v>28</v>
      </c>
      <c r="F707" s="15">
        <f>_xlfn.XLOOKUP(D707,'Gemini Output'!B:B,'Gemini Output'!C:C,"No Match Yet")</f>
        <v>5</v>
      </c>
      <c r="G707" s="10" t="str">
        <f>_xlfn.XLOOKUP(D707,'Gemini Output'!B:B,'Gemini Output'!E:E,"No Match Yet")</f>
        <v>L3</v>
      </c>
      <c r="H707" s="10"/>
      <c r="I707" s="10"/>
      <c r="J707" s="10"/>
      <c r="K707" s="10"/>
      <c r="L707" s="10"/>
      <c r="M707" s="10"/>
      <c r="N707" s="10"/>
      <c r="O707" s="10"/>
    </row>
    <row r="708" spans="2:15" ht="20.25">
      <c r="B708" s="10"/>
      <c r="C708" s="14">
        <v>705</v>
      </c>
      <c r="D708" s="15" t="s">
        <v>784</v>
      </c>
      <c r="E708" s="14">
        <v>27</v>
      </c>
      <c r="F708" s="15">
        <f>_xlfn.XLOOKUP(D708,'Gemini Output'!B:B,'Gemini Output'!C:C,"No Match Yet")</f>
        <v>7</v>
      </c>
      <c r="G708" s="10" t="str">
        <f>_xlfn.XLOOKUP(D708,'Gemini Output'!B:B,'Gemini Output'!E:E,"No Match Yet")</f>
        <v>L1</v>
      </c>
      <c r="H708" s="10"/>
      <c r="I708" s="10"/>
      <c r="J708" s="10"/>
      <c r="K708" s="10"/>
      <c r="L708" s="10"/>
      <c r="M708" s="10"/>
      <c r="N708" s="10"/>
      <c r="O708" s="10"/>
    </row>
    <row r="709" spans="2:15" ht="20.25">
      <c r="B709" s="10"/>
      <c r="C709" s="14">
        <v>706</v>
      </c>
      <c r="D709" s="15" t="s">
        <v>785</v>
      </c>
      <c r="E709" s="14">
        <v>27</v>
      </c>
      <c r="F709" s="15">
        <f>_xlfn.XLOOKUP(D709,'Gemini Output'!B:B,'Gemini Output'!C:C,"No Match Yet")</f>
        <v>6</v>
      </c>
      <c r="G709" s="10" t="str">
        <f>_xlfn.XLOOKUP(D709,'Gemini Output'!B:B,'Gemini Output'!E:E,"No Match Yet")</f>
        <v>L3</v>
      </c>
      <c r="H709" s="10"/>
      <c r="I709" s="10"/>
      <c r="J709" s="10"/>
      <c r="K709" s="10"/>
      <c r="L709" s="10"/>
      <c r="M709" s="10"/>
      <c r="N709" s="10"/>
      <c r="O709" s="10"/>
    </row>
    <row r="710" spans="2:15" ht="20.25">
      <c r="B710" s="10"/>
      <c r="C710" s="14">
        <v>707</v>
      </c>
      <c r="D710" s="15" t="s">
        <v>786</v>
      </c>
      <c r="E710" s="14">
        <v>27</v>
      </c>
      <c r="F710" s="15">
        <f>_xlfn.XLOOKUP(D710,'Gemini Output'!B:B,'Gemini Output'!C:C,"No Match Yet")</f>
        <v>4</v>
      </c>
      <c r="G710" s="10" t="str">
        <f>_xlfn.XLOOKUP(D710,'Gemini Output'!B:B,'Gemini Output'!E:E,"No Match Yet")</f>
        <v>L1</v>
      </c>
      <c r="H710" s="10"/>
      <c r="I710" s="10"/>
      <c r="J710" s="10"/>
      <c r="K710" s="10"/>
      <c r="L710" s="10"/>
      <c r="M710" s="10"/>
      <c r="N710" s="10"/>
      <c r="O710" s="10"/>
    </row>
    <row r="711" spans="2:15" ht="20.25">
      <c r="B711" s="10"/>
      <c r="C711" s="14">
        <v>708</v>
      </c>
      <c r="D711" s="15" t="s">
        <v>787</v>
      </c>
      <c r="E711" s="14">
        <v>27</v>
      </c>
      <c r="F711" s="15">
        <f>_xlfn.XLOOKUP(D711,'Gemini Output'!B:B,'Gemini Output'!C:C,"No Match Yet")</f>
        <v>6</v>
      </c>
      <c r="G711" s="10" t="str">
        <f>_xlfn.XLOOKUP(D711,'Gemini Output'!B:B,'Gemini Output'!E:E,"No Match Yet")</f>
        <v>L2</v>
      </c>
      <c r="H711" s="10"/>
      <c r="I711" s="10"/>
      <c r="J711" s="10"/>
      <c r="K711" s="10"/>
      <c r="L711" s="10"/>
      <c r="M711" s="10"/>
      <c r="N711" s="10"/>
      <c r="O711" s="10"/>
    </row>
    <row r="712" spans="2:15" ht="20.25">
      <c r="B712" s="10"/>
      <c r="C712" s="14">
        <v>709</v>
      </c>
      <c r="D712" s="15" t="s">
        <v>788</v>
      </c>
      <c r="E712" s="14">
        <v>27</v>
      </c>
      <c r="F712" s="15">
        <f>_xlfn.XLOOKUP(D712,'Gemini Output'!B:B,'Gemini Output'!C:C,"No Match Yet")</f>
        <v>3</v>
      </c>
      <c r="G712" s="10" t="str">
        <f>_xlfn.XLOOKUP(D712,'Gemini Output'!B:B,'Gemini Output'!E:E,"No Match Yet")</f>
        <v>L2</v>
      </c>
      <c r="H712" s="10"/>
      <c r="I712" s="10"/>
      <c r="J712" s="10"/>
      <c r="K712" s="10"/>
      <c r="L712" s="10"/>
      <c r="M712" s="10"/>
      <c r="N712" s="10"/>
      <c r="O712" s="10"/>
    </row>
    <row r="713" spans="2:15" ht="20.25">
      <c r="B713" s="10"/>
      <c r="C713" s="14">
        <v>710</v>
      </c>
      <c r="D713" s="15" t="s">
        <v>789</v>
      </c>
      <c r="E713" s="14">
        <v>27</v>
      </c>
      <c r="F713" s="15">
        <f>_xlfn.XLOOKUP(D713,'Gemini Output'!B:B,'Gemini Output'!C:C,"No Match Yet")</f>
        <v>12</v>
      </c>
      <c r="G713" s="10" t="str">
        <f>_xlfn.XLOOKUP(D713,'Gemini Output'!B:B,'Gemini Output'!E:E,"No Match Yet")</f>
        <v>L2</v>
      </c>
      <c r="H713" s="10"/>
      <c r="I713" s="10"/>
      <c r="J713" s="10"/>
      <c r="K713" s="10"/>
      <c r="L713" s="10"/>
      <c r="M713" s="10"/>
      <c r="N713" s="10"/>
      <c r="O713" s="10"/>
    </row>
    <row r="714" spans="2:15" ht="20.25">
      <c r="B714" s="10"/>
      <c r="C714" s="14">
        <v>711</v>
      </c>
      <c r="D714" s="15" t="s">
        <v>790</v>
      </c>
      <c r="E714" s="14">
        <v>27</v>
      </c>
      <c r="F714" s="15">
        <f>_xlfn.XLOOKUP(D714,'Gemini Output'!B:B,'Gemini Output'!C:C,"No Match Yet")</f>
        <v>15</v>
      </c>
      <c r="G714" s="10" t="str">
        <f>_xlfn.XLOOKUP(D714,'Gemini Output'!B:B,'Gemini Output'!E:E,"No Match Yet")</f>
        <v>L1</v>
      </c>
      <c r="H714" s="10"/>
      <c r="I714" s="10"/>
      <c r="J714" s="10"/>
      <c r="K714" s="10"/>
      <c r="L714" s="10"/>
      <c r="M714" s="10"/>
      <c r="N714" s="10"/>
      <c r="O714" s="10"/>
    </row>
    <row r="715" spans="2:15" ht="20.25">
      <c r="B715" s="10"/>
      <c r="C715" s="14">
        <v>712</v>
      </c>
      <c r="D715" s="15" t="s">
        <v>791</v>
      </c>
      <c r="E715" s="14">
        <v>27</v>
      </c>
      <c r="F715" s="15">
        <f>_xlfn.XLOOKUP(D715,'Gemini Output'!B:B,'Gemini Output'!C:C,"No Match Yet")</f>
        <v>10</v>
      </c>
      <c r="G715" s="10" t="str">
        <f>_xlfn.XLOOKUP(D715,'Gemini Output'!B:B,'Gemini Output'!E:E,"No Match Yet")</f>
        <v>L2</v>
      </c>
      <c r="H715" s="10"/>
      <c r="I715" s="10"/>
      <c r="J715" s="10"/>
      <c r="K715" s="10"/>
      <c r="L715" s="10"/>
      <c r="M715" s="10"/>
      <c r="N715" s="10"/>
      <c r="O715" s="10"/>
    </row>
    <row r="716" spans="2:15" ht="20.25">
      <c r="B716" s="10"/>
      <c r="C716" s="14">
        <v>713</v>
      </c>
      <c r="D716" s="15" t="s">
        <v>792</v>
      </c>
      <c r="E716" s="14">
        <v>27</v>
      </c>
      <c r="F716" s="15">
        <f>_xlfn.XLOOKUP(D716,'Gemini Output'!B:B,'Gemini Output'!C:C,"No Match Yet")</f>
        <v>11</v>
      </c>
      <c r="G716" s="10" t="str">
        <f>_xlfn.XLOOKUP(D716,'Gemini Output'!B:B,'Gemini Output'!E:E,"No Match Yet")</f>
        <v>L1</v>
      </c>
      <c r="H716" s="10"/>
      <c r="I716" s="10"/>
      <c r="J716" s="10"/>
      <c r="K716" s="10"/>
      <c r="L716" s="10"/>
      <c r="M716" s="10"/>
      <c r="N716" s="10"/>
      <c r="O716" s="10"/>
    </row>
    <row r="717" spans="2:15" ht="20.25">
      <c r="B717" s="10"/>
      <c r="C717" s="14">
        <v>714</v>
      </c>
      <c r="D717" s="15" t="s">
        <v>793</v>
      </c>
      <c r="E717" s="14">
        <v>27</v>
      </c>
      <c r="F717" s="15">
        <f>_xlfn.XLOOKUP(D717,'Gemini Output'!B:B,'Gemini Output'!C:C,"No Match Yet")</f>
        <v>9</v>
      </c>
      <c r="G717" s="10" t="str">
        <f>_xlfn.XLOOKUP(D717,'Gemini Output'!B:B,'Gemini Output'!E:E,"No Match Yet")</f>
        <v>L2</v>
      </c>
      <c r="H717" s="10"/>
      <c r="I717" s="10"/>
      <c r="J717" s="10"/>
      <c r="K717" s="10"/>
      <c r="L717" s="10"/>
      <c r="M717" s="10"/>
      <c r="N717" s="10"/>
      <c r="O717" s="10"/>
    </row>
    <row r="718" spans="2:15" ht="20.25">
      <c r="B718" s="10"/>
      <c r="C718" s="14">
        <v>715</v>
      </c>
      <c r="D718" s="15" t="s">
        <v>794</v>
      </c>
      <c r="E718" s="14">
        <v>27</v>
      </c>
      <c r="F718" s="15">
        <f>_xlfn.XLOOKUP(D718,'Gemini Output'!B:B,'Gemini Output'!C:C,"No Match Yet")</f>
        <v>2</v>
      </c>
      <c r="G718" s="10" t="str">
        <f>_xlfn.XLOOKUP(D718,'Gemini Output'!B:B,'Gemini Output'!E:E,"No Match Yet")</f>
        <v>L1</v>
      </c>
      <c r="H718" s="10"/>
      <c r="I718" s="10"/>
      <c r="J718" s="10"/>
      <c r="K718" s="10"/>
      <c r="L718" s="10"/>
      <c r="M718" s="10"/>
      <c r="N718" s="10"/>
      <c r="O718" s="10"/>
    </row>
    <row r="719" spans="2:15" ht="20.25">
      <c r="B719" s="10"/>
      <c r="C719" s="14">
        <v>716</v>
      </c>
      <c r="D719" s="15" t="s">
        <v>795</v>
      </c>
      <c r="E719" s="14">
        <v>27</v>
      </c>
      <c r="F719" s="15">
        <f>_xlfn.XLOOKUP(D719,'Gemini Output'!B:B,'Gemini Output'!C:C,"No Match Yet")</f>
        <v>6</v>
      </c>
      <c r="G719" s="10" t="str">
        <f>_xlfn.XLOOKUP(D719,'Gemini Output'!B:B,'Gemini Output'!E:E,"No Match Yet")</f>
        <v>L2</v>
      </c>
      <c r="H719" s="10"/>
      <c r="I719" s="10"/>
      <c r="J719" s="10"/>
      <c r="K719" s="10"/>
      <c r="L719" s="10"/>
      <c r="M719" s="10"/>
      <c r="N719" s="10"/>
      <c r="O719" s="10"/>
    </row>
    <row r="720" spans="2:15" ht="20.25">
      <c r="B720" s="10"/>
      <c r="C720" s="14">
        <v>717</v>
      </c>
      <c r="D720" s="15" t="s">
        <v>796</v>
      </c>
      <c r="E720" s="14">
        <v>27</v>
      </c>
      <c r="F720" s="15">
        <f>_xlfn.XLOOKUP(D720,'Gemini Output'!B:B,'Gemini Output'!C:C,"No Match Yet")</f>
        <v>13</v>
      </c>
      <c r="G720" s="10" t="str">
        <f>_xlfn.XLOOKUP(D720,'Gemini Output'!B:B,'Gemini Output'!E:E,"No Match Yet")</f>
        <v>L1</v>
      </c>
      <c r="H720" s="10"/>
      <c r="I720" s="10"/>
      <c r="J720" s="10"/>
      <c r="K720" s="10"/>
      <c r="L720" s="10"/>
      <c r="M720" s="10"/>
      <c r="N720" s="10"/>
      <c r="O720" s="10"/>
    </row>
    <row r="721" spans="2:15" ht="20.25">
      <c r="B721" s="10"/>
      <c r="C721" s="14">
        <v>718</v>
      </c>
      <c r="D721" s="15" t="s">
        <v>797</v>
      </c>
      <c r="E721" s="14">
        <v>27</v>
      </c>
      <c r="F721" s="15">
        <f>_xlfn.XLOOKUP(D721,'Gemini Output'!B:B,'Gemini Output'!C:C,"No Match Yet")</f>
        <v>15</v>
      </c>
      <c r="G721" s="10" t="str">
        <f>_xlfn.XLOOKUP(D721,'Gemini Output'!B:B,'Gemini Output'!E:E,"No Match Yet")</f>
        <v>L1</v>
      </c>
      <c r="H721" s="10"/>
      <c r="I721" s="10"/>
      <c r="J721" s="10"/>
      <c r="K721" s="10"/>
      <c r="L721" s="10"/>
      <c r="M721" s="10"/>
      <c r="N721" s="10"/>
      <c r="O721" s="10"/>
    </row>
    <row r="722" spans="2:15" ht="20.25">
      <c r="B722" s="10"/>
      <c r="C722" s="14">
        <v>719</v>
      </c>
      <c r="D722" s="15" t="s">
        <v>798</v>
      </c>
      <c r="E722" s="14">
        <v>27</v>
      </c>
      <c r="F722" s="15">
        <f>_xlfn.XLOOKUP(D722,'Gemini Output'!B:B,'Gemini Output'!C:C,"No Match Yet")</f>
        <v>15</v>
      </c>
      <c r="G722" s="10" t="str">
        <f>_xlfn.XLOOKUP(D722,'Gemini Output'!B:B,'Gemini Output'!E:E,"No Match Yet")</f>
        <v>L1</v>
      </c>
      <c r="H722" s="10"/>
      <c r="I722" s="10"/>
      <c r="J722" s="10"/>
      <c r="K722" s="10"/>
      <c r="L722" s="10"/>
      <c r="M722" s="10"/>
      <c r="N722" s="10"/>
      <c r="O722" s="10"/>
    </row>
    <row r="723" spans="2:15" ht="20.25">
      <c r="B723" s="10"/>
      <c r="C723" s="14">
        <v>720</v>
      </c>
      <c r="D723" s="15" t="s">
        <v>799</v>
      </c>
      <c r="E723" s="14">
        <v>27</v>
      </c>
      <c r="F723" s="15">
        <f>_xlfn.XLOOKUP(D723,'Gemini Output'!B:B,'Gemini Output'!C:C,"No Match Yet")</f>
        <v>9</v>
      </c>
      <c r="G723" s="10" t="str">
        <f>_xlfn.XLOOKUP(D723,'Gemini Output'!B:B,'Gemini Output'!E:E,"No Match Yet")</f>
        <v>L3</v>
      </c>
      <c r="H723" s="10"/>
      <c r="I723" s="10"/>
      <c r="J723" s="10"/>
      <c r="K723" s="10"/>
      <c r="L723" s="10"/>
      <c r="M723" s="10"/>
      <c r="N723" s="10"/>
      <c r="O723" s="10"/>
    </row>
    <row r="724" spans="2:15" ht="20.25">
      <c r="B724" s="10"/>
      <c r="C724" s="14">
        <v>721</v>
      </c>
      <c r="D724" s="15" t="s">
        <v>800</v>
      </c>
      <c r="E724" s="14">
        <v>27</v>
      </c>
      <c r="F724" s="15">
        <f>_xlfn.XLOOKUP(D724,'Gemini Output'!B:B,'Gemini Output'!C:C,"No Match Yet")</f>
        <v>8</v>
      </c>
      <c r="G724" s="10" t="str">
        <f>_xlfn.XLOOKUP(D724,'Gemini Output'!B:B,'Gemini Output'!E:E,"No Match Yet")</f>
        <v>L2</v>
      </c>
      <c r="H724" s="10"/>
      <c r="I724" s="10"/>
      <c r="J724" s="10"/>
      <c r="K724" s="10"/>
      <c r="L724" s="10"/>
      <c r="M724" s="10"/>
      <c r="N724" s="10"/>
      <c r="O724" s="10"/>
    </row>
    <row r="725" spans="2:15" ht="20.25">
      <c r="B725" s="10"/>
      <c r="C725" s="14">
        <v>722</v>
      </c>
      <c r="D725" s="15" t="s">
        <v>801</v>
      </c>
      <c r="E725" s="14">
        <v>27</v>
      </c>
      <c r="F725" s="15">
        <f>_xlfn.XLOOKUP(D725,'Gemini Output'!B:B,'Gemini Output'!C:C,"No Match Yet")</f>
        <v>3</v>
      </c>
      <c r="G725" s="10" t="str">
        <f>_xlfn.XLOOKUP(D725,'Gemini Output'!B:B,'Gemini Output'!E:E,"No Match Yet")</f>
        <v>L2</v>
      </c>
      <c r="H725" s="10"/>
      <c r="I725" s="10"/>
      <c r="J725" s="10"/>
      <c r="K725" s="10"/>
      <c r="L725" s="10"/>
      <c r="M725" s="10"/>
      <c r="N725" s="10"/>
      <c r="O725" s="10"/>
    </row>
    <row r="726" spans="2:15" ht="20.25">
      <c r="B726" s="10"/>
      <c r="C726" s="14">
        <v>723</v>
      </c>
      <c r="D726" s="15" t="s">
        <v>802</v>
      </c>
      <c r="E726" s="14">
        <v>27</v>
      </c>
      <c r="F726" s="15">
        <f>_xlfn.XLOOKUP(D726,'Gemini Output'!B:B,'Gemini Output'!C:C,"No Match Yet")</f>
        <v>3</v>
      </c>
      <c r="G726" s="10" t="str">
        <f>_xlfn.XLOOKUP(D726,'Gemini Output'!B:B,'Gemini Output'!E:E,"No Match Yet")</f>
        <v>L1</v>
      </c>
      <c r="H726" s="10"/>
      <c r="I726" s="10"/>
      <c r="J726" s="10"/>
      <c r="K726" s="10"/>
      <c r="L726" s="10"/>
      <c r="M726" s="10"/>
      <c r="N726" s="10"/>
      <c r="O726" s="10"/>
    </row>
    <row r="727" spans="2:15" ht="20.25">
      <c r="B727" s="10"/>
      <c r="C727" s="14">
        <v>724</v>
      </c>
      <c r="D727" s="15" t="s">
        <v>803</v>
      </c>
      <c r="E727" s="14">
        <v>27</v>
      </c>
      <c r="F727" s="15">
        <f>_xlfn.XLOOKUP(D727,'Gemini Output'!B:B,'Gemini Output'!C:C,"No Match Yet")</f>
        <v>8</v>
      </c>
      <c r="G727" s="10" t="str">
        <f>_xlfn.XLOOKUP(D727,'Gemini Output'!B:B,'Gemini Output'!E:E,"No Match Yet")</f>
        <v>L2</v>
      </c>
      <c r="H727" s="10"/>
      <c r="I727" s="10"/>
      <c r="J727" s="10"/>
      <c r="K727" s="10"/>
      <c r="L727" s="10"/>
      <c r="M727" s="10"/>
      <c r="N727" s="10"/>
      <c r="O727" s="10"/>
    </row>
    <row r="728" spans="2:15" ht="20.25">
      <c r="B728" s="10"/>
      <c r="C728" s="14">
        <v>725</v>
      </c>
      <c r="D728" s="15" t="s">
        <v>804</v>
      </c>
      <c r="E728" s="14">
        <v>27</v>
      </c>
      <c r="F728" s="15">
        <f>_xlfn.XLOOKUP(D728,'Gemini Output'!B:B,'Gemini Output'!C:C,"No Match Yet")</f>
        <v>15</v>
      </c>
      <c r="G728" s="10" t="str">
        <f>_xlfn.XLOOKUP(D728,'Gemini Output'!B:B,'Gemini Output'!E:E,"No Match Yet")</f>
        <v>L1</v>
      </c>
      <c r="H728" s="10"/>
      <c r="I728" s="10"/>
      <c r="J728" s="10"/>
      <c r="K728" s="10"/>
      <c r="L728" s="10"/>
      <c r="M728" s="10"/>
      <c r="N728" s="10"/>
      <c r="O728" s="10"/>
    </row>
    <row r="729" spans="2:15" ht="20.25">
      <c r="B729" s="10"/>
      <c r="C729" s="14">
        <v>726</v>
      </c>
      <c r="D729" s="15" t="s">
        <v>805</v>
      </c>
      <c r="E729" s="14">
        <v>27</v>
      </c>
      <c r="F729" s="15">
        <f>_xlfn.XLOOKUP(D729,'Gemini Output'!B:B,'Gemini Output'!C:C,"No Match Yet")</f>
        <v>15</v>
      </c>
      <c r="G729" s="10" t="str">
        <f>_xlfn.XLOOKUP(D729,'Gemini Output'!B:B,'Gemini Output'!E:E,"No Match Yet")</f>
        <v>L1</v>
      </c>
      <c r="H729" s="10"/>
      <c r="I729" s="10"/>
      <c r="J729" s="10"/>
      <c r="K729" s="10"/>
      <c r="L729" s="10"/>
      <c r="M729" s="10"/>
      <c r="N729" s="10"/>
      <c r="O729" s="10"/>
    </row>
    <row r="730" spans="2:15" ht="20.25">
      <c r="B730" s="10"/>
      <c r="C730" s="14">
        <v>727</v>
      </c>
      <c r="D730" s="15" t="s">
        <v>806</v>
      </c>
      <c r="E730" s="14">
        <v>27</v>
      </c>
      <c r="F730" s="15">
        <f>_xlfn.XLOOKUP(D730,'Gemini Output'!B:B,'Gemini Output'!C:C,"No Match Yet")</f>
        <v>3</v>
      </c>
      <c r="G730" s="10" t="str">
        <f>_xlfn.XLOOKUP(D730,'Gemini Output'!B:B,'Gemini Output'!E:E,"No Match Yet")</f>
        <v>L1</v>
      </c>
      <c r="H730" s="10"/>
      <c r="I730" s="10"/>
      <c r="J730" s="10"/>
      <c r="K730" s="10"/>
      <c r="L730" s="10"/>
      <c r="M730" s="10"/>
      <c r="N730" s="10"/>
      <c r="O730" s="10"/>
    </row>
    <row r="731" spans="2:15" ht="20.25">
      <c r="B731" s="10"/>
      <c r="C731" s="14">
        <v>728</v>
      </c>
      <c r="D731" s="15" t="s">
        <v>807</v>
      </c>
      <c r="E731" s="14">
        <v>27</v>
      </c>
      <c r="F731" s="15">
        <f>_xlfn.XLOOKUP(D731,'Gemini Output'!B:B,'Gemini Output'!C:C,"No Match Yet")</f>
        <v>13</v>
      </c>
      <c r="G731" s="10" t="str">
        <f>_xlfn.XLOOKUP(D731,'Gemini Output'!B:B,'Gemini Output'!E:E,"No Match Yet")</f>
        <v>L1</v>
      </c>
      <c r="H731" s="10"/>
      <c r="I731" s="10"/>
      <c r="J731" s="10"/>
      <c r="K731" s="10"/>
      <c r="L731" s="10"/>
      <c r="M731" s="10"/>
      <c r="N731" s="10"/>
      <c r="O731" s="10"/>
    </row>
    <row r="732" spans="2:15" ht="20.25">
      <c r="B732" s="10"/>
      <c r="C732" s="14">
        <v>729</v>
      </c>
      <c r="D732" s="15" t="s">
        <v>808</v>
      </c>
      <c r="E732" s="14">
        <v>27</v>
      </c>
      <c r="F732" s="15">
        <f>_xlfn.XLOOKUP(D732,'Gemini Output'!B:B,'Gemini Output'!C:C,"No Match Yet")</f>
        <v>3</v>
      </c>
      <c r="G732" s="10" t="str">
        <f>_xlfn.XLOOKUP(D732,'Gemini Output'!B:B,'Gemini Output'!E:E,"No Match Yet")</f>
        <v>L1</v>
      </c>
      <c r="H732" s="10"/>
      <c r="I732" s="10"/>
      <c r="J732" s="10"/>
      <c r="K732" s="10"/>
      <c r="L732" s="10"/>
      <c r="M732" s="10"/>
      <c r="N732" s="10"/>
      <c r="O732" s="10"/>
    </row>
    <row r="733" spans="2:15" ht="20.25">
      <c r="B733" s="10"/>
      <c r="C733" s="14">
        <v>730</v>
      </c>
      <c r="D733" s="15" t="s">
        <v>809</v>
      </c>
      <c r="E733" s="14">
        <v>27</v>
      </c>
      <c r="F733" s="15">
        <f>_xlfn.XLOOKUP(D733,'Gemini Output'!B:B,'Gemini Output'!C:C,"No Match Yet")</f>
        <v>10</v>
      </c>
      <c r="G733" s="10" t="str">
        <f>_xlfn.XLOOKUP(D733,'Gemini Output'!B:B,'Gemini Output'!E:E,"No Match Yet")</f>
        <v>L2</v>
      </c>
      <c r="H733" s="10"/>
      <c r="I733" s="10"/>
      <c r="J733" s="10"/>
      <c r="K733" s="10"/>
      <c r="L733" s="10"/>
      <c r="M733" s="10"/>
      <c r="N733" s="10"/>
      <c r="O733" s="10"/>
    </row>
    <row r="734" spans="2:15" ht="20.25">
      <c r="B734" s="10"/>
      <c r="C734" s="14">
        <v>731</v>
      </c>
      <c r="D734" s="15" t="s">
        <v>810</v>
      </c>
      <c r="E734" s="14">
        <v>27</v>
      </c>
      <c r="F734" s="15">
        <f>_xlfn.XLOOKUP(D734,'Gemini Output'!B:B,'Gemini Output'!C:C,"No Match Yet")</f>
        <v>9</v>
      </c>
      <c r="G734" s="10" t="str">
        <f>_xlfn.XLOOKUP(D734,'Gemini Output'!B:B,'Gemini Output'!E:E,"No Match Yet")</f>
        <v>L2</v>
      </c>
      <c r="H734" s="10"/>
      <c r="I734" s="10"/>
      <c r="J734" s="10"/>
      <c r="K734" s="10"/>
      <c r="L734" s="10"/>
      <c r="M734" s="10"/>
      <c r="N734" s="10"/>
      <c r="O734" s="10"/>
    </row>
    <row r="735" spans="2:15" ht="20.25">
      <c r="B735" s="10"/>
      <c r="C735" s="14">
        <v>732</v>
      </c>
      <c r="D735" s="15" t="s">
        <v>811</v>
      </c>
      <c r="E735" s="14">
        <v>27</v>
      </c>
      <c r="F735" s="15">
        <f>_xlfn.XLOOKUP(D735,'Gemini Output'!B:B,'Gemini Output'!C:C,"No Match Yet")</f>
        <v>12</v>
      </c>
      <c r="G735" s="10" t="str">
        <f>_xlfn.XLOOKUP(D735,'Gemini Output'!B:B,'Gemini Output'!E:E,"No Match Yet")</f>
        <v>L3</v>
      </c>
      <c r="H735" s="10"/>
      <c r="I735" s="10"/>
      <c r="J735" s="10"/>
      <c r="K735" s="10"/>
      <c r="L735" s="10"/>
      <c r="M735" s="10"/>
      <c r="N735" s="10"/>
      <c r="O735" s="10"/>
    </row>
    <row r="736" spans="2:15" ht="20.25">
      <c r="B736" s="10"/>
      <c r="C736" s="14">
        <v>733</v>
      </c>
      <c r="D736" s="15" t="s">
        <v>812</v>
      </c>
      <c r="E736" s="14">
        <v>27</v>
      </c>
      <c r="F736" s="15">
        <f>_xlfn.XLOOKUP(D736,'Gemini Output'!B:B,'Gemini Output'!C:C,"No Match Yet")</f>
        <v>9</v>
      </c>
      <c r="G736" s="10" t="str">
        <f>_xlfn.XLOOKUP(D736,'Gemini Output'!B:B,'Gemini Output'!E:E,"No Match Yet")</f>
        <v>L1</v>
      </c>
      <c r="H736" s="10"/>
      <c r="I736" s="10"/>
      <c r="J736" s="10"/>
      <c r="K736" s="10"/>
      <c r="L736" s="10"/>
      <c r="M736" s="10"/>
      <c r="N736" s="10"/>
      <c r="O736" s="10"/>
    </row>
    <row r="737" spans="2:15" ht="20.25">
      <c r="B737" s="10"/>
      <c r="C737" s="14">
        <v>734</v>
      </c>
      <c r="D737" s="15" t="s">
        <v>813</v>
      </c>
      <c r="E737" s="14">
        <v>27</v>
      </c>
      <c r="F737" s="15">
        <f>_xlfn.XLOOKUP(D737,'Gemini Output'!B:B,'Gemini Output'!C:C,"No Match Yet")</f>
        <v>15</v>
      </c>
      <c r="G737" s="10" t="str">
        <f>_xlfn.XLOOKUP(D737,'Gemini Output'!B:B,'Gemini Output'!E:E,"No Match Yet")</f>
        <v>L2</v>
      </c>
      <c r="H737" s="10"/>
      <c r="I737" s="10"/>
      <c r="J737" s="10"/>
      <c r="K737" s="10"/>
      <c r="L737" s="10"/>
      <c r="M737" s="10"/>
      <c r="N737" s="10"/>
      <c r="O737" s="10"/>
    </row>
    <row r="738" spans="2:15" ht="20.25">
      <c r="B738" s="10"/>
      <c r="C738" s="14">
        <v>735</v>
      </c>
      <c r="D738" s="15" t="s">
        <v>814</v>
      </c>
      <c r="E738" s="14">
        <v>27</v>
      </c>
      <c r="F738" s="15">
        <f>_xlfn.XLOOKUP(D738,'Gemini Output'!B:B,'Gemini Output'!C:C,"No Match Yet")</f>
        <v>1</v>
      </c>
      <c r="G738" s="10" t="str">
        <f>_xlfn.XLOOKUP(D738,'Gemini Output'!B:B,'Gemini Output'!E:E,"No Match Yet")</f>
        <v>L2</v>
      </c>
      <c r="H738" s="10"/>
      <c r="I738" s="10"/>
      <c r="J738" s="10"/>
      <c r="K738" s="10"/>
      <c r="L738" s="10"/>
      <c r="M738" s="10"/>
      <c r="N738" s="10"/>
      <c r="O738" s="10"/>
    </row>
    <row r="739" spans="2:15" ht="20.25">
      <c r="B739" s="10"/>
      <c r="C739" s="14">
        <v>736</v>
      </c>
      <c r="D739" s="15" t="s">
        <v>815</v>
      </c>
      <c r="E739" s="14">
        <v>27</v>
      </c>
      <c r="F739" s="15">
        <f>_xlfn.XLOOKUP(D739,'Gemini Output'!B:B,'Gemini Output'!C:C,"No Match Yet")</f>
        <v>2</v>
      </c>
      <c r="G739" s="10" t="str">
        <f>_xlfn.XLOOKUP(D739,'Gemini Output'!B:B,'Gemini Output'!E:E,"No Match Yet")</f>
        <v>L2</v>
      </c>
      <c r="H739" s="10"/>
      <c r="I739" s="10"/>
      <c r="J739" s="10"/>
      <c r="K739" s="10"/>
      <c r="L739" s="10"/>
      <c r="M739" s="10"/>
      <c r="N739" s="10"/>
      <c r="O739" s="10"/>
    </row>
    <row r="740" spans="2:15" ht="20.25">
      <c r="B740" s="10"/>
      <c r="C740" s="14">
        <v>737</v>
      </c>
      <c r="D740" s="15" t="s">
        <v>816</v>
      </c>
      <c r="E740" s="14">
        <v>27</v>
      </c>
      <c r="F740" s="15">
        <f>_xlfn.XLOOKUP(D740,'Gemini Output'!B:B,'Gemini Output'!C:C,"No Match Yet")</f>
        <v>7</v>
      </c>
      <c r="G740" s="10" t="str">
        <f>_xlfn.XLOOKUP(D740,'Gemini Output'!B:B,'Gemini Output'!E:E,"No Match Yet")</f>
        <v>L1</v>
      </c>
      <c r="H740" s="10"/>
      <c r="I740" s="10"/>
      <c r="J740" s="10"/>
      <c r="K740" s="10"/>
      <c r="L740" s="10"/>
      <c r="M740" s="10"/>
      <c r="N740" s="10"/>
      <c r="O740" s="10"/>
    </row>
    <row r="741" spans="2:15" ht="20.25">
      <c r="B741" s="10"/>
      <c r="C741" s="14">
        <v>738</v>
      </c>
      <c r="D741" s="15" t="s">
        <v>817</v>
      </c>
      <c r="E741" s="14">
        <v>27</v>
      </c>
      <c r="F741" s="15">
        <f>_xlfn.XLOOKUP(D741,'Gemini Output'!B:B,'Gemini Output'!C:C,"No Match Yet")</f>
        <v>3</v>
      </c>
      <c r="G741" s="10" t="str">
        <f>_xlfn.XLOOKUP(D741,'Gemini Output'!B:B,'Gemini Output'!E:E,"No Match Yet")</f>
        <v>L2</v>
      </c>
      <c r="H741" s="10"/>
      <c r="I741" s="10"/>
      <c r="J741" s="10"/>
      <c r="K741" s="10"/>
      <c r="L741" s="10"/>
      <c r="M741" s="10"/>
      <c r="N741" s="10"/>
      <c r="O741" s="10"/>
    </row>
    <row r="742" spans="2:15" ht="20.25">
      <c r="B742" s="10"/>
      <c r="C742" s="14">
        <v>739</v>
      </c>
      <c r="D742" s="15" t="s">
        <v>818</v>
      </c>
      <c r="E742" s="14">
        <v>27</v>
      </c>
      <c r="F742" s="15">
        <f>_xlfn.XLOOKUP(D742,'Gemini Output'!B:B,'Gemini Output'!C:C,"No Match Yet")</f>
        <v>7</v>
      </c>
      <c r="G742" s="10" t="str">
        <f>_xlfn.XLOOKUP(D742,'Gemini Output'!B:B,'Gemini Output'!E:E,"No Match Yet")</f>
        <v>L3</v>
      </c>
      <c r="H742" s="10"/>
      <c r="I742" s="10"/>
      <c r="J742" s="10"/>
      <c r="K742" s="10"/>
      <c r="L742" s="10"/>
      <c r="M742" s="10"/>
      <c r="N742" s="10"/>
      <c r="O742" s="10"/>
    </row>
    <row r="743" spans="2:15" ht="20.25">
      <c r="B743" s="10"/>
      <c r="C743" s="14">
        <v>740</v>
      </c>
      <c r="D743" s="15" t="s">
        <v>819</v>
      </c>
      <c r="E743" s="14">
        <v>26</v>
      </c>
      <c r="F743" s="15">
        <f>_xlfn.XLOOKUP(D743,'Gemini Output'!B:B,'Gemini Output'!C:C,"No Match Yet")</f>
        <v>12</v>
      </c>
      <c r="G743" s="10" t="str">
        <f>_xlfn.XLOOKUP(D743,'Gemini Output'!B:B,'Gemini Output'!E:E,"No Match Yet")</f>
        <v>L2</v>
      </c>
      <c r="H743" s="10"/>
      <c r="I743" s="10"/>
      <c r="J743" s="10"/>
      <c r="K743" s="10"/>
      <c r="L743" s="10"/>
      <c r="M743" s="10"/>
      <c r="N743" s="10"/>
      <c r="O743" s="10"/>
    </row>
    <row r="744" spans="2:15" ht="20.25">
      <c r="B744" s="10"/>
      <c r="C744" s="14">
        <v>741</v>
      </c>
      <c r="D744" s="15" t="s">
        <v>820</v>
      </c>
      <c r="E744" s="14">
        <v>26</v>
      </c>
      <c r="F744" s="15">
        <f>_xlfn.XLOOKUP(D744,'Gemini Output'!B:B,'Gemini Output'!C:C,"No Match Yet")</f>
        <v>14</v>
      </c>
      <c r="G744" s="10" t="str">
        <f>_xlfn.XLOOKUP(D744,'Gemini Output'!B:B,'Gemini Output'!E:E,"No Match Yet")</f>
        <v>L1</v>
      </c>
      <c r="H744" s="10"/>
      <c r="I744" s="10"/>
      <c r="J744" s="10"/>
      <c r="K744" s="10"/>
      <c r="L744" s="10"/>
      <c r="M744" s="10"/>
      <c r="N744" s="10"/>
      <c r="O744" s="10"/>
    </row>
    <row r="745" spans="2:15" ht="20.25">
      <c r="B745" s="10"/>
      <c r="C745" s="14">
        <v>742</v>
      </c>
      <c r="D745" s="15" t="s">
        <v>821</v>
      </c>
      <c r="E745" s="14">
        <v>26</v>
      </c>
      <c r="F745" s="15">
        <f>_xlfn.XLOOKUP(D745,'Gemini Output'!B:B,'Gemini Output'!C:C,"No Match Yet")</f>
        <v>12</v>
      </c>
      <c r="G745" s="10" t="str">
        <f>_xlfn.XLOOKUP(D745,'Gemini Output'!B:B,'Gemini Output'!E:E,"No Match Yet")</f>
        <v>L3</v>
      </c>
      <c r="H745" s="10"/>
      <c r="I745" s="10"/>
      <c r="J745" s="10"/>
      <c r="K745" s="10"/>
      <c r="L745" s="10"/>
      <c r="M745" s="10"/>
      <c r="N745" s="10"/>
      <c r="O745" s="10"/>
    </row>
    <row r="746" spans="2:15" ht="20.25">
      <c r="B746" s="10"/>
      <c r="C746" s="14">
        <v>743</v>
      </c>
      <c r="D746" s="15" t="s">
        <v>822</v>
      </c>
      <c r="E746" s="14">
        <v>26</v>
      </c>
      <c r="F746" s="15">
        <f>_xlfn.XLOOKUP(D746,'Gemini Output'!B:B,'Gemini Output'!C:C,"No Match Yet")</f>
        <v>15</v>
      </c>
      <c r="G746" s="10" t="str">
        <f>_xlfn.XLOOKUP(D746,'Gemini Output'!B:B,'Gemini Output'!E:E,"No Match Yet")</f>
        <v>L1</v>
      </c>
      <c r="H746" s="10"/>
      <c r="I746" s="10"/>
      <c r="J746" s="10"/>
      <c r="K746" s="10"/>
      <c r="L746" s="10"/>
      <c r="M746" s="10"/>
      <c r="N746" s="10"/>
      <c r="O746" s="10"/>
    </row>
    <row r="747" spans="2:15" ht="20.25">
      <c r="B747" s="10"/>
      <c r="C747" s="14">
        <v>744</v>
      </c>
      <c r="D747" s="15" t="s">
        <v>823</v>
      </c>
      <c r="E747" s="14">
        <v>26</v>
      </c>
      <c r="F747" s="15">
        <f>_xlfn.XLOOKUP(D747,'Gemini Output'!B:B,'Gemini Output'!C:C,"No Match Yet")</f>
        <v>15</v>
      </c>
      <c r="G747" s="10" t="str">
        <f>_xlfn.XLOOKUP(D747,'Gemini Output'!B:B,'Gemini Output'!E:E,"No Match Yet")</f>
        <v>L2</v>
      </c>
      <c r="H747" s="10"/>
      <c r="I747" s="10"/>
      <c r="J747" s="10"/>
      <c r="K747" s="10"/>
      <c r="L747" s="10"/>
      <c r="M747" s="10"/>
      <c r="N747" s="10"/>
      <c r="O747" s="10"/>
    </row>
    <row r="748" spans="2:15" ht="20.25">
      <c r="B748" s="10"/>
      <c r="C748" s="14">
        <v>745</v>
      </c>
      <c r="D748" s="15" t="s">
        <v>824</v>
      </c>
      <c r="E748" s="14">
        <v>26</v>
      </c>
      <c r="F748" s="15">
        <f>_xlfn.XLOOKUP(D748,'Gemini Output'!B:B,'Gemini Output'!C:C,"No Match Yet")</f>
        <v>5</v>
      </c>
      <c r="G748" s="10" t="str">
        <f>_xlfn.XLOOKUP(D748,'Gemini Output'!B:B,'Gemini Output'!E:E,"No Match Yet")</f>
        <v>L2</v>
      </c>
      <c r="H748" s="10"/>
      <c r="I748" s="10"/>
      <c r="J748" s="10"/>
      <c r="K748" s="10"/>
      <c r="L748" s="10"/>
      <c r="M748" s="10"/>
      <c r="N748" s="10"/>
      <c r="O748" s="10"/>
    </row>
    <row r="749" spans="2:15" ht="20.25">
      <c r="B749" s="10"/>
      <c r="C749" s="14">
        <v>746</v>
      </c>
      <c r="D749" s="15" t="s">
        <v>825</v>
      </c>
      <c r="E749" s="14">
        <v>26</v>
      </c>
      <c r="F749" s="15">
        <f>_xlfn.XLOOKUP(D749,'Gemini Output'!B:B,'Gemini Output'!C:C,"No Match Yet")</f>
        <v>9</v>
      </c>
      <c r="G749" s="10" t="str">
        <f>_xlfn.XLOOKUP(D749,'Gemini Output'!B:B,'Gemini Output'!E:E,"No Match Yet")</f>
        <v>L3</v>
      </c>
      <c r="H749" s="10"/>
      <c r="I749" s="10"/>
      <c r="J749" s="10"/>
      <c r="K749" s="10"/>
      <c r="L749" s="10"/>
      <c r="M749" s="10"/>
      <c r="N749" s="10"/>
      <c r="O749" s="10"/>
    </row>
    <row r="750" spans="2:15" ht="20.25">
      <c r="B750" s="10"/>
      <c r="C750" s="14">
        <v>747</v>
      </c>
      <c r="D750" s="15" t="s">
        <v>826</v>
      </c>
      <c r="E750" s="14">
        <v>26</v>
      </c>
      <c r="F750" s="15">
        <f>_xlfn.XLOOKUP(D750,'Gemini Output'!B:B,'Gemini Output'!C:C,"No Match Yet")</f>
        <v>1</v>
      </c>
      <c r="G750" s="10" t="str">
        <f>_xlfn.XLOOKUP(D750,'Gemini Output'!B:B,'Gemini Output'!E:E,"No Match Yet")</f>
        <v>L3</v>
      </c>
      <c r="H750" s="10"/>
      <c r="I750" s="10"/>
      <c r="J750" s="10"/>
      <c r="K750" s="10"/>
      <c r="L750" s="10"/>
      <c r="M750" s="10"/>
      <c r="N750" s="10"/>
      <c r="O750" s="10"/>
    </row>
    <row r="751" spans="2:15" ht="20.25">
      <c r="B751" s="10"/>
      <c r="C751" s="14">
        <v>748</v>
      </c>
      <c r="D751" s="15" t="s">
        <v>827</v>
      </c>
      <c r="E751" s="14">
        <v>26</v>
      </c>
      <c r="F751" s="15">
        <f>_xlfn.XLOOKUP(D751,'Gemini Output'!B:B,'Gemini Output'!C:C,"No Match Yet")</f>
        <v>15</v>
      </c>
      <c r="G751" s="10" t="str">
        <f>_xlfn.XLOOKUP(D751,'Gemini Output'!B:B,'Gemini Output'!E:E,"No Match Yet")</f>
        <v>L1</v>
      </c>
      <c r="H751" s="10"/>
      <c r="I751" s="10"/>
      <c r="J751" s="10"/>
      <c r="K751" s="10"/>
      <c r="L751" s="10"/>
      <c r="M751" s="10"/>
      <c r="N751" s="10"/>
      <c r="O751" s="10"/>
    </row>
    <row r="752" spans="2:15" ht="20.25">
      <c r="B752" s="10"/>
      <c r="C752" s="14">
        <v>749</v>
      </c>
      <c r="D752" s="15" t="s">
        <v>828</v>
      </c>
      <c r="E752" s="14">
        <v>26</v>
      </c>
      <c r="F752" s="15">
        <f>_xlfn.XLOOKUP(D752,'Gemini Output'!B:B,'Gemini Output'!C:C,"No Match Yet")</f>
        <v>11</v>
      </c>
      <c r="G752" s="10" t="str">
        <f>_xlfn.XLOOKUP(D752,'Gemini Output'!B:B,'Gemini Output'!E:E,"No Match Yet")</f>
        <v>L1</v>
      </c>
      <c r="H752" s="10"/>
      <c r="I752" s="10"/>
      <c r="J752" s="10"/>
      <c r="K752" s="10"/>
      <c r="L752" s="10"/>
      <c r="M752" s="10"/>
      <c r="N752" s="10"/>
      <c r="O752" s="10"/>
    </row>
    <row r="753" spans="2:15" ht="20.25">
      <c r="B753" s="10"/>
      <c r="C753" s="14">
        <v>750</v>
      </c>
      <c r="D753" s="15" t="s">
        <v>829</v>
      </c>
      <c r="E753" s="14">
        <v>26</v>
      </c>
      <c r="F753" s="15">
        <f>_xlfn.XLOOKUP(D753,'Gemini Output'!B:B,'Gemini Output'!C:C,"No Match Yet")</f>
        <v>3</v>
      </c>
      <c r="G753" s="10" t="str">
        <f>_xlfn.XLOOKUP(D753,'Gemini Output'!B:B,'Gemini Output'!E:E,"No Match Yet")</f>
        <v>L1</v>
      </c>
      <c r="H753" s="10"/>
      <c r="I753" s="10"/>
      <c r="J753" s="10"/>
      <c r="K753" s="10"/>
      <c r="L753" s="10"/>
      <c r="M753" s="10"/>
      <c r="N753" s="10"/>
      <c r="O753" s="10"/>
    </row>
    <row r="754" spans="2:15" ht="20.25">
      <c r="B754" s="10"/>
      <c r="C754" s="14">
        <v>751</v>
      </c>
      <c r="D754" s="15" t="s">
        <v>830</v>
      </c>
      <c r="E754" s="14">
        <v>26</v>
      </c>
      <c r="F754" s="15">
        <f>_xlfn.XLOOKUP(D754,'Gemini Output'!B:B,'Gemini Output'!C:C,"No Match Yet")</f>
        <v>7</v>
      </c>
      <c r="G754" s="10" t="str">
        <f>_xlfn.XLOOKUP(D754,'Gemini Output'!B:B,'Gemini Output'!E:E,"No Match Yet")</f>
        <v>L1</v>
      </c>
      <c r="H754" s="10"/>
      <c r="I754" s="10"/>
      <c r="J754" s="10"/>
      <c r="K754" s="10"/>
      <c r="L754" s="10"/>
      <c r="M754" s="10"/>
      <c r="N754" s="10"/>
      <c r="O754" s="10"/>
    </row>
    <row r="755" spans="2:15" ht="20.25">
      <c r="B755" s="10"/>
      <c r="C755" s="14">
        <v>752</v>
      </c>
      <c r="D755" s="15" t="s">
        <v>831</v>
      </c>
      <c r="E755" s="14">
        <v>26</v>
      </c>
      <c r="F755" s="15">
        <f>_xlfn.XLOOKUP(D755,'Gemini Output'!B:B,'Gemini Output'!C:C,"No Match Yet")</f>
        <v>10</v>
      </c>
      <c r="G755" s="10" t="str">
        <f>_xlfn.XLOOKUP(D755,'Gemini Output'!B:B,'Gemini Output'!E:E,"No Match Yet")</f>
        <v>L1</v>
      </c>
      <c r="H755" s="10"/>
      <c r="I755" s="10"/>
      <c r="J755" s="10"/>
      <c r="K755" s="10"/>
      <c r="L755" s="10"/>
      <c r="M755" s="10"/>
      <c r="N755" s="10"/>
      <c r="O755" s="10"/>
    </row>
    <row r="756" spans="2:15" ht="20.25">
      <c r="B756" s="10"/>
      <c r="C756" s="14">
        <v>753</v>
      </c>
      <c r="D756" s="15" t="s">
        <v>832</v>
      </c>
      <c r="E756" s="14">
        <v>26</v>
      </c>
      <c r="F756" s="15">
        <f>_xlfn.XLOOKUP(D756,'Gemini Output'!B:B,'Gemini Output'!C:C,"No Match Yet")</f>
        <v>3</v>
      </c>
      <c r="G756" s="10" t="str">
        <f>_xlfn.XLOOKUP(D756,'Gemini Output'!B:B,'Gemini Output'!E:E,"No Match Yet")</f>
        <v>L2</v>
      </c>
      <c r="H756" s="10"/>
      <c r="I756" s="10"/>
      <c r="J756" s="10"/>
      <c r="K756" s="10"/>
      <c r="L756" s="10"/>
      <c r="M756" s="10"/>
      <c r="N756" s="10"/>
      <c r="O756" s="10"/>
    </row>
    <row r="757" spans="2:15" ht="20.25">
      <c r="B757" s="10"/>
      <c r="C757" s="14">
        <v>754</v>
      </c>
      <c r="D757" s="15" t="s">
        <v>833</v>
      </c>
      <c r="E757" s="14">
        <v>26</v>
      </c>
      <c r="F757" s="15">
        <f>_xlfn.XLOOKUP(D757,'Gemini Output'!B:B,'Gemini Output'!C:C,"No Match Yet")</f>
        <v>10</v>
      </c>
      <c r="G757" s="10" t="str">
        <f>_xlfn.XLOOKUP(D757,'Gemini Output'!B:B,'Gemini Output'!E:E,"No Match Yet")</f>
        <v>L1</v>
      </c>
      <c r="H757" s="10"/>
      <c r="I757" s="10"/>
      <c r="J757" s="10"/>
      <c r="K757" s="10"/>
      <c r="L757" s="10"/>
      <c r="M757" s="10"/>
      <c r="N757" s="10"/>
      <c r="O757" s="10"/>
    </row>
    <row r="758" spans="2:15" ht="20.25">
      <c r="B758" s="10"/>
      <c r="C758" s="14">
        <v>755</v>
      </c>
      <c r="D758" s="15" t="s">
        <v>834</v>
      </c>
      <c r="E758" s="14">
        <v>26</v>
      </c>
      <c r="F758" s="15">
        <f>_xlfn.XLOOKUP(D758,'Gemini Output'!B:B,'Gemini Output'!C:C,"No Match Yet")</f>
        <v>6</v>
      </c>
      <c r="G758" s="10" t="str">
        <f>_xlfn.XLOOKUP(D758,'Gemini Output'!B:B,'Gemini Output'!E:E,"No Match Yet")</f>
        <v>L3</v>
      </c>
      <c r="H758" s="10"/>
      <c r="I758" s="10"/>
      <c r="J758" s="10"/>
      <c r="K758" s="10"/>
      <c r="L758" s="10"/>
      <c r="M758" s="10"/>
      <c r="N758" s="10"/>
      <c r="O758" s="10"/>
    </row>
    <row r="759" spans="2:15" ht="20.25">
      <c r="B759" s="10"/>
      <c r="C759" s="14">
        <v>756</v>
      </c>
      <c r="D759" s="15" t="s">
        <v>835</v>
      </c>
      <c r="E759" s="14">
        <v>26</v>
      </c>
      <c r="F759" s="15">
        <f>_xlfn.XLOOKUP(D759,'Gemini Output'!B:B,'Gemini Output'!C:C,"No Match Yet")</f>
        <v>6</v>
      </c>
      <c r="G759" s="10" t="str">
        <f>_xlfn.XLOOKUP(D759,'Gemini Output'!B:B,'Gemini Output'!E:E,"No Match Yet")</f>
        <v>L2</v>
      </c>
      <c r="H759" s="10"/>
      <c r="I759" s="10"/>
      <c r="J759" s="10"/>
      <c r="K759" s="10"/>
      <c r="L759" s="10"/>
      <c r="M759" s="10"/>
      <c r="N759" s="10"/>
      <c r="O759" s="10"/>
    </row>
    <row r="760" spans="2:15" ht="20.25">
      <c r="B760" s="10"/>
      <c r="C760" s="14">
        <v>757</v>
      </c>
      <c r="D760" s="15" t="s">
        <v>836</v>
      </c>
      <c r="E760" s="14">
        <v>26</v>
      </c>
      <c r="F760" s="15">
        <f>_xlfn.XLOOKUP(D760,'Gemini Output'!B:B,'Gemini Output'!C:C,"No Match Yet")</f>
        <v>7</v>
      </c>
      <c r="G760" s="10" t="str">
        <f>_xlfn.XLOOKUP(D760,'Gemini Output'!B:B,'Gemini Output'!E:E,"No Match Yet")</f>
        <v>L3</v>
      </c>
      <c r="H760" s="10"/>
      <c r="I760" s="10"/>
      <c r="J760" s="10"/>
      <c r="K760" s="10"/>
      <c r="L760" s="10"/>
      <c r="M760" s="10"/>
      <c r="N760" s="10"/>
      <c r="O760" s="10"/>
    </row>
    <row r="761" spans="2:15" ht="20.25">
      <c r="B761" s="10"/>
      <c r="C761" s="14">
        <v>758</v>
      </c>
      <c r="D761" s="15" t="s">
        <v>837</v>
      </c>
      <c r="E761" s="14">
        <v>26</v>
      </c>
      <c r="F761" s="15">
        <f>_xlfn.XLOOKUP(D761,'Gemini Output'!B:B,'Gemini Output'!C:C,"No Match Yet")</f>
        <v>14</v>
      </c>
      <c r="G761" s="10" t="str">
        <f>_xlfn.XLOOKUP(D761,'Gemini Output'!B:B,'Gemini Output'!E:E,"No Match Yet")</f>
        <v>L2</v>
      </c>
      <c r="H761" s="10"/>
      <c r="I761" s="10"/>
      <c r="J761" s="10"/>
      <c r="K761" s="10"/>
      <c r="L761" s="10"/>
      <c r="M761" s="10"/>
      <c r="N761" s="10"/>
      <c r="O761" s="10"/>
    </row>
    <row r="762" spans="2:15" ht="20.25">
      <c r="B762" s="10"/>
      <c r="C762" s="14">
        <v>759</v>
      </c>
      <c r="D762" s="15" t="s">
        <v>838</v>
      </c>
      <c r="E762" s="14">
        <v>26</v>
      </c>
      <c r="F762" s="15">
        <f>_xlfn.XLOOKUP(D762,'Gemini Output'!B:B,'Gemini Output'!C:C,"No Match Yet")</f>
        <v>5</v>
      </c>
      <c r="G762" s="10" t="str">
        <f>_xlfn.XLOOKUP(D762,'Gemini Output'!B:B,'Gemini Output'!E:E,"No Match Yet")</f>
        <v>L1</v>
      </c>
      <c r="H762" s="10"/>
      <c r="I762" s="10"/>
      <c r="J762" s="10"/>
      <c r="K762" s="10"/>
      <c r="L762" s="10"/>
      <c r="M762" s="10"/>
      <c r="N762" s="10"/>
      <c r="O762" s="10"/>
    </row>
    <row r="763" spans="2:15" ht="20.25">
      <c r="B763" s="10"/>
      <c r="C763" s="14">
        <v>760</v>
      </c>
      <c r="D763" s="15" t="s">
        <v>839</v>
      </c>
      <c r="E763" s="14">
        <v>26</v>
      </c>
      <c r="F763" s="15">
        <f>_xlfn.XLOOKUP(D763,'Gemini Output'!B:B,'Gemini Output'!C:C,"No Match Yet")</f>
        <v>2</v>
      </c>
      <c r="G763" s="10" t="str">
        <f>_xlfn.XLOOKUP(D763,'Gemini Output'!B:B,'Gemini Output'!E:E,"No Match Yet")</f>
        <v>L2</v>
      </c>
      <c r="H763" s="10"/>
      <c r="I763" s="10"/>
      <c r="J763" s="10"/>
      <c r="K763" s="10"/>
      <c r="L763" s="10"/>
      <c r="M763" s="10"/>
      <c r="N763" s="10"/>
      <c r="O763" s="10"/>
    </row>
    <row r="764" spans="2:15" ht="20.25">
      <c r="B764" s="10"/>
      <c r="C764" s="14">
        <v>761</v>
      </c>
      <c r="D764" s="15" t="s">
        <v>840</v>
      </c>
      <c r="E764" s="14">
        <v>26</v>
      </c>
      <c r="F764" s="15">
        <f>_xlfn.XLOOKUP(D764,'Gemini Output'!B:B,'Gemini Output'!C:C,"No Match Yet")</f>
        <v>15</v>
      </c>
      <c r="G764" s="10" t="str">
        <f>_xlfn.XLOOKUP(D764,'Gemini Output'!B:B,'Gemini Output'!E:E,"No Match Yet")</f>
        <v>L1</v>
      </c>
      <c r="H764" s="10"/>
      <c r="I764" s="10"/>
      <c r="J764" s="10"/>
      <c r="K764" s="10"/>
      <c r="L764" s="10"/>
      <c r="M764" s="10"/>
      <c r="N764" s="10"/>
      <c r="O764" s="10"/>
    </row>
    <row r="765" spans="2:15" ht="20.25">
      <c r="B765" s="10"/>
      <c r="C765" s="14">
        <v>762</v>
      </c>
      <c r="D765" s="15" t="s">
        <v>841</v>
      </c>
      <c r="E765" s="14">
        <v>26</v>
      </c>
      <c r="F765" s="15">
        <f>_xlfn.XLOOKUP(D765,'Gemini Output'!B:B,'Gemini Output'!C:C,"No Match Yet")</f>
        <v>15</v>
      </c>
      <c r="G765" s="10" t="str">
        <f>_xlfn.XLOOKUP(D765,'Gemini Output'!B:B,'Gemini Output'!E:E,"No Match Yet")</f>
        <v>L2</v>
      </c>
      <c r="H765" s="10"/>
      <c r="I765" s="10"/>
      <c r="J765" s="10"/>
      <c r="K765" s="10"/>
      <c r="L765" s="10"/>
      <c r="M765" s="10"/>
      <c r="N765" s="10"/>
      <c r="O765" s="10"/>
    </row>
    <row r="766" spans="2:15" ht="20.25">
      <c r="B766" s="10"/>
      <c r="C766" s="14">
        <v>763</v>
      </c>
      <c r="D766" s="15" t="s">
        <v>842</v>
      </c>
      <c r="E766" s="14">
        <v>26</v>
      </c>
      <c r="F766" s="15">
        <f>_xlfn.XLOOKUP(D766,'Gemini Output'!B:B,'Gemini Output'!C:C,"No Match Yet")</f>
        <v>15</v>
      </c>
      <c r="G766" s="10" t="str">
        <f>_xlfn.XLOOKUP(D766,'Gemini Output'!B:B,'Gemini Output'!E:E,"No Match Yet")</f>
        <v>L1</v>
      </c>
      <c r="H766" s="10"/>
      <c r="I766" s="10"/>
      <c r="J766" s="10"/>
      <c r="K766" s="10"/>
      <c r="L766" s="10"/>
      <c r="M766" s="10"/>
      <c r="N766" s="10"/>
      <c r="O766" s="10"/>
    </row>
    <row r="767" spans="2:15" ht="20.25">
      <c r="B767" s="10"/>
      <c r="C767" s="14">
        <v>764</v>
      </c>
      <c r="D767" s="15" t="s">
        <v>843</v>
      </c>
      <c r="E767" s="14">
        <v>26</v>
      </c>
      <c r="F767" s="15">
        <f>_xlfn.XLOOKUP(D767,'Gemini Output'!B:B,'Gemini Output'!C:C,"No Match Yet")</f>
        <v>7</v>
      </c>
      <c r="G767" s="10" t="str">
        <f>_xlfn.XLOOKUP(D767,'Gemini Output'!B:B,'Gemini Output'!E:E,"No Match Yet")</f>
        <v>L1</v>
      </c>
      <c r="H767" s="10"/>
      <c r="I767" s="10"/>
      <c r="J767" s="10"/>
      <c r="K767" s="10"/>
      <c r="L767" s="10"/>
      <c r="M767" s="10"/>
      <c r="N767" s="10"/>
      <c r="O767" s="10"/>
    </row>
    <row r="768" spans="2:15" ht="20.25">
      <c r="B768" s="10"/>
      <c r="C768" s="14">
        <v>765</v>
      </c>
      <c r="D768" s="15" t="s">
        <v>844</v>
      </c>
      <c r="E768" s="14">
        <v>26</v>
      </c>
      <c r="F768" s="15">
        <f>_xlfn.XLOOKUP(D768,'Gemini Output'!B:B,'Gemini Output'!C:C,"No Match Yet")</f>
        <v>9</v>
      </c>
      <c r="G768" s="10" t="str">
        <f>_xlfn.XLOOKUP(D768,'Gemini Output'!B:B,'Gemini Output'!E:E,"No Match Yet")</f>
        <v>L2</v>
      </c>
      <c r="H768" s="10"/>
      <c r="I768" s="10"/>
      <c r="J768" s="10"/>
      <c r="K768" s="10"/>
      <c r="L768" s="10"/>
      <c r="M768" s="10"/>
      <c r="N768" s="10"/>
      <c r="O768" s="10"/>
    </row>
    <row r="769" spans="2:15" ht="20.25">
      <c r="B769" s="10"/>
      <c r="C769" s="14">
        <v>766</v>
      </c>
      <c r="D769" s="15" t="s">
        <v>845</v>
      </c>
      <c r="E769" s="14">
        <v>26</v>
      </c>
      <c r="F769" s="15">
        <f>_xlfn.XLOOKUP(D769,'Gemini Output'!B:B,'Gemini Output'!C:C,"No Match Yet")</f>
        <v>15</v>
      </c>
      <c r="G769" s="10" t="str">
        <f>_xlfn.XLOOKUP(D769,'Gemini Output'!B:B,'Gemini Output'!E:E,"No Match Yet")</f>
        <v>L1</v>
      </c>
      <c r="H769" s="10"/>
      <c r="I769" s="10"/>
      <c r="J769" s="10"/>
      <c r="K769" s="10"/>
      <c r="L769" s="10"/>
      <c r="M769" s="10"/>
      <c r="N769" s="10"/>
      <c r="O769" s="10"/>
    </row>
    <row r="770" spans="2:15" ht="20.25">
      <c r="B770" s="10"/>
      <c r="C770" s="14">
        <v>767</v>
      </c>
      <c r="D770" s="15" t="s">
        <v>846</v>
      </c>
      <c r="E770" s="14">
        <v>26</v>
      </c>
      <c r="F770" s="15">
        <f>_xlfn.XLOOKUP(D770,'Gemini Output'!B:B,'Gemini Output'!C:C,"No Match Yet")</f>
        <v>15</v>
      </c>
      <c r="G770" s="10" t="str">
        <f>_xlfn.XLOOKUP(D770,'Gemini Output'!B:B,'Gemini Output'!E:E,"No Match Yet")</f>
        <v>L2</v>
      </c>
      <c r="H770" s="10"/>
      <c r="I770" s="10"/>
      <c r="J770" s="10"/>
      <c r="K770" s="10"/>
      <c r="L770" s="10"/>
      <c r="M770" s="10"/>
      <c r="N770" s="10"/>
      <c r="O770" s="10"/>
    </row>
    <row r="771" spans="2:15" ht="20.25">
      <c r="B771" s="10"/>
      <c r="C771" s="14">
        <v>768</v>
      </c>
      <c r="D771" s="15" t="s">
        <v>847</v>
      </c>
      <c r="E771" s="14">
        <v>26</v>
      </c>
      <c r="F771" s="15">
        <f>_xlfn.XLOOKUP(D771,'Gemini Output'!B:B,'Gemini Output'!C:C,"No Match Yet")</f>
        <v>7</v>
      </c>
      <c r="G771" s="10" t="str">
        <f>_xlfn.XLOOKUP(D771,'Gemini Output'!B:B,'Gemini Output'!E:E,"No Match Yet")</f>
        <v>L3</v>
      </c>
      <c r="H771" s="10"/>
      <c r="I771" s="10"/>
      <c r="J771" s="10"/>
      <c r="K771" s="10"/>
      <c r="L771" s="10"/>
      <c r="M771" s="10"/>
      <c r="N771" s="10"/>
      <c r="O771" s="10"/>
    </row>
    <row r="772" spans="2:15" ht="20.25">
      <c r="B772" s="10"/>
      <c r="C772" s="14">
        <v>769</v>
      </c>
      <c r="D772" s="15" t="s">
        <v>848</v>
      </c>
      <c r="E772" s="14">
        <v>26</v>
      </c>
      <c r="F772" s="15">
        <f>_xlfn.XLOOKUP(D772,'Gemini Output'!B:B,'Gemini Output'!C:C,"No Match Yet")</f>
        <v>12</v>
      </c>
      <c r="G772" s="10" t="str">
        <f>_xlfn.XLOOKUP(D772,'Gemini Output'!B:B,'Gemini Output'!E:E,"No Match Yet")</f>
        <v>L1</v>
      </c>
      <c r="H772" s="10"/>
      <c r="I772" s="10"/>
      <c r="J772" s="10"/>
      <c r="K772" s="10"/>
      <c r="L772" s="10"/>
      <c r="M772" s="10"/>
      <c r="N772" s="10"/>
      <c r="O772" s="10"/>
    </row>
    <row r="773" spans="2:15" ht="20.25">
      <c r="B773" s="10"/>
      <c r="C773" s="14">
        <v>770</v>
      </c>
      <c r="D773" s="15" t="s">
        <v>849</v>
      </c>
      <c r="E773" s="14">
        <v>26</v>
      </c>
      <c r="F773" s="15">
        <f>_xlfn.XLOOKUP(D773,'Gemini Output'!B:B,'Gemini Output'!C:C,"No Match Yet")</f>
        <v>6</v>
      </c>
      <c r="G773" s="10" t="str">
        <f>_xlfn.XLOOKUP(D773,'Gemini Output'!B:B,'Gemini Output'!E:E,"No Match Yet")</f>
        <v>L2</v>
      </c>
      <c r="H773" s="10"/>
      <c r="I773" s="10"/>
      <c r="J773" s="10"/>
      <c r="K773" s="10"/>
      <c r="L773" s="10"/>
      <c r="M773" s="10"/>
      <c r="N773" s="10"/>
      <c r="O773" s="10"/>
    </row>
    <row r="774" spans="2:15" ht="20.25">
      <c r="B774" s="10"/>
      <c r="C774" s="14">
        <v>771</v>
      </c>
      <c r="D774" s="15" t="s">
        <v>850</v>
      </c>
      <c r="E774" s="14">
        <v>26</v>
      </c>
      <c r="F774" s="15">
        <f>_xlfn.XLOOKUP(D774,'Gemini Output'!B:B,'Gemini Output'!C:C,"No Match Yet")</f>
        <v>15</v>
      </c>
      <c r="G774" s="10" t="str">
        <f>_xlfn.XLOOKUP(D774,'Gemini Output'!B:B,'Gemini Output'!E:E,"No Match Yet")</f>
        <v>L1</v>
      </c>
      <c r="H774" s="10"/>
      <c r="I774" s="10"/>
      <c r="J774" s="10"/>
      <c r="K774" s="10"/>
      <c r="L774" s="10"/>
      <c r="M774" s="10"/>
      <c r="N774" s="10"/>
      <c r="O774" s="10"/>
    </row>
    <row r="775" spans="2:15" ht="20.25">
      <c r="B775" s="10"/>
      <c r="C775" s="14">
        <v>772</v>
      </c>
      <c r="D775" s="15" t="s">
        <v>851</v>
      </c>
      <c r="E775" s="14">
        <v>26</v>
      </c>
      <c r="F775" s="15">
        <f>_xlfn.XLOOKUP(D775,'Gemini Output'!B:B,'Gemini Output'!C:C,"No Match Yet")</f>
        <v>5</v>
      </c>
      <c r="G775" s="10" t="str">
        <f>_xlfn.XLOOKUP(D775,'Gemini Output'!B:B,'Gemini Output'!E:E,"No Match Yet")</f>
        <v>L2</v>
      </c>
      <c r="H775" s="10"/>
      <c r="I775" s="10"/>
      <c r="J775" s="10"/>
      <c r="K775" s="10"/>
      <c r="L775" s="10"/>
      <c r="M775" s="10"/>
      <c r="N775" s="10"/>
      <c r="O775" s="10"/>
    </row>
    <row r="776" spans="2:15" ht="20.25">
      <c r="B776" s="10"/>
      <c r="C776" s="14">
        <v>773</v>
      </c>
      <c r="D776" s="15" t="s">
        <v>852</v>
      </c>
      <c r="E776" s="14">
        <v>26</v>
      </c>
      <c r="F776" s="15">
        <f>_xlfn.XLOOKUP(D776,'Gemini Output'!B:B,'Gemini Output'!C:C,"No Match Yet")</f>
        <v>1</v>
      </c>
      <c r="G776" s="10" t="str">
        <f>_xlfn.XLOOKUP(D776,'Gemini Output'!B:B,'Gemini Output'!E:E,"No Match Yet")</f>
        <v>L2</v>
      </c>
      <c r="H776" s="10"/>
      <c r="I776" s="10"/>
      <c r="J776" s="10"/>
      <c r="K776" s="10"/>
      <c r="L776" s="10"/>
      <c r="M776" s="10"/>
      <c r="N776" s="10"/>
      <c r="O776" s="10"/>
    </row>
    <row r="777" spans="2:15" ht="20.25">
      <c r="B777" s="10"/>
      <c r="C777" s="14">
        <v>774</v>
      </c>
      <c r="D777" s="15" t="s">
        <v>853</v>
      </c>
      <c r="E777" s="14">
        <v>26</v>
      </c>
      <c r="F777" s="15">
        <f>_xlfn.XLOOKUP(D777,'Gemini Output'!B:B,'Gemini Output'!C:C,"No Match Yet")</f>
        <v>9</v>
      </c>
      <c r="G777" s="10" t="str">
        <f>_xlfn.XLOOKUP(D777,'Gemini Output'!B:B,'Gemini Output'!E:E,"No Match Yet")</f>
        <v>L1</v>
      </c>
      <c r="H777" s="10"/>
      <c r="I777" s="10"/>
      <c r="J777" s="10"/>
      <c r="K777" s="10"/>
      <c r="L777" s="10"/>
      <c r="M777" s="10"/>
      <c r="N777" s="10"/>
      <c r="O777" s="10"/>
    </row>
    <row r="778" spans="2:15" ht="20.25">
      <c r="B778" s="10"/>
      <c r="C778" s="14">
        <v>775</v>
      </c>
      <c r="D778" s="15" t="s">
        <v>854</v>
      </c>
      <c r="E778" s="14">
        <v>26</v>
      </c>
      <c r="F778" s="15">
        <f>_xlfn.XLOOKUP(D778,'Gemini Output'!B:B,'Gemini Output'!C:C,"No Match Yet")</f>
        <v>6</v>
      </c>
      <c r="G778" s="10" t="str">
        <f>_xlfn.XLOOKUP(D778,'Gemini Output'!B:B,'Gemini Output'!E:E,"No Match Yet")</f>
        <v>L2</v>
      </c>
      <c r="H778" s="10"/>
      <c r="I778" s="10"/>
      <c r="J778" s="10"/>
      <c r="K778" s="10"/>
      <c r="L778" s="10"/>
      <c r="M778" s="10"/>
      <c r="N778" s="10"/>
      <c r="O778" s="10"/>
    </row>
    <row r="779" spans="2:15" ht="20.25">
      <c r="B779" s="10"/>
      <c r="C779" s="14">
        <v>776</v>
      </c>
      <c r="D779" s="15" t="s">
        <v>855</v>
      </c>
      <c r="E779" s="14">
        <v>25</v>
      </c>
      <c r="F779" s="15">
        <f>_xlfn.XLOOKUP(D779,'Gemini Output'!B:B,'Gemini Output'!C:C,"No Match Yet")</f>
        <v>3</v>
      </c>
      <c r="G779" s="10" t="str">
        <f>_xlfn.XLOOKUP(D779,'Gemini Output'!B:B,'Gemini Output'!E:E,"No Match Yet")</f>
        <v>L1</v>
      </c>
      <c r="H779" s="10"/>
      <c r="I779" s="10"/>
      <c r="J779" s="10"/>
      <c r="K779" s="10"/>
      <c r="L779" s="10"/>
      <c r="M779" s="10"/>
      <c r="N779" s="10"/>
      <c r="O779" s="10"/>
    </row>
    <row r="780" spans="2:15" ht="20.25">
      <c r="B780" s="10"/>
      <c r="C780" s="14">
        <v>777</v>
      </c>
      <c r="D780" s="15" t="s">
        <v>856</v>
      </c>
      <c r="E780" s="14">
        <v>25</v>
      </c>
      <c r="F780" s="15">
        <f>_xlfn.XLOOKUP(D780,'Gemini Output'!B:B,'Gemini Output'!C:C,"No Match Yet")</f>
        <v>12</v>
      </c>
      <c r="G780" s="10" t="str">
        <f>_xlfn.XLOOKUP(D780,'Gemini Output'!B:B,'Gemini Output'!E:E,"No Match Yet")</f>
        <v>L1</v>
      </c>
      <c r="H780" s="10"/>
      <c r="I780" s="10"/>
      <c r="J780" s="10"/>
      <c r="K780" s="10"/>
      <c r="L780" s="10"/>
      <c r="M780" s="10"/>
      <c r="N780" s="10"/>
      <c r="O780" s="10"/>
    </row>
    <row r="781" spans="2:15" ht="20.25">
      <c r="B781" s="10"/>
      <c r="C781" s="14">
        <v>778</v>
      </c>
      <c r="D781" s="15" t="s">
        <v>857</v>
      </c>
      <c r="E781" s="14">
        <v>25</v>
      </c>
      <c r="F781" s="15">
        <f>_xlfn.XLOOKUP(D781,'Gemini Output'!B:B,'Gemini Output'!C:C,"No Match Yet")</f>
        <v>11</v>
      </c>
      <c r="G781" s="10" t="str">
        <f>_xlfn.XLOOKUP(D781,'Gemini Output'!B:B,'Gemini Output'!E:E,"No Match Yet")</f>
        <v>L2</v>
      </c>
      <c r="H781" s="10"/>
      <c r="I781" s="10"/>
      <c r="J781" s="10"/>
      <c r="K781" s="10"/>
      <c r="L781" s="10"/>
      <c r="M781" s="10"/>
      <c r="N781" s="10"/>
      <c r="O781" s="10"/>
    </row>
    <row r="782" spans="2:15" ht="20.25">
      <c r="B782" s="10"/>
      <c r="C782" s="14">
        <v>779</v>
      </c>
      <c r="D782" s="15" t="s">
        <v>858</v>
      </c>
      <c r="E782" s="14">
        <v>25</v>
      </c>
      <c r="F782" s="15">
        <f>_xlfn.XLOOKUP(D782,'Gemini Output'!B:B,'Gemini Output'!C:C,"No Match Yet")</f>
        <v>12</v>
      </c>
      <c r="G782" s="10" t="str">
        <f>_xlfn.XLOOKUP(D782,'Gemini Output'!B:B,'Gemini Output'!E:E,"No Match Yet")</f>
        <v>L1</v>
      </c>
      <c r="H782" s="10"/>
      <c r="I782" s="10"/>
      <c r="J782" s="10"/>
      <c r="K782" s="10"/>
      <c r="L782" s="10"/>
      <c r="M782" s="10"/>
      <c r="N782" s="10"/>
      <c r="O782" s="10"/>
    </row>
    <row r="783" spans="2:15" ht="20.25">
      <c r="B783" s="10"/>
      <c r="C783" s="14">
        <v>780</v>
      </c>
      <c r="D783" s="15" t="s">
        <v>859</v>
      </c>
      <c r="E783" s="14">
        <v>25</v>
      </c>
      <c r="F783" s="15">
        <f>_xlfn.XLOOKUP(D783,'Gemini Output'!B:B,'Gemini Output'!C:C,"No Match Yet")</f>
        <v>4</v>
      </c>
      <c r="G783" s="10" t="str">
        <f>_xlfn.XLOOKUP(D783,'Gemini Output'!B:B,'Gemini Output'!E:E,"No Match Yet")</f>
        <v>L2</v>
      </c>
      <c r="H783" s="10"/>
      <c r="I783" s="10"/>
      <c r="J783" s="10"/>
      <c r="K783" s="10"/>
      <c r="L783" s="10"/>
      <c r="M783" s="10"/>
      <c r="N783" s="10"/>
      <c r="O783" s="10"/>
    </row>
    <row r="784" spans="2:15" ht="20.25">
      <c r="B784" s="10"/>
      <c r="C784" s="14">
        <v>781</v>
      </c>
      <c r="D784" s="15" t="s">
        <v>860</v>
      </c>
      <c r="E784" s="14">
        <v>25</v>
      </c>
      <c r="F784" s="15">
        <f>_xlfn.XLOOKUP(D784,'Gemini Output'!B:B,'Gemini Output'!C:C,"No Match Yet")</f>
        <v>15</v>
      </c>
      <c r="G784" s="10" t="str">
        <f>_xlfn.XLOOKUP(D784,'Gemini Output'!B:B,'Gemini Output'!E:E,"No Match Yet")</f>
        <v>L1</v>
      </c>
      <c r="H784" s="10"/>
      <c r="I784" s="10"/>
      <c r="J784" s="10"/>
      <c r="K784" s="10"/>
      <c r="L784" s="10"/>
      <c r="M784" s="10"/>
      <c r="N784" s="10"/>
      <c r="O784" s="10"/>
    </row>
    <row r="785" spans="2:15" ht="20.25">
      <c r="B785" s="10"/>
      <c r="C785" s="14">
        <v>782</v>
      </c>
      <c r="D785" s="15" t="s">
        <v>861</v>
      </c>
      <c r="E785" s="14">
        <v>25</v>
      </c>
      <c r="F785" s="15">
        <f>_xlfn.XLOOKUP(D785,'Gemini Output'!B:B,'Gemini Output'!C:C,"No Match Yet")</f>
        <v>6</v>
      </c>
      <c r="G785" s="10" t="str">
        <f>_xlfn.XLOOKUP(D785,'Gemini Output'!B:B,'Gemini Output'!E:E,"No Match Yet")</f>
        <v>L2</v>
      </c>
      <c r="H785" s="10"/>
      <c r="I785" s="10"/>
      <c r="J785" s="10"/>
      <c r="K785" s="10"/>
      <c r="L785" s="10"/>
      <c r="M785" s="10"/>
      <c r="N785" s="10"/>
      <c r="O785" s="10"/>
    </row>
    <row r="786" spans="2:15" ht="20.25">
      <c r="B786" s="10"/>
      <c r="C786" s="14">
        <v>783</v>
      </c>
      <c r="D786" s="15" t="s">
        <v>862</v>
      </c>
      <c r="E786" s="14">
        <v>25</v>
      </c>
      <c r="F786" s="15">
        <f>_xlfn.XLOOKUP(D786,'Gemini Output'!B:B,'Gemini Output'!C:C,"No Match Yet")</f>
        <v>15</v>
      </c>
      <c r="G786" s="10" t="str">
        <f>_xlfn.XLOOKUP(D786,'Gemini Output'!B:B,'Gemini Output'!E:E,"No Match Yet")</f>
        <v>L2</v>
      </c>
      <c r="H786" s="10"/>
      <c r="I786" s="10"/>
      <c r="J786" s="10"/>
      <c r="K786" s="10"/>
      <c r="L786" s="10"/>
      <c r="M786" s="10"/>
      <c r="N786" s="10"/>
      <c r="O786" s="10"/>
    </row>
    <row r="787" spans="2:15" ht="20.25">
      <c r="B787" s="10"/>
      <c r="C787" s="14">
        <v>784</v>
      </c>
      <c r="D787" s="15" t="s">
        <v>863</v>
      </c>
      <c r="E787" s="14">
        <v>25</v>
      </c>
      <c r="F787" s="15">
        <f>_xlfn.XLOOKUP(D787,'Gemini Output'!B:B,'Gemini Output'!C:C,"No Match Yet")</f>
        <v>1</v>
      </c>
      <c r="G787" s="10" t="str">
        <f>_xlfn.XLOOKUP(D787,'Gemini Output'!B:B,'Gemini Output'!E:E,"No Match Yet")</f>
        <v>L2</v>
      </c>
      <c r="H787" s="10"/>
      <c r="I787" s="10"/>
      <c r="J787" s="10"/>
      <c r="K787" s="10"/>
      <c r="L787" s="10"/>
      <c r="M787" s="10"/>
      <c r="N787" s="10"/>
      <c r="O787" s="10"/>
    </row>
    <row r="788" spans="2:15" ht="20.25">
      <c r="B788" s="10"/>
      <c r="C788" s="14">
        <v>785</v>
      </c>
      <c r="D788" s="15" t="s">
        <v>864</v>
      </c>
      <c r="E788" s="14">
        <v>25</v>
      </c>
      <c r="F788" s="15">
        <f>_xlfn.XLOOKUP(D788,'Gemini Output'!B:B,'Gemini Output'!C:C,"No Match Yet")</f>
        <v>12</v>
      </c>
      <c r="G788" s="10" t="str">
        <f>_xlfn.XLOOKUP(D788,'Gemini Output'!B:B,'Gemini Output'!E:E,"No Match Yet")</f>
        <v>L1</v>
      </c>
      <c r="H788" s="10"/>
      <c r="I788" s="10"/>
      <c r="J788" s="10"/>
      <c r="K788" s="10"/>
      <c r="L788" s="10"/>
      <c r="M788" s="10"/>
      <c r="N788" s="10"/>
      <c r="O788" s="10"/>
    </row>
    <row r="789" spans="2:15" ht="20.25">
      <c r="B789" s="10"/>
      <c r="C789" s="14">
        <v>786</v>
      </c>
      <c r="D789" s="15" t="s">
        <v>865</v>
      </c>
      <c r="E789" s="14">
        <v>25</v>
      </c>
      <c r="F789" s="15">
        <f>_xlfn.XLOOKUP(D789,'Gemini Output'!B:B,'Gemini Output'!C:C,"No Match Yet")</f>
        <v>6</v>
      </c>
      <c r="G789" s="10" t="str">
        <f>_xlfn.XLOOKUP(D789,'Gemini Output'!B:B,'Gemini Output'!E:E,"No Match Yet")</f>
        <v>L2</v>
      </c>
      <c r="H789" s="10"/>
      <c r="I789" s="10"/>
      <c r="J789" s="10"/>
      <c r="K789" s="10"/>
      <c r="L789" s="10"/>
      <c r="M789" s="10"/>
      <c r="N789" s="10"/>
      <c r="O789" s="10"/>
    </row>
    <row r="790" spans="2:15" ht="20.25">
      <c r="B790" s="10"/>
      <c r="C790" s="14">
        <v>787</v>
      </c>
      <c r="D790" s="15" t="s">
        <v>866</v>
      </c>
      <c r="E790" s="14">
        <v>25</v>
      </c>
      <c r="F790" s="15">
        <f>_xlfn.XLOOKUP(D790,'Gemini Output'!B:B,'Gemini Output'!C:C,"No Match Yet")</f>
        <v>2</v>
      </c>
      <c r="G790" s="10" t="str">
        <f>_xlfn.XLOOKUP(D790,'Gemini Output'!B:B,'Gemini Output'!E:E,"No Match Yet")</f>
        <v>L2</v>
      </c>
      <c r="H790" s="10"/>
      <c r="I790" s="10"/>
      <c r="J790" s="10"/>
      <c r="K790" s="10"/>
      <c r="L790" s="10"/>
      <c r="M790" s="10"/>
      <c r="N790" s="10"/>
      <c r="O790" s="10"/>
    </row>
    <row r="791" spans="2:15" ht="20.25">
      <c r="B791" s="10"/>
      <c r="C791" s="14">
        <v>788</v>
      </c>
      <c r="D791" s="15" t="s">
        <v>867</v>
      </c>
      <c r="E791" s="14">
        <v>25</v>
      </c>
      <c r="F791" s="15">
        <f>_xlfn.XLOOKUP(D791,'Gemini Output'!B:B,'Gemini Output'!C:C,"No Match Yet")</f>
        <v>1</v>
      </c>
      <c r="G791" s="10" t="str">
        <f>_xlfn.XLOOKUP(D791,'Gemini Output'!B:B,'Gemini Output'!E:E,"No Match Yet")</f>
        <v>L2</v>
      </c>
      <c r="H791" s="10"/>
      <c r="I791" s="10"/>
      <c r="J791" s="10"/>
      <c r="K791" s="10"/>
      <c r="L791" s="10"/>
      <c r="M791" s="10"/>
      <c r="N791" s="10"/>
      <c r="O791" s="10"/>
    </row>
    <row r="792" spans="2:15" ht="20.25">
      <c r="B792" s="10"/>
      <c r="C792" s="14">
        <v>789</v>
      </c>
      <c r="D792" s="15" t="s">
        <v>868</v>
      </c>
      <c r="E792" s="14">
        <v>25</v>
      </c>
      <c r="F792" s="15">
        <f>_xlfn.XLOOKUP(D792,'Gemini Output'!B:B,'Gemini Output'!C:C,"No Match Yet")</f>
        <v>1</v>
      </c>
      <c r="G792" s="10" t="str">
        <f>_xlfn.XLOOKUP(D792,'Gemini Output'!B:B,'Gemini Output'!E:E,"No Match Yet")</f>
        <v>L2</v>
      </c>
      <c r="H792" s="10"/>
      <c r="I792" s="10"/>
      <c r="J792" s="10"/>
      <c r="K792" s="10"/>
      <c r="L792" s="10"/>
      <c r="M792" s="10"/>
      <c r="N792" s="10"/>
      <c r="O792" s="10"/>
    </row>
    <row r="793" spans="2:15" ht="20.25">
      <c r="B793" s="10"/>
      <c r="C793" s="14">
        <v>790</v>
      </c>
      <c r="D793" s="15" t="s">
        <v>869</v>
      </c>
      <c r="E793" s="14">
        <v>25</v>
      </c>
      <c r="F793" s="15">
        <f>_xlfn.XLOOKUP(D793,'Gemini Output'!B:B,'Gemini Output'!C:C,"No Match Yet")</f>
        <v>3</v>
      </c>
      <c r="G793" s="10" t="str">
        <f>_xlfn.XLOOKUP(D793,'Gemini Output'!B:B,'Gemini Output'!E:E,"No Match Yet")</f>
        <v>L2</v>
      </c>
      <c r="H793" s="10"/>
      <c r="I793" s="10"/>
      <c r="J793" s="10"/>
      <c r="K793" s="10"/>
      <c r="L793" s="10"/>
      <c r="M793" s="10"/>
      <c r="N793" s="10"/>
      <c r="O793" s="10"/>
    </row>
    <row r="794" spans="2:15" ht="20.25">
      <c r="B794" s="10"/>
      <c r="C794" s="14">
        <v>791</v>
      </c>
      <c r="D794" s="15" t="s">
        <v>870</v>
      </c>
      <c r="E794" s="14">
        <v>25</v>
      </c>
      <c r="F794" s="15">
        <f>_xlfn.XLOOKUP(D794,'Gemini Output'!B:B,'Gemini Output'!C:C,"No Match Yet")</f>
        <v>15</v>
      </c>
      <c r="G794" s="10" t="str">
        <f>_xlfn.XLOOKUP(D794,'Gemini Output'!B:B,'Gemini Output'!E:E,"No Match Yet")</f>
        <v>L1</v>
      </c>
      <c r="H794" s="10"/>
      <c r="I794" s="10"/>
      <c r="J794" s="10"/>
      <c r="K794" s="10"/>
      <c r="L794" s="10"/>
      <c r="M794" s="10"/>
      <c r="N794" s="10"/>
      <c r="O794" s="10"/>
    </row>
    <row r="795" spans="2:15" ht="20.25">
      <c r="B795" s="10"/>
      <c r="C795" s="14">
        <v>792</v>
      </c>
      <c r="D795" s="15" t="s">
        <v>871</v>
      </c>
      <c r="E795" s="14">
        <v>25</v>
      </c>
      <c r="F795" s="15">
        <f>_xlfn.XLOOKUP(D795,'Gemini Output'!B:B,'Gemini Output'!C:C,"No Match Yet")</f>
        <v>9</v>
      </c>
      <c r="G795" s="10" t="str">
        <f>_xlfn.XLOOKUP(D795,'Gemini Output'!B:B,'Gemini Output'!E:E,"No Match Yet")</f>
        <v>L2</v>
      </c>
      <c r="H795" s="10"/>
      <c r="I795" s="10"/>
      <c r="J795" s="10"/>
      <c r="K795" s="10"/>
      <c r="L795" s="10"/>
      <c r="M795" s="10"/>
      <c r="N795" s="10"/>
      <c r="O795" s="10"/>
    </row>
    <row r="796" spans="2:15" ht="20.25">
      <c r="B796" s="10"/>
      <c r="C796" s="14">
        <v>793</v>
      </c>
      <c r="D796" s="15" t="s">
        <v>872</v>
      </c>
      <c r="E796" s="14">
        <v>25</v>
      </c>
      <c r="F796" s="15">
        <f>_xlfn.XLOOKUP(D796,'Gemini Output'!B:B,'Gemini Output'!C:C,"No Match Yet")</f>
        <v>2</v>
      </c>
      <c r="G796" s="10" t="str">
        <f>_xlfn.XLOOKUP(D796,'Gemini Output'!B:B,'Gemini Output'!E:E,"No Match Yet")</f>
        <v>L3</v>
      </c>
      <c r="H796" s="10"/>
      <c r="I796" s="10"/>
      <c r="J796" s="10"/>
      <c r="K796" s="10"/>
      <c r="L796" s="10"/>
      <c r="M796" s="10"/>
      <c r="N796" s="10"/>
      <c r="O796" s="10"/>
    </row>
    <row r="797" spans="2:15" ht="20.25">
      <c r="B797" s="10"/>
      <c r="C797" s="14">
        <v>794</v>
      </c>
      <c r="D797" s="15" t="s">
        <v>873</v>
      </c>
      <c r="E797" s="14">
        <v>25</v>
      </c>
      <c r="F797" s="15">
        <f>_xlfn.XLOOKUP(D797,'Gemini Output'!B:B,'Gemini Output'!C:C,"No Match Yet")</f>
        <v>6</v>
      </c>
      <c r="G797" s="10" t="str">
        <f>_xlfn.XLOOKUP(D797,'Gemini Output'!B:B,'Gemini Output'!E:E,"No Match Yet")</f>
        <v>L2</v>
      </c>
      <c r="H797" s="10"/>
      <c r="I797" s="10"/>
      <c r="J797" s="10"/>
      <c r="K797" s="10"/>
      <c r="L797" s="10"/>
      <c r="M797" s="10"/>
      <c r="N797" s="10"/>
      <c r="O797" s="10"/>
    </row>
    <row r="798" spans="2:15" ht="20.25">
      <c r="B798" s="10"/>
      <c r="C798" s="14">
        <v>795</v>
      </c>
      <c r="D798" s="15" t="s">
        <v>874</v>
      </c>
      <c r="E798" s="14">
        <v>25</v>
      </c>
      <c r="F798" s="15">
        <f>_xlfn.XLOOKUP(D798,'Gemini Output'!B:B,'Gemini Output'!C:C,"No Match Yet")</f>
        <v>3</v>
      </c>
      <c r="G798" s="10" t="str">
        <f>_xlfn.XLOOKUP(D798,'Gemini Output'!B:B,'Gemini Output'!E:E,"No Match Yet")</f>
        <v>L2</v>
      </c>
      <c r="H798" s="10"/>
      <c r="I798" s="10"/>
      <c r="J798" s="10"/>
      <c r="K798" s="10"/>
      <c r="L798" s="10"/>
      <c r="M798" s="10"/>
      <c r="N798" s="10"/>
      <c r="O798" s="10"/>
    </row>
    <row r="799" spans="2:15" ht="20.25">
      <c r="B799" s="10"/>
      <c r="C799" s="14">
        <v>796</v>
      </c>
      <c r="D799" s="15" t="s">
        <v>875</v>
      </c>
      <c r="E799" s="14">
        <v>25</v>
      </c>
      <c r="F799" s="15">
        <f>_xlfn.XLOOKUP(D799,'Gemini Output'!B:B,'Gemini Output'!C:C,"No Match Yet")</f>
        <v>12</v>
      </c>
      <c r="G799" s="10" t="str">
        <f>_xlfn.XLOOKUP(D799,'Gemini Output'!B:B,'Gemini Output'!E:E,"No Match Yet")</f>
        <v>L2</v>
      </c>
      <c r="H799" s="10"/>
      <c r="I799" s="10"/>
      <c r="J799" s="10"/>
      <c r="K799" s="10"/>
      <c r="L799" s="10"/>
      <c r="M799" s="10"/>
      <c r="N799" s="10"/>
      <c r="O799" s="10"/>
    </row>
    <row r="800" spans="2:15" ht="20.25">
      <c r="B800" s="10"/>
      <c r="C800" s="14">
        <v>797</v>
      </c>
      <c r="D800" s="15" t="s">
        <v>876</v>
      </c>
      <c r="E800" s="14">
        <v>25</v>
      </c>
      <c r="F800" s="15">
        <f>_xlfn.XLOOKUP(D800,'Gemini Output'!B:B,'Gemini Output'!C:C,"No Match Yet")</f>
        <v>15</v>
      </c>
      <c r="G800" s="10" t="str">
        <f>_xlfn.XLOOKUP(D800,'Gemini Output'!B:B,'Gemini Output'!E:E,"No Match Yet")</f>
        <v>L1</v>
      </c>
      <c r="H800" s="10"/>
      <c r="I800" s="10"/>
      <c r="J800" s="10"/>
      <c r="K800" s="10"/>
      <c r="L800" s="10"/>
      <c r="M800" s="10"/>
      <c r="N800" s="10"/>
      <c r="O800" s="10"/>
    </row>
    <row r="801" spans="2:15" ht="20.25">
      <c r="B801" s="10"/>
      <c r="C801" s="14">
        <v>798</v>
      </c>
      <c r="D801" s="15" t="s">
        <v>877</v>
      </c>
      <c r="E801" s="14">
        <v>25</v>
      </c>
      <c r="F801" s="15">
        <f>_xlfn.XLOOKUP(D801,'Gemini Output'!B:B,'Gemini Output'!C:C,"No Match Yet")</f>
        <v>2</v>
      </c>
      <c r="G801" s="10" t="str">
        <f>_xlfn.XLOOKUP(D801,'Gemini Output'!B:B,'Gemini Output'!E:E,"No Match Yet")</f>
        <v>L2</v>
      </c>
      <c r="H801" s="10"/>
      <c r="I801" s="10"/>
      <c r="J801" s="10"/>
      <c r="K801" s="10"/>
      <c r="L801" s="10"/>
      <c r="M801" s="10"/>
      <c r="N801" s="10"/>
      <c r="O801" s="10"/>
    </row>
    <row r="802" spans="2:15" ht="20.25">
      <c r="B802" s="10"/>
      <c r="C802" s="14">
        <v>799</v>
      </c>
      <c r="D802" s="15" t="s">
        <v>878</v>
      </c>
      <c r="E802" s="14">
        <v>25</v>
      </c>
      <c r="F802" s="15">
        <f>_xlfn.XLOOKUP(D802,'Gemini Output'!B:B,'Gemini Output'!C:C,"No Match Yet")</f>
        <v>6</v>
      </c>
      <c r="G802" s="10" t="str">
        <f>_xlfn.XLOOKUP(D802,'Gemini Output'!B:B,'Gemini Output'!E:E,"No Match Yet")</f>
        <v>L1</v>
      </c>
      <c r="H802" s="10"/>
      <c r="I802" s="10"/>
      <c r="J802" s="10"/>
      <c r="K802" s="10"/>
      <c r="L802" s="10"/>
      <c r="M802" s="10"/>
      <c r="N802" s="10"/>
      <c r="O802" s="10"/>
    </row>
    <row r="803" spans="2:15" ht="20.25">
      <c r="B803" s="10"/>
      <c r="C803" s="14">
        <v>800</v>
      </c>
      <c r="D803" s="15" t="s">
        <v>879</v>
      </c>
      <c r="E803" s="14">
        <v>25</v>
      </c>
      <c r="F803" s="15">
        <f>_xlfn.XLOOKUP(D803,'Gemini Output'!B:B,'Gemini Output'!C:C,"No Match Yet")</f>
        <v>4</v>
      </c>
      <c r="G803" s="10" t="str">
        <f>_xlfn.XLOOKUP(D803,'Gemini Output'!B:B,'Gemini Output'!E:E,"No Match Yet")</f>
        <v>L2</v>
      </c>
      <c r="H803" s="10"/>
      <c r="I803" s="10"/>
      <c r="J803" s="10"/>
      <c r="K803" s="10"/>
      <c r="L803" s="10"/>
      <c r="M803" s="10"/>
      <c r="N803" s="10"/>
      <c r="O803" s="10"/>
    </row>
    <row r="804" spans="2:15" ht="20.25">
      <c r="B804" s="10"/>
      <c r="C804" s="14">
        <v>801</v>
      </c>
      <c r="D804" s="15" t="s">
        <v>880</v>
      </c>
      <c r="E804" s="14">
        <v>25</v>
      </c>
      <c r="F804" s="15">
        <f>_xlfn.XLOOKUP(D804,'Gemini Output'!B:B,'Gemini Output'!C:C,"No Match Yet")</f>
        <v>1</v>
      </c>
      <c r="G804" s="10" t="str">
        <f>_xlfn.XLOOKUP(D804,'Gemini Output'!B:B,'Gemini Output'!E:E,"No Match Yet")</f>
        <v>L2</v>
      </c>
      <c r="H804" s="10"/>
      <c r="I804" s="10"/>
      <c r="J804" s="10"/>
      <c r="K804" s="10"/>
      <c r="L804" s="10"/>
      <c r="M804" s="10"/>
      <c r="N804" s="10"/>
      <c r="O804" s="10"/>
    </row>
    <row r="805" spans="2:15" ht="20.25">
      <c r="B805" s="10"/>
      <c r="C805" s="14">
        <v>802</v>
      </c>
      <c r="D805" s="15" t="s">
        <v>881</v>
      </c>
      <c r="E805" s="14">
        <v>25</v>
      </c>
      <c r="F805" s="15">
        <f>_xlfn.XLOOKUP(D805,'Gemini Output'!B:B,'Gemini Output'!C:C,"No Match Yet")</f>
        <v>9</v>
      </c>
      <c r="G805" s="10" t="str">
        <f>_xlfn.XLOOKUP(D805,'Gemini Output'!B:B,'Gemini Output'!E:E,"No Match Yet")</f>
        <v>L2</v>
      </c>
      <c r="H805" s="10"/>
      <c r="I805" s="10"/>
      <c r="J805" s="10"/>
      <c r="K805" s="10"/>
      <c r="L805" s="10"/>
      <c r="M805" s="10"/>
      <c r="N805" s="10"/>
      <c r="O805" s="10"/>
    </row>
    <row r="806" spans="2:15" ht="20.25">
      <c r="B806" s="10"/>
      <c r="C806" s="14">
        <v>803</v>
      </c>
      <c r="D806" s="15" t="s">
        <v>882</v>
      </c>
      <c r="E806" s="14">
        <v>25</v>
      </c>
      <c r="F806" s="15">
        <f>_xlfn.XLOOKUP(D806,'Gemini Output'!B:B,'Gemini Output'!C:C,"No Match Yet")</f>
        <v>13</v>
      </c>
      <c r="G806" s="10" t="str">
        <f>_xlfn.XLOOKUP(D806,'Gemini Output'!B:B,'Gemini Output'!E:E,"No Match Yet")</f>
        <v>L1</v>
      </c>
      <c r="H806" s="10"/>
      <c r="I806" s="10"/>
      <c r="J806" s="10"/>
      <c r="K806" s="10"/>
      <c r="L806" s="10"/>
      <c r="M806" s="10"/>
      <c r="N806" s="10"/>
      <c r="O806" s="10"/>
    </row>
    <row r="807" spans="2:15" ht="20.25">
      <c r="B807" s="10"/>
      <c r="C807" s="14">
        <v>804</v>
      </c>
      <c r="D807" s="15" t="s">
        <v>883</v>
      </c>
      <c r="E807" s="14">
        <v>25</v>
      </c>
      <c r="F807" s="15">
        <f>_xlfn.XLOOKUP(D807,'Gemini Output'!B:B,'Gemini Output'!C:C,"No Match Yet")</f>
        <v>1</v>
      </c>
      <c r="G807" s="10" t="str">
        <f>_xlfn.XLOOKUP(D807,'Gemini Output'!B:B,'Gemini Output'!E:E,"No Match Yet")</f>
        <v>L2</v>
      </c>
      <c r="H807" s="10"/>
      <c r="I807" s="10"/>
      <c r="J807" s="10"/>
      <c r="K807" s="10"/>
      <c r="L807" s="10"/>
      <c r="M807" s="10"/>
      <c r="N807" s="10"/>
      <c r="O807" s="10"/>
    </row>
    <row r="808" spans="2:15" ht="20.25">
      <c r="B808" s="10"/>
      <c r="C808" s="14">
        <v>805</v>
      </c>
      <c r="D808" s="15" t="s">
        <v>884</v>
      </c>
      <c r="E808" s="14">
        <v>25</v>
      </c>
      <c r="F808" s="15">
        <f>_xlfn.XLOOKUP(D808,'Gemini Output'!B:B,'Gemini Output'!C:C,"No Match Yet")</f>
        <v>10</v>
      </c>
      <c r="G808" s="10" t="str">
        <f>_xlfn.XLOOKUP(D808,'Gemini Output'!B:B,'Gemini Output'!E:E,"No Match Yet")</f>
        <v>L1</v>
      </c>
      <c r="H808" s="10"/>
      <c r="I808" s="10"/>
      <c r="J808" s="10"/>
      <c r="K808" s="10"/>
      <c r="L808" s="10"/>
      <c r="M808" s="10"/>
      <c r="N808" s="10"/>
      <c r="O808" s="10"/>
    </row>
    <row r="809" spans="2:15" ht="20.25">
      <c r="B809" s="10"/>
      <c r="C809" s="14">
        <v>806</v>
      </c>
      <c r="D809" s="15" t="s">
        <v>885</v>
      </c>
      <c r="E809" s="14">
        <v>25</v>
      </c>
      <c r="F809" s="15">
        <f>_xlfn.XLOOKUP(D809,'Gemini Output'!B:B,'Gemini Output'!C:C,"No Match Yet")</f>
        <v>9</v>
      </c>
      <c r="G809" s="10" t="str">
        <f>_xlfn.XLOOKUP(D809,'Gemini Output'!B:B,'Gemini Output'!E:E,"No Match Yet")</f>
        <v>L2</v>
      </c>
      <c r="H809" s="10"/>
      <c r="I809" s="10"/>
      <c r="J809" s="10"/>
      <c r="K809" s="10"/>
      <c r="L809" s="10"/>
      <c r="M809" s="10"/>
      <c r="N809" s="10"/>
      <c r="O809" s="10"/>
    </row>
    <row r="810" spans="2:15" ht="20.25">
      <c r="B810" s="10"/>
      <c r="C810" s="14">
        <v>807</v>
      </c>
      <c r="D810" s="15" t="s">
        <v>886</v>
      </c>
      <c r="E810" s="14">
        <v>25</v>
      </c>
      <c r="F810" s="15">
        <f>_xlfn.XLOOKUP(D810,'Gemini Output'!B:B,'Gemini Output'!C:C,"No Match Yet")</f>
        <v>1</v>
      </c>
      <c r="G810" s="10" t="str">
        <f>_xlfn.XLOOKUP(D810,'Gemini Output'!B:B,'Gemini Output'!E:E,"No Match Yet")</f>
        <v>L3</v>
      </c>
      <c r="H810" s="10"/>
      <c r="I810" s="10"/>
      <c r="J810" s="10"/>
      <c r="K810" s="10"/>
      <c r="L810" s="10"/>
      <c r="M810" s="10"/>
      <c r="N810" s="10"/>
      <c r="O810" s="10"/>
    </row>
    <row r="811" spans="2:15" ht="20.25">
      <c r="B811" s="10"/>
      <c r="C811" s="14">
        <v>808</v>
      </c>
      <c r="D811" s="15" t="s">
        <v>887</v>
      </c>
      <c r="E811" s="14">
        <v>25</v>
      </c>
      <c r="F811" s="15">
        <f>_xlfn.XLOOKUP(D811,'Gemini Output'!B:B,'Gemini Output'!C:C,"No Match Yet")</f>
        <v>12</v>
      </c>
      <c r="G811" s="10" t="str">
        <f>_xlfn.XLOOKUP(D811,'Gemini Output'!B:B,'Gemini Output'!E:E,"No Match Yet")</f>
        <v>L2</v>
      </c>
      <c r="H811" s="10"/>
      <c r="I811" s="10"/>
      <c r="J811" s="10"/>
      <c r="K811" s="10"/>
      <c r="L811" s="10"/>
      <c r="M811" s="10"/>
      <c r="N811" s="10"/>
      <c r="O811" s="10"/>
    </row>
    <row r="812" spans="2:15" ht="20.25">
      <c r="B812" s="10"/>
      <c r="C812" s="14">
        <v>809</v>
      </c>
      <c r="D812" s="15" t="s">
        <v>888</v>
      </c>
      <c r="E812" s="14">
        <v>25</v>
      </c>
      <c r="F812" s="15">
        <f>_xlfn.XLOOKUP(D812,'Gemini Output'!B:B,'Gemini Output'!C:C,"No Match Yet")</f>
        <v>6</v>
      </c>
      <c r="G812" s="10" t="str">
        <f>_xlfn.XLOOKUP(D812,'Gemini Output'!B:B,'Gemini Output'!E:E,"No Match Yet")</f>
        <v>L2</v>
      </c>
      <c r="H812" s="10"/>
      <c r="I812" s="10"/>
      <c r="J812" s="10"/>
      <c r="K812" s="10"/>
      <c r="L812" s="10"/>
      <c r="M812" s="10"/>
      <c r="N812" s="10"/>
      <c r="O812" s="10"/>
    </row>
    <row r="813" spans="2:15" ht="20.25">
      <c r="B813" s="10"/>
      <c r="C813" s="14">
        <v>810</v>
      </c>
      <c r="D813" s="15" t="s">
        <v>889</v>
      </c>
      <c r="E813" s="14">
        <v>25</v>
      </c>
      <c r="F813" s="15">
        <f>_xlfn.XLOOKUP(D813,'Gemini Output'!B:B,'Gemini Output'!C:C,"No Match Yet")</f>
        <v>15</v>
      </c>
      <c r="G813" s="10" t="str">
        <f>_xlfn.XLOOKUP(D813,'Gemini Output'!B:B,'Gemini Output'!E:E,"No Match Yet")</f>
        <v>L2</v>
      </c>
      <c r="H813" s="10"/>
      <c r="I813" s="10"/>
      <c r="J813" s="10"/>
      <c r="K813" s="10"/>
      <c r="L813" s="10"/>
      <c r="M813" s="10"/>
      <c r="N813" s="10"/>
      <c r="O813" s="10"/>
    </row>
    <row r="814" spans="2:15" ht="20.25">
      <c r="B814" s="10"/>
      <c r="C814" s="14">
        <v>811</v>
      </c>
      <c r="D814" s="15" t="s">
        <v>890</v>
      </c>
      <c r="E814" s="14">
        <v>25</v>
      </c>
      <c r="F814" s="15">
        <f>_xlfn.XLOOKUP(D814,'Gemini Output'!B:B,'Gemini Output'!C:C,"No Match Yet")</f>
        <v>8</v>
      </c>
      <c r="G814" s="10" t="str">
        <f>_xlfn.XLOOKUP(D814,'Gemini Output'!B:B,'Gemini Output'!E:E,"No Match Yet")</f>
        <v>L2</v>
      </c>
      <c r="H814" s="10"/>
      <c r="I814" s="10"/>
      <c r="J814" s="10"/>
      <c r="K814" s="10"/>
      <c r="L814" s="10"/>
      <c r="M814" s="10"/>
      <c r="N814" s="10"/>
      <c r="O814" s="10"/>
    </row>
    <row r="815" spans="2:15" ht="20.25">
      <c r="B815" s="10"/>
      <c r="C815" s="14">
        <v>812</v>
      </c>
      <c r="D815" s="15" t="s">
        <v>891</v>
      </c>
      <c r="E815" s="14"/>
      <c r="F815" s="15">
        <f>_xlfn.XLOOKUP(D815,'Gemini Output'!B:B,'Gemini Output'!C:C,"No Match Yet")</f>
        <v>3</v>
      </c>
      <c r="G815" s="10" t="str">
        <f>_xlfn.XLOOKUP(D815,'Gemini Output'!B:B,'Gemini Output'!E:E,"No Match Yet")</f>
        <v>L3</v>
      </c>
      <c r="H815" s="10"/>
      <c r="I815" s="10"/>
      <c r="J815" s="10"/>
      <c r="K815" s="10"/>
      <c r="L815" s="10"/>
      <c r="M815" s="10"/>
      <c r="N815" s="10"/>
      <c r="O815" s="10"/>
    </row>
    <row r="816" spans="2:15" ht="20.25">
      <c r="B816" s="10"/>
      <c r="C816" s="14">
        <v>813</v>
      </c>
      <c r="D816" s="15" t="s">
        <v>892</v>
      </c>
      <c r="E816" s="14"/>
      <c r="F816" s="15">
        <f>_xlfn.XLOOKUP(D816,'Gemini Output'!B:B,'Gemini Output'!C:C,"No Match Yet")</f>
        <v>9</v>
      </c>
      <c r="G816" s="10" t="str">
        <f>_xlfn.XLOOKUP(D816,'Gemini Output'!B:B,'Gemini Output'!E:E,"No Match Yet")</f>
        <v>L2</v>
      </c>
      <c r="H816" s="10"/>
      <c r="I816" s="10"/>
      <c r="J816" s="10"/>
      <c r="K816" s="10"/>
      <c r="L816" s="10"/>
      <c r="M816" s="10"/>
      <c r="N816" s="10"/>
      <c r="O816" s="10"/>
    </row>
    <row r="817" spans="2:15" ht="20.25">
      <c r="B817" s="10"/>
      <c r="C817" s="14">
        <v>814</v>
      </c>
      <c r="D817" s="15" t="s">
        <v>893</v>
      </c>
      <c r="E817" s="14"/>
      <c r="F817" s="15">
        <f>_xlfn.XLOOKUP(D817,'Gemini Output'!B:B,'Gemini Output'!C:C,"No Match Yet")</f>
        <v>15</v>
      </c>
      <c r="G817" s="10" t="str">
        <f>_xlfn.XLOOKUP(D817,'Gemini Output'!B:B,'Gemini Output'!E:E,"No Match Yet")</f>
        <v>L1</v>
      </c>
      <c r="H817" s="10"/>
      <c r="I817" s="10"/>
      <c r="J817" s="10"/>
      <c r="K817" s="10"/>
      <c r="L817" s="10"/>
      <c r="M817" s="10"/>
      <c r="N817" s="10"/>
      <c r="O817" s="10"/>
    </row>
    <row r="818" spans="2:15" ht="20.25">
      <c r="B818" s="10"/>
      <c r="C818" s="14">
        <v>815</v>
      </c>
      <c r="D818" s="15" t="s">
        <v>894</v>
      </c>
      <c r="E818" s="14">
        <v>24</v>
      </c>
      <c r="F818" s="15">
        <f>_xlfn.XLOOKUP(D818,'Gemini Output'!B:B,'Gemini Output'!C:C,"No Match Yet")</f>
        <v>8</v>
      </c>
      <c r="G818" s="10" t="str">
        <f>_xlfn.XLOOKUP(D818,'Gemini Output'!B:B,'Gemini Output'!E:E,"No Match Yet")</f>
        <v>L3</v>
      </c>
      <c r="H818" s="10"/>
      <c r="I818" s="10"/>
      <c r="J818" s="10"/>
      <c r="K818" s="10"/>
      <c r="L818" s="10"/>
      <c r="M818" s="10"/>
      <c r="N818" s="10"/>
      <c r="O818" s="10"/>
    </row>
    <row r="819" spans="2:15" ht="20.25">
      <c r="B819" s="10"/>
      <c r="C819" s="14">
        <v>816</v>
      </c>
      <c r="D819" s="15" t="s">
        <v>895</v>
      </c>
      <c r="E819" s="14">
        <v>24</v>
      </c>
      <c r="F819" s="15">
        <f>_xlfn.XLOOKUP(D819,'Gemini Output'!B:B,'Gemini Output'!C:C,"No Match Yet")</f>
        <v>6</v>
      </c>
      <c r="G819" s="10" t="str">
        <f>_xlfn.XLOOKUP(D819,'Gemini Output'!B:B,'Gemini Output'!E:E,"No Match Yet")</f>
        <v>L3</v>
      </c>
      <c r="H819" s="10"/>
      <c r="I819" s="10"/>
      <c r="J819" s="10"/>
      <c r="K819" s="10"/>
      <c r="L819" s="10"/>
      <c r="M819" s="10"/>
      <c r="N819" s="10"/>
      <c r="O819" s="10"/>
    </row>
    <row r="820" spans="2:15" ht="20.25">
      <c r="B820" s="10"/>
      <c r="C820" s="14">
        <v>817</v>
      </c>
      <c r="D820" s="15" t="s">
        <v>896</v>
      </c>
      <c r="E820" s="14">
        <v>24</v>
      </c>
      <c r="F820" s="15">
        <f>_xlfn.XLOOKUP(D820,'Gemini Output'!B:B,'Gemini Output'!C:C,"No Match Yet")</f>
        <v>3</v>
      </c>
      <c r="G820" s="10" t="str">
        <f>_xlfn.XLOOKUP(D820,'Gemini Output'!B:B,'Gemini Output'!E:E,"No Match Yet")</f>
        <v>L2</v>
      </c>
      <c r="H820" s="10"/>
      <c r="I820" s="10"/>
      <c r="J820" s="10"/>
      <c r="K820" s="10"/>
      <c r="L820" s="10"/>
      <c r="M820" s="10"/>
      <c r="N820" s="10"/>
      <c r="O820" s="10"/>
    </row>
    <row r="821" spans="2:15" ht="20.25">
      <c r="B821" s="10"/>
      <c r="C821" s="14">
        <v>818</v>
      </c>
      <c r="D821" s="15" t="s">
        <v>897</v>
      </c>
      <c r="E821" s="14">
        <v>24</v>
      </c>
      <c r="F821" s="15">
        <f>_xlfn.XLOOKUP(D821,'Gemini Output'!B:B,'Gemini Output'!C:C,"No Match Yet")</f>
        <v>5</v>
      </c>
      <c r="G821" s="10" t="str">
        <f>_xlfn.XLOOKUP(D821,'Gemini Output'!B:B,'Gemini Output'!E:E,"No Match Yet")</f>
        <v>L3</v>
      </c>
      <c r="H821" s="10"/>
      <c r="I821" s="10"/>
      <c r="J821" s="10"/>
      <c r="K821" s="10"/>
      <c r="L821" s="10"/>
      <c r="M821" s="10"/>
      <c r="N821" s="10"/>
      <c r="O821" s="10"/>
    </row>
    <row r="822" spans="2:15" ht="20.25">
      <c r="B822" s="10"/>
      <c r="C822" s="14">
        <v>819</v>
      </c>
      <c r="D822" s="15" t="s">
        <v>898</v>
      </c>
      <c r="E822" s="14">
        <v>24</v>
      </c>
      <c r="F822" s="15">
        <f>_xlfn.XLOOKUP(D822,'Gemini Output'!B:B,'Gemini Output'!C:C,"No Match Yet")</f>
        <v>9</v>
      </c>
      <c r="G822" s="10" t="str">
        <f>_xlfn.XLOOKUP(D822,'Gemini Output'!B:B,'Gemini Output'!E:E,"No Match Yet")</f>
        <v>L1</v>
      </c>
      <c r="H822" s="10"/>
      <c r="I822" s="10"/>
      <c r="J822" s="10"/>
      <c r="K822" s="10"/>
      <c r="L822" s="10"/>
      <c r="M822" s="10"/>
      <c r="N822" s="10"/>
      <c r="O822" s="10"/>
    </row>
    <row r="823" spans="2:15" ht="20.25">
      <c r="B823" s="10"/>
      <c r="C823" s="14">
        <v>820</v>
      </c>
      <c r="D823" s="15" t="s">
        <v>899</v>
      </c>
      <c r="E823" s="14">
        <v>24</v>
      </c>
      <c r="F823" s="15">
        <f>_xlfn.XLOOKUP(D823,'Gemini Output'!B:B,'Gemini Output'!C:C,"No Match Yet")</f>
        <v>10</v>
      </c>
      <c r="G823" s="10" t="str">
        <f>_xlfn.XLOOKUP(D823,'Gemini Output'!B:B,'Gemini Output'!E:E,"No Match Yet")</f>
        <v>L1</v>
      </c>
      <c r="H823" s="10"/>
      <c r="I823" s="10"/>
      <c r="J823" s="10"/>
      <c r="K823" s="10"/>
      <c r="L823" s="10"/>
      <c r="M823" s="10"/>
      <c r="N823" s="10"/>
      <c r="O823" s="10"/>
    </row>
    <row r="824" spans="2:15" ht="20.25">
      <c r="B824" s="10"/>
      <c r="C824" s="14">
        <v>821</v>
      </c>
      <c r="D824" s="15" t="s">
        <v>900</v>
      </c>
      <c r="E824" s="14">
        <v>24</v>
      </c>
      <c r="F824" s="15">
        <f>_xlfn.XLOOKUP(D824,'Gemini Output'!B:B,'Gemini Output'!C:C,"No Match Yet")</f>
        <v>6</v>
      </c>
      <c r="G824" s="10" t="str">
        <f>_xlfn.XLOOKUP(D824,'Gemini Output'!B:B,'Gemini Output'!E:E,"No Match Yet")</f>
        <v>L2</v>
      </c>
      <c r="H824" s="10"/>
      <c r="I824" s="10"/>
      <c r="J824" s="10"/>
      <c r="K824" s="10"/>
      <c r="L824" s="10"/>
      <c r="M824" s="10"/>
      <c r="N824" s="10"/>
      <c r="O824" s="10"/>
    </row>
    <row r="825" spans="2:15" ht="20.25">
      <c r="B825" s="10"/>
      <c r="C825" s="14">
        <v>822</v>
      </c>
      <c r="D825" s="15" t="s">
        <v>901</v>
      </c>
      <c r="E825" s="14">
        <v>24</v>
      </c>
      <c r="F825" s="15">
        <f>_xlfn.XLOOKUP(D825,'Gemini Output'!B:B,'Gemini Output'!C:C,"No Match Yet")</f>
        <v>6</v>
      </c>
      <c r="G825" s="10" t="str">
        <f>_xlfn.XLOOKUP(D825,'Gemini Output'!B:B,'Gemini Output'!E:E,"No Match Yet")</f>
        <v>L3</v>
      </c>
      <c r="H825" s="10"/>
      <c r="I825" s="10"/>
      <c r="J825" s="10"/>
      <c r="K825" s="10"/>
      <c r="L825" s="10"/>
      <c r="M825" s="10"/>
      <c r="N825" s="10"/>
      <c r="O825" s="10"/>
    </row>
    <row r="826" spans="2:15" ht="20.25">
      <c r="B826" s="10"/>
      <c r="C826" s="14">
        <v>823</v>
      </c>
      <c r="D826" s="15" t="s">
        <v>902</v>
      </c>
      <c r="E826" s="14">
        <v>24</v>
      </c>
      <c r="F826" s="15">
        <f>_xlfn.XLOOKUP(D826,'Gemini Output'!B:B,'Gemini Output'!C:C,"No Match Yet")</f>
        <v>13</v>
      </c>
      <c r="G826" s="10" t="str">
        <f>_xlfn.XLOOKUP(D826,'Gemini Output'!B:B,'Gemini Output'!E:E,"No Match Yet")</f>
        <v>L1</v>
      </c>
      <c r="H826" s="10"/>
      <c r="I826" s="10"/>
      <c r="J826" s="10"/>
      <c r="K826" s="10"/>
      <c r="L826" s="10"/>
      <c r="M826" s="10"/>
      <c r="N826" s="10"/>
      <c r="O826" s="10"/>
    </row>
    <row r="827" spans="2:15" ht="20.25">
      <c r="B827" s="10"/>
      <c r="C827" s="14">
        <v>824</v>
      </c>
      <c r="D827" s="15" t="s">
        <v>903</v>
      </c>
      <c r="E827" s="14">
        <v>24</v>
      </c>
      <c r="F827" s="15">
        <f>_xlfn.XLOOKUP(D827,'Gemini Output'!B:B,'Gemini Output'!C:C,"No Match Yet")</f>
        <v>10</v>
      </c>
      <c r="G827" s="10" t="str">
        <f>_xlfn.XLOOKUP(D827,'Gemini Output'!B:B,'Gemini Output'!E:E,"No Match Yet")</f>
        <v>L1</v>
      </c>
      <c r="H827" s="10"/>
      <c r="I827" s="10"/>
      <c r="J827" s="10"/>
      <c r="K827" s="10"/>
      <c r="L827" s="10"/>
      <c r="M827" s="10"/>
      <c r="N827" s="10"/>
      <c r="O827" s="10"/>
    </row>
    <row r="828" spans="2:15" ht="20.25">
      <c r="B828" s="10"/>
      <c r="C828" s="14">
        <v>825</v>
      </c>
      <c r="D828" s="15" t="s">
        <v>904</v>
      </c>
      <c r="E828" s="14">
        <v>24</v>
      </c>
      <c r="F828" s="15">
        <f>_xlfn.XLOOKUP(D828,'Gemini Output'!B:B,'Gemini Output'!C:C,"No Match Yet")</f>
        <v>10</v>
      </c>
      <c r="G828" s="10" t="str">
        <f>_xlfn.XLOOKUP(D828,'Gemini Output'!B:B,'Gemini Output'!E:E,"No Match Yet")</f>
        <v>L1</v>
      </c>
      <c r="H828" s="10"/>
      <c r="I828" s="10"/>
      <c r="J828" s="10"/>
      <c r="K828" s="10"/>
      <c r="L828" s="10"/>
      <c r="M828" s="10"/>
      <c r="N828" s="10"/>
      <c r="O828" s="10"/>
    </row>
    <row r="829" spans="2:15" ht="20.25">
      <c r="B829" s="10"/>
      <c r="C829" s="14">
        <v>826</v>
      </c>
      <c r="D829" s="15" t="s">
        <v>905</v>
      </c>
      <c r="E829" s="14">
        <v>24</v>
      </c>
      <c r="F829" s="15">
        <f>_xlfn.XLOOKUP(D829,'Gemini Output'!B:B,'Gemini Output'!C:C,"No Match Yet")</f>
        <v>12</v>
      </c>
      <c r="G829" s="10" t="str">
        <f>_xlfn.XLOOKUP(D829,'Gemini Output'!B:B,'Gemini Output'!E:E,"No Match Yet")</f>
        <v>L2</v>
      </c>
      <c r="H829" s="10"/>
      <c r="I829" s="10"/>
      <c r="J829" s="10"/>
      <c r="K829" s="10"/>
      <c r="L829" s="10"/>
      <c r="M829" s="10"/>
      <c r="N829" s="10"/>
      <c r="O829" s="10"/>
    </row>
    <row r="830" spans="2:15" ht="20.25">
      <c r="B830" s="10"/>
      <c r="C830" s="14">
        <v>827</v>
      </c>
      <c r="D830" s="15" t="s">
        <v>906</v>
      </c>
      <c r="E830" s="14">
        <v>24</v>
      </c>
      <c r="F830" s="15">
        <f>_xlfn.XLOOKUP(D830,'Gemini Output'!B:B,'Gemini Output'!C:C,"No Match Yet")</f>
        <v>1</v>
      </c>
      <c r="G830" s="10" t="str">
        <f>_xlfn.XLOOKUP(D830,'Gemini Output'!B:B,'Gemini Output'!E:E,"No Match Yet")</f>
        <v>L2</v>
      </c>
      <c r="H830" s="10"/>
      <c r="I830" s="10"/>
      <c r="J830" s="10"/>
      <c r="K830" s="10"/>
      <c r="L830" s="10"/>
      <c r="M830" s="10"/>
      <c r="N830" s="10"/>
      <c r="O830" s="10"/>
    </row>
    <row r="831" spans="2:15" ht="20.25">
      <c r="B831" s="10"/>
      <c r="C831" s="14">
        <v>828</v>
      </c>
      <c r="D831" s="15" t="s">
        <v>907</v>
      </c>
      <c r="E831" s="14">
        <v>24</v>
      </c>
      <c r="F831" s="15">
        <f>_xlfn.XLOOKUP(D831,'Gemini Output'!B:B,'Gemini Output'!C:C,"No Match Yet")</f>
        <v>15</v>
      </c>
      <c r="G831" s="10" t="str">
        <f>_xlfn.XLOOKUP(D831,'Gemini Output'!B:B,'Gemini Output'!E:E,"No Match Yet")</f>
        <v>L1</v>
      </c>
      <c r="H831" s="10"/>
      <c r="I831" s="10"/>
      <c r="J831" s="10"/>
      <c r="K831" s="10"/>
      <c r="L831" s="10"/>
      <c r="M831" s="10"/>
      <c r="N831" s="10"/>
      <c r="O831" s="10"/>
    </row>
    <row r="832" spans="2:15" ht="20.25">
      <c r="B832" s="10"/>
      <c r="C832" s="14">
        <v>829</v>
      </c>
      <c r="D832" s="15" t="s">
        <v>908</v>
      </c>
      <c r="E832" s="14">
        <v>24</v>
      </c>
      <c r="F832" s="15">
        <f>_xlfn.XLOOKUP(D832,'Gemini Output'!B:B,'Gemini Output'!C:C,"No Match Yet")</f>
        <v>10</v>
      </c>
      <c r="G832" s="10" t="str">
        <f>_xlfn.XLOOKUP(D832,'Gemini Output'!B:B,'Gemini Output'!E:E,"No Match Yet")</f>
        <v>L2</v>
      </c>
      <c r="H832" s="10"/>
      <c r="I832" s="10"/>
      <c r="J832" s="10"/>
      <c r="K832" s="10"/>
      <c r="L832" s="10"/>
      <c r="M832" s="10"/>
      <c r="N832" s="10"/>
      <c r="O832" s="10"/>
    </row>
    <row r="833" spans="2:15" ht="20.25">
      <c r="B833" s="10"/>
      <c r="C833" s="14">
        <v>830</v>
      </c>
      <c r="D833" s="15" t="s">
        <v>909</v>
      </c>
      <c r="E833" s="14">
        <v>24</v>
      </c>
      <c r="F833" s="15">
        <f>_xlfn.XLOOKUP(D833,'Gemini Output'!B:B,'Gemini Output'!C:C,"No Match Yet")</f>
        <v>3</v>
      </c>
      <c r="G833" s="10" t="str">
        <f>_xlfn.XLOOKUP(D833,'Gemini Output'!B:B,'Gemini Output'!E:E,"No Match Yet")</f>
        <v>L1</v>
      </c>
      <c r="H833" s="10"/>
      <c r="I833" s="10"/>
      <c r="J833" s="10"/>
      <c r="K833" s="10"/>
      <c r="L833" s="10"/>
      <c r="M833" s="10"/>
      <c r="N833" s="10"/>
      <c r="O833" s="10"/>
    </row>
    <row r="834" spans="2:15" ht="20.25">
      <c r="B834" s="10"/>
      <c r="C834" s="14">
        <v>831</v>
      </c>
      <c r="D834" s="15" t="s">
        <v>910</v>
      </c>
      <c r="E834" s="14">
        <v>24</v>
      </c>
      <c r="F834" s="15">
        <f>_xlfn.XLOOKUP(D834,'Gemini Output'!B:B,'Gemini Output'!C:C,"No Match Yet")</f>
        <v>2</v>
      </c>
      <c r="G834" s="10" t="str">
        <f>_xlfn.XLOOKUP(D834,'Gemini Output'!B:B,'Gemini Output'!E:E,"No Match Yet")</f>
        <v>L2</v>
      </c>
      <c r="H834" s="10"/>
      <c r="I834" s="10"/>
      <c r="J834" s="10"/>
      <c r="K834" s="10"/>
      <c r="L834" s="10"/>
      <c r="M834" s="10"/>
      <c r="N834" s="10"/>
      <c r="O834" s="10"/>
    </row>
    <row r="835" spans="2:15" ht="20.25">
      <c r="B835" s="10"/>
      <c r="C835" s="14">
        <v>832</v>
      </c>
      <c r="D835" s="15" t="s">
        <v>911</v>
      </c>
      <c r="E835" s="14">
        <v>24</v>
      </c>
      <c r="F835" s="15">
        <f>_xlfn.XLOOKUP(D835,'Gemini Output'!B:B,'Gemini Output'!C:C,"No Match Yet")</f>
        <v>12</v>
      </c>
      <c r="G835" s="10" t="str">
        <f>_xlfn.XLOOKUP(D835,'Gemini Output'!B:B,'Gemini Output'!E:E,"No Match Yet")</f>
        <v>L2</v>
      </c>
      <c r="H835" s="10"/>
      <c r="I835" s="10"/>
      <c r="J835" s="10"/>
      <c r="K835" s="10"/>
      <c r="L835" s="10"/>
      <c r="M835" s="10"/>
      <c r="N835" s="10"/>
      <c r="O835" s="10"/>
    </row>
    <row r="836" spans="2:15" ht="20.25">
      <c r="B836" s="10"/>
      <c r="C836" s="14">
        <v>833</v>
      </c>
      <c r="D836" s="15" t="s">
        <v>912</v>
      </c>
      <c r="E836" s="14">
        <v>24</v>
      </c>
      <c r="F836" s="15">
        <f>_xlfn.XLOOKUP(D836,'Gemini Output'!B:B,'Gemini Output'!C:C,"No Match Yet")</f>
        <v>1</v>
      </c>
      <c r="G836" s="10" t="str">
        <f>_xlfn.XLOOKUP(D836,'Gemini Output'!B:B,'Gemini Output'!E:E,"No Match Yet")</f>
        <v>L3</v>
      </c>
      <c r="H836" s="10"/>
      <c r="I836" s="10"/>
      <c r="J836" s="10"/>
      <c r="K836" s="10"/>
      <c r="L836" s="10"/>
      <c r="M836" s="10"/>
      <c r="N836" s="10"/>
      <c r="O836" s="10"/>
    </row>
    <row r="837" spans="2:15" ht="20.25">
      <c r="B837" s="10"/>
      <c r="C837" s="14">
        <v>834</v>
      </c>
      <c r="D837" s="15" t="s">
        <v>913</v>
      </c>
      <c r="E837" s="14">
        <v>24</v>
      </c>
      <c r="F837" s="15">
        <f>_xlfn.XLOOKUP(D837,'Gemini Output'!B:B,'Gemini Output'!C:C,"No Match Yet")</f>
        <v>5</v>
      </c>
      <c r="G837" s="10" t="str">
        <f>_xlfn.XLOOKUP(D837,'Gemini Output'!B:B,'Gemini Output'!E:E,"No Match Yet")</f>
        <v>L2</v>
      </c>
      <c r="H837" s="10"/>
      <c r="I837" s="10"/>
      <c r="J837" s="10"/>
      <c r="K837" s="10"/>
      <c r="L837" s="10"/>
      <c r="M837" s="10"/>
      <c r="N837" s="10"/>
      <c r="O837" s="10"/>
    </row>
    <row r="838" spans="2:15" ht="20.25">
      <c r="B838" s="10"/>
      <c r="C838" s="14">
        <v>835</v>
      </c>
      <c r="D838" s="15" t="s">
        <v>914</v>
      </c>
      <c r="E838" s="14">
        <v>24</v>
      </c>
      <c r="F838" s="15">
        <f>_xlfn.XLOOKUP(D838,'Gemini Output'!B:B,'Gemini Output'!C:C,"No Match Yet")</f>
        <v>7</v>
      </c>
      <c r="G838" s="10" t="str">
        <f>_xlfn.XLOOKUP(D838,'Gemini Output'!B:B,'Gemini Output'!E:E,"No Match Yet")</f>
        <v>L1</v>
      </c>
      <c r="H838" s="10"/>
      <c r="I838" s="10"/>
      <c r="J838" s="10"/>
      <c r="K838" s="10"/>
      <c r="L838" s="10"/>
      <c r="M838" s="10"/>
      <c r="N838" s="10"/>
      <c r="O838" s="10"/>
    </row>
    <row r="839" spans="2:15" ht="20.25">
      <c r="B839" s="10"/>
      <c r="C839" s="14">
        <v>836</v>
      </c>
      <c r="D839" s="15" t="s">
        <v>915</v>
      </c>
      <c r="E839" s="14">
        <v>24</v>
      </c>
      <c r="F839" s="15">
        <f>_xlfn.XLOOKUP(D839,'Gemini Output'!B:B,'Gemini Output'!C:C,"No Match Yet")</f>
        <v>6</v>
      </c>
      <c r="G839" s="10" t="str">
        <f>_xlfn.XLOOKUP(D839,'Gemini Output'!B:B,'Gemini Output'!E:E,"No Match Yet")</f>
        <v>L3</v>
      </c>
      <c r="H839" s="10"/>
      <c r="I839" s="10"/>
      <c r="J839" s="10"/>
      <c r="K839" s="10"/>
      <c r="L839" s="10"/>
      <c r="M839" s="10"/>
      <c r="N839" s="10"/>
      <c r="O839" s="10"/>
    </row>
    <row r="840" spans="2:15" ht="20.25">
      <c r="B840" s="10"/>
      <c r="C840" s="14">
        <v>837</v>
      </c>
      <c r="D840" s="15" t="s">
        <v>916</v>
      </c>
      <c r="E840" s="14">
        <v>24</v>
      </c>
      <c r="F840" s="15">
        <f>_xlfn.XLOOKUP(D840,'Gemini Output'!B:B,'Gemini Output'!C:C,"No Match Yet")</f>
        <v>15</v>
      </c>
      <c r="G840" s="10" t="str">
        <f>_xlfn.XLOOKUP(D840,'Gemini Output'!B:B,'Gemini Output'!E:E,"No Match Yet")</f>
        <v>L2</v>
      </c>
      <c r="H840" s="10"/>
      <c r="I840" s="10"/>
      <c r="J840" s="10"/>
      <c r="K840" s="10"/>
      <c r="L840" s="10"/>
      <c r="M840" s="10"/>
      <c r="N840" s="10"/>
      <c r="O840" s="10"/>
    </row>
    <row r="841" spans="2:15" ht="20.25">
      <c r="B841" s="10"/>
      <c r="C841" s="14">
        <v>838</v>
      </c>
      <c r="D841" s="15" t="s">
        <v>917</v>
      </c>
      <c r="E841" s="14">
        <v>24</v>
      </c>
      <c r="F841" s="15">
        <f>_xlfn.XLOOKUP(D841,'Gemini Output'!B:B,'Gemini Output'!C:C,"No Match Yet")</f>
        <v>1</v>
      </c>
      <c r="G841" s="10" t="str">
        <f>_xlfn.XLOOKUP(D841,'Gemini Output'!B:B,'Gemini Output'!E:E,"No Match Yet")</f>
        <v>L1</v>
      </c>
      <c r="H841" s="10"/>
      <c r="I841" s="10"/>
      <c r="J841" s="10"/>
      <c r="K841" s="10"/>
      <c r="L841" s="10"/>
      <c r="M841" s="10"/>
      <c r="N841" s="10"/>
      <c r="O841" s="10"/>
    </row>
    <row r="842" spans="2:15" ht="20.25">
      <c r="B842" s="10"/>
      <c r="C842" s="14">
        <v>839</v>
      </c>
      <c r="D842" s="15" t="s">
        <v>918</v>
      </c>
      <c r="E842" s="14">
        <v>24</v>
      </c>
      <c r="F842" s="15">
        <f>_xlfn.XLOOKUP(D842,'Gemini Output'!B:B,'Gemini Output'!C:C,"No Match Yet")</f>
        <v>15</v>
      </c>
      <c r="G842" s="10" t="str">
        <f>_xlfn.XLOOKUP(D842,'Gemini Output'!B:B,'Gemini Output'!E:E,"No Match Yet")</f>
        <v>L2</v>
      </c>
      <c r="H842" s="10"/>
      <c r="I842" s="10"/>
      <c r="J842" s="10"/>
      <c r="K842" s="10"/>
      <c r="L842" s="10"/>
      <c r="M842" s="10"/>
      <c r="N842" s="10"/>
      <c r="O842" s="10"/>
    </row>
    <row r="843" spans="2:15" ht="20.25">
      <c r="B843" s="10"/>
      <c r="C843" s="14">
        <v>840</v>
      </c>
      <c r="D843" s="15" t="s">
        <v>919</v>
      </c>
      <c r="E843" s="14">
        <v>24</v>
      </c>
      <c r="F843" s="15">
        <f>_xlfn.XLOOKUP(D843,'Gemini Output'!B:B,'Gemini Output'!C:C,"No Match Yet")</f>
        <v>15</v>
      </c>
      <c r="G843" s="10" t="str">
        <f>_xlfn.XLOOKUP(D843,'Gemini Output'!B:B,'Gemini Output'!E:E,"No Match Yet")</f>
        <v>L2</v>
      </c>
      <c r="H843" s="10"/>
      <c r="I843" s="10"/>
      <c r="J843" s="10"/>
      <c r="K843" s="10"/>
      <c r="L843" s="10"/>
      <c r="M843" s="10"/>
      <c r="N843" s="10"/>
      <c r="O843" s="10"/>
    </row>
    <row r="844" spans="2:15" ht="20.25">
      <c r="B844" s="10"/>
      <c r="C844" s="14">
        <v>841</v>
      </c>
      <c r="D844" s="15" t="s">
        <v>920</v>
      </c>
      <c r="E844" s="14">
        <v>24</v>
      </c>
      <c r="F844" s="15">
        <f>_xlfn.XLOOKUP(D844,'Gemini Output'!B:B,'Gemini Output'!C:C,"No Match Yet")</f>
        <v>10</v>
      </c>
      <c r="G844" s="10" t="str">
        <f>_xlfn.XLOOKUP(D844,'Gemini Output'!B:B,'Gemini Output'!E:E,"No Match Yet")</f>
        <v>L2</v>
      </c>
      <c r="H844" s="10"/>
      <c r="I844" s="10"/>
      <c r="J844" s="10"/>
      <c r="K844" s="10"/>
      <c r="L844" s="10"/>
      <c r="M844" s="10"/>
      <c r="N844" s="10"/>
      <c r="O844" s="10"/>
    </row>
    <row r="845" spans="2:15" ht="20.25">
      <c r="B845" s="10"/>
      <c r="C845" s="14">
        <v>842</v>
      </c>
      <c r="D845" s="15" t="s">
        <v>921</v>
      </c>
      <c r="E845" s="14">
        <v>24</v>
      </c>
      <c r="F845" s="15">
        <f>_xlfn.XLOOKUP(D845,'Gemini Output'!B:B,'Gemini Output'!C:C,"No Match Yet")</f>
        <v>1</v>
      </c>
      <c r="G845" s="10" t="str">
        <f>_xlfn.XLOOKUP(D845,'Gemini Output'!B:B,'Gemini Output'!E:E,"No Match Yet")</f>
        <v>L1</v>
      </c>
      <c r="H845" s="10"/>
      <c r="I845" s="10"/>
      <c r="J845" s="10"/>
      <c r="K845" s="10"/>
      <c r="L845" s="10"/>
      <c r="M845" s="10"/>
      <c r="N845" s="10"/>
      <c r="O845" s="10"/>
    </row>
    <row r="846" spans="2:15" ht="20.25">
      <c r="B846" s="10"/>
      <c r="C846" s="14">
        <v>843</v>
      </c>
      <c r="D846" s="15" t="s">
        <v>922</v>
      </c>
      <c r="E846" s="14">
        <v>24</v>
      </c>
      <c r="F846" s="15">
        <f>_xlfn.XLOOKUP(D846,'Gemini Output'!B:B,'Gemini Output'!C:C,"No Match Yet")</f>
        <v>6</v>
      </c>
      <c r="G846" s="10" t="str">
        <f>_xlfn.XLOOKUP(D846,'Gemini Output'!B:B,'Gemini Output'!E:E,"No Match Yet")</f>
        <v>L3</v>
      </c>
      <c r="H846" s="10"/>
      <c r="I846" s="10"/>
      <c r="J846" s="10"/>
      <c r="K846" s="10"/>
      <c r="L846" s="10"/>
      <c r="M846" s="10"/>
      <c r="N846" s="10"/>
      <c r="O846" s="10"/>
    </row>
    <row r="847" spans="2:15" ht="20.25">
      <c r="B847" s="10"/>
      <c r="C847" s="14">
        <v>844</v>
      </c>
      <c r="D847" s="15" t="s">
        <v>923</v>
      </c>
      <c r="E847" s="14">
        <v>24</v>
      </c>
      <c r="F847" s="15">
        <f>_xlfn.XLOOKUP(D847,'Gemini Output'!B:B,'Gemini Output'!C:C,"No Match Yet")</f>
        <v>2</v>
      </c>
      <c r="G847" s="10" t="str">
        <f>_xlfn.XLOOKUP(D847,'Gemini Output'!B:B,'Gemini Output'!E:E,"No Match Yet")</f>
        <v>L2</v>
      </c>
      <c r="H847" s="10"/>
      <c r="I847" s="10"/>
      <c r="J847" s="10"/>
      <c r="K847" s="10"/>
      <c r="L847" s="10"/>
      <c r="M847" s="10"/>
      <c r="N847" s="10"/>
      <c r="O847" s="10"/>
    </row>
    <row r="848" spans="2:15" ht="20.25">
      <c r="B848" s="10"/>
      <c r="C848" s="14">
        <v>845</v>
      </c>
      <c r="D848" s="15" t="s">
        <v>924</v>
      </c>
      <c r="E848" s="14">
        <v>24</v>
      </c>
      <c r="F848" s="15">
        <f>_xlfn.XLOOKUP(D848,'Gemini Output'!B:B,'Gemini Output'!C:C,"No Match Yet")</f>
        <v>5</v>
      </c>
      <c r="G848" s="10" t="str">
        <f>_xlfn.XLOOKUP(D848,'Gemini Output'!B:B,'Gemini Output'!E:E,"No Match Yet")</f>
        <v>L2</v>
      </c>
      <c r="H848" s="10"/>
      <c r="I848" s="10"/>
      <c r="J848" s="10"/>
      <c r="K848" s="10"/>
      <c r="L848" s="10"/>
      <c r="M848" s="10"/>
      <c r="N848" s="10"/>
      <c r="O848" s="10"/>
    </row>
    <row r="849" spans="2:15" ht="20.25">
      <c r="B849" s="10"/>
      <c r="C849" s="14">
        <v>846</v>
      </c>
      <c r="D849" s="15" t="s">
        <v>925</v>
      </c>
      <c r="E849" s="14">
        <v>24</v>
      </c>
      <c r="F849" s="15">
        <f>_xlfn.XLOOKUP(D849,'Gemini Output'!B:B,'Gemini Output'!C:C,"No Match Yet")</f>
        <v>3</v>
      </c>
      <c r="G849" s="10" t="str">
        <f>_xlfn.XLOOKUP(D849,'Gemini Output'!B:B,'Gemini Output'!E:E,"No Match Yet")</f>
        <v>L2</v>
      </c>
      <c r="H849" s="10"/>
      <c r="I849" s="10"/>
      <c r="J849" s="10"/>
      <c r="K849" s="10"/>
      <c r="L849" s="10"/>
      <c r="M849" s="10"/>
      <c r="N849" s="10"/>
      <c r="O849" s="10"/>
    </row>
    <row r="850" spans="2:15" ht="20.25">
      <c r="B850" s="10"/>
      <c r="C850" s="14">
        <v>847</v>
      </c>
      <c r="D850" s="15" t="s">
        <v>926</v>
      </c>
      <c r="E850" s="14">
        <v>24</v>
      </c>
      <c r="F850" s="15">
        <f>_xlfn.XLOOKUP(D850,'Gemini Output'!B:B,'Gemini Output'!C:C,"No Match Yet")</f>
        <v>10</v>
      </c>
      <c r="G850" s="10" t="str">
        <f>_xlfn.XLOOKUP(D850,'Gemini Output'!B:B,'Gemini Output'!E:E,"No Match Yet")</f>
        <v>L2</v>
      </c>
      <c r="H850" s="10"/>
      <c r="I850" s="10"/>
      <c r="J850" s="10"/>
      <c r="K850" s="10"/>
      <c r="L850" s="10"/>
      <c r="M850" s="10"/>
      <c r="N850" s="10"/>
      <c r="O850" s="10"/>
    </row>
    <row r="851" spans="2:15" ht="20.25">
      <c r="B851" s="10"/>
      <c r="C851" s="14">
        <v>848</v>
      </c>
      <c r="D851" s="15" t="s">
        <v>927</v>
      </c>
      <c r="E851" s="14">
        <v>24</v>
      </c>
      <c r="F851" s="15">
        <f>_xlfn.XLOOKUP(D851,'Gemini Output'!B:B,'Gemini Output'!C:C,"No Match Yet")</f>
        <v>3</v>
      </c>
      <c r="G851" s="10" t="str">
        <f>_xlfn.XLOOKUP(D851,'Gemini Output'!B:B,'Gemini Output'!E:E,"No Match Yet")</f>
        <v>L1</v>
      </c>
      <c r="H851" s="10"/>
      <c r="I851" s="10"/>
      <c r="J851" s="10"/>
      <c r="K851" s="10"/>
      <c r="L851" s="10"/>
      <c r="M851" s="10"/>
      <c r="N851" s="10"/>
      <c r="O851" s="10"/>
    </row>
    <row r="852" spans="2:15" ht="20.25">
      <c r="B852" s="10"/>
      <c r="C852" s="14">
        <v>849</v>
      </c>
      <c r="D852" s="15" t="s">
        <v>928</v>
      </c>
      <c r="E852" s="14">
        <v>24</v>
      </c>
      <c r="F852" s="15">
        <f>_xlfn.XLOOKUP(D852,'Gemini Output'!B:B,'Gemini Output'!C:C,"No Match Yet")</f>
        <v>13</v>
      </c>
      <c r="G852" s="10" t="str">
        <f>_xlfn.XLOOKUP(D852,'Gemini Output'!B:B,'Gemini Output'!E:E,"No Match Yet")</f>
        <v>L1</v>
      </c>
      <c r="H852" s="10"/>
      <c r="I852" s="10"/>
      <c r="J852" s="10"/>
      <c r="K852" s="10"/>
      <c r="L852" s="10"/>
      <c r="M852" s="10"/>
      <c r="N852" s="10"/>
      <c r="O852" s="10"/>
    </row>
    <row r="853" spans="2:15" ht="20.25">
      <c r="B853" s="10"/>
      <c r="C853" s="14">
        <v>850</v>
      </c>
      <c r="D853" s="15" t="s">
        <v>929</v>
      </c>
      <c r="E853" s="14">
        <v>24</v>
      </c>
      <c r="F853" s="15">
        <f>_xlfn.XLOOKUP(D853,'Gemini Output'!B:B,'Gemini Output'!C:C,"No Match Yet")</f>
        <v>14</v>
      </c>
      <c r="G853" s="10" t="str">
        <f>_xlfn.XLOOKUP(D853,'Gemini Output'!B:B,'Gemini Output'!E:E,"No Match Yet")</f>
        <v>L2</v>
      </c>
      <c r="H853" s="10"/>
      <c r="I853" s="10"/>
      <c r="J853" s="10"/>
      <c r="K853" s="10"/>
      <c r="L853" s="10"/>
      <c r="M853" s="10"/>
      <c r="N853" s="10"/>
      <c r="O853" s="10"/>
    </row>
    <row r="854" spans="2:15" ht="20.25">
      <c r="B854" s="10"/>
      <c r="C854" s="14">
        <v>851</v>
      </c>
      <c r="D854" s="15" t="s">
        <v>930</v>
      </c>
      <c r="E854" s="14"/>
      <c r="F854" s="15">
        <f>_xlfn.XLOOKUP(D854,'Gemini Output'!B:B,'Gemini Output'!C:C,"No Match Yet")</f>
        <v>13</v>
      </c>
      <c r="G854" s="10" t="str">
        <f>_xlfn.XLOOKUP(D854,'Gemini Output'!B:B,'Gemini Output'!E:E,"No Match Yet")</f>
        <v>L1</v>
      </c>
      <c r="H854" s="10"/>
      <c r="I854" s="10"/>
      <c r="J854" s="10"/>
      <c r="K854" s="10"/>
      <c r="L854" s="10"/>
      <c r="M854" s="10"/>
      <c r="N854" s="10"/>
      <c r="O854" s="10"/>
    </row>
    <row r="855" spans="2:15" ht="20.25">
      <c r="B855" s="10"/>
      <c r="C855" s="14">
        <v>852</v>
      </c>
      <c r="D855" s="15" t="s">
        <v>931</v>
      </c>
      <c r="E855" s="14"/>
      <c r="F855" s="15">
        <f>_xlfn.XLOOKUP(D855,'Gemini Output'!B:B,'Gemini Output'!C:C,"No Match Yet")</f>
        <v>15</v>
      </c>
      <c r="G855" s="10" t="str">
        <f>_xlfn.XLOOKUP(D855,'Gemini Output'!B:B,'Gemini Output'!E:E,"No Match Yet")</f>
        <v>L1</v>
      </c>
      <c r="H855" s="10"/>
      <c r="I855" s="10"/>
      <c r="J855" s="10"/>
      <c r="K855" s="10"/>
      <c r="L855" s="10"/>
      <c r="M855" s="10"/>
      <c r="N855" s="10"/>
      <c r="O855" s="10"/>
    </row>
    <row r="856" spans="2:15" ht="20.25">
      <c r="B856" s="10"/>
      <c r="C856" s="14">
        <v>853</v>
      </c>
      <c r="D856" s="15" t="s">
        <v>932</v>
      </c>
      <c r="E856" s="14">
        <v>23</v>
      </c>
      <c r="F856" s="15">
        <f>_xlfn.XLOOKUP(D856,'Gemini Output'!B:B,'Gemini Output'!C:C,"No Match Yet")</f>
        <v>13</v>
      </c>
      <c r="G856" s="10" t="str">
        <f>_xlfn.XLOOKUP(D856,'Gemini Output'!B:B,'Gemini Output'!E:E,"No Match Yet")</f>
        <v>L2</v>
      </c>
      <c r="H856" s="10"/>
      <c r="I856" s="10"/>
      <c r="J856" s="10"/>
      <c r="K856" s="10"/>
      <c r="L856" s="10"/>
      <c r="M856" s="10"/>
      <c r="N856" s="10"/>
      <c r="O856" s="10"/>
    </row>
    <row r="857" spans="2:15" ht="20.25">
      <c r="B857" s="10"/>
      <c r="C857" s="14">
        <v>854</v>
      </c>
      <c r="D857" s="15" t="s">
        <v>933</v>
      </c>
      <c r="E857" s="14">
        <v>23</v>
      </c>
      <c r="F857" s="15">
        <f>_xlfn.XLOOKUP(D857,'Gemini Output'!B:B,'Gemini Output'!C:C,"No Match Yet")</f>
        <v>1</v>
      </c>
      <c r="G857" s="10" t="str">
        <f>_xlfn.XLOOKUP(D857,'Gemini Output'!B:B,'Gemini Output'!E:E,"No Match Yet")</f>
        <v>L2</v>
      </c>
      <c r="H857" s="10"/>
      <c r="I857" s="10"/>
      <c r="J857" s="10"/>
      <c r="K857" s="10"/>
      <c r="L857" s="10"/>
      <c r="M857" s="10"/>
      <c r="N857" s="10"/>
      <c r="O857" s="10"/>
    </row>
    <row r="858" spans="2:15" ht="20.25">
      <c r="B858" s="10"/>
      <c r="C858" s="14">
        <v>855</v>
      </c>
      <c r="D858" s="15" t="s">
        <v>934</v>
      </c>
      <c r="E858" s="14">
        <v>23</v>
      </c>
      <c r="F858" s="15">
        <f>_xlfn.XLOOKUP(D858,'Gemini Output'!B:B,'Gemini Output'!C:C,"No Match Yet")</f>
        <v>8</v>
      </c>
      <c r="G858" s="10" t="str">
        <f>_xlfn.XLOOKUP(D858,'Gemini Output'!B:B,'Gemini Output'!E:E,"No Match Yet")</f>
        <v>L2</v>
      </c>
      <c r="H858" s="10"/>
      <c r="I858" s="10"/>
      <c r="J858" s="10"/>
      <c r="K858" s="10"/>
      <c r="L858" s="10"/>
      <c r="M858" s="10"/>
      <c r="N858" s="10"/>
      <c r="O858" s="10"/>
    </row>
    <row r="859" spans="2:15" ht="20.25">
      <c r="B859" s="10"/>
      <c r="C859" s="14">
        <v>856</v>
      </c>
      <c r="D859" s="15" t="s">
        <v>935</v>
      </c>
      <c r="E859" s="14">
        <v>23</v>
      </c>
      <c r="F859" s="15">
        <f>_xlfn.XLOOKUP(D859,'Gemini Output'!B:B,'Gemini Output'!C:C,"No Match Yet")</f>
        <v>12</v>
      </c>
      <c r="G859" s="10" t="str">
        <f>_xlfn.XLOOKUP(D859,'Gemini Output'!B:B,'Gemini Output'!E:E,"No Match Yet")</f>
        <v>L1</v>
      </c>
      <c r="H859" s="10"/>
      <c r="I859" s="10"/>
      <c r="J859" s="10"/>
      <c r="K859" s="10"/>
      <c r="L859" s="10"/>
      <c r="M859" s="10"/>
      <c r="N859" s="10"/>
      <c r="O859" s="10"/>
    </row>
    <row r="860" spans="2:15" ht="20.25">
      <c r="B860" s="10"/>
      <c r="C860" s="14">
        <v>857</v>
      </c>
      <c r="D860" s="15" t="s">
        <v>936</v>
      </c>
      <c r="E860" s="14">
        <v>23</v>
      </c>
      <c r="F860" s="15">
        <f>_xlfn.XLOOKUP(D860,'Gemini Output'!B:B,'Gemini Output'!C:C,"No Match Yet")</f>
        <v>15</v>
      </c>
      <c r="G860" s="10" t="str">
        <f>_xlfn.XLOOKUP(D860,'Gemini Output'!B:B,'Gemini Output'!E:E,"No Match Yet")</f>
        <v>L1</v>
      </c>
      <c r="H860" s="10"/>
      <c r="I860" s="10"/>
      <c r="J860" s="10"/>
      <c r="K860" s="10"/>
      <c r="L860" s="10"/>
      <c r="M860" s="10"/>
      <c r="N860" s="10"/>
      <c r="O860" s="10"/>
    </row>
    <row r="861" spans="2:15" ht="20.25">
      <c r="B861" s="10"/>
      <c r="C861" s="14">
        <v>858</v>
      </c>
      <c r="D861" s="15" t="s">
        <v>937</v>
      </c>
      <c r="E861" s="14">
        <v>23</v>
      </c>
      <c r="F861" s="15">
        <f>_xlfn.XLOOKUP(D861,'Gemini Output'!B:B,'Gemini Output'!C:C,"No Match Yet")</f>
        <v>9</v>
      </c>
      <c r="G861" s="10" t="str">
        <f>_xlfn.XLOOKUP(D861,'Gemini Output'!B:B,'Gemini Output'!E:E,"No Match Yet")</f>
        <v>L2</v>
      </c>
      <c r="H861" s="10"/>
      <c r="I861" s="10"/>
      <c r="J861" s="10"/>
      <c r="K861" s="10"/>
      <c r="L861" s="10"/>
      <c r="M861" s="10"/>
      <c r="N861" s="10"/>
      <c r="O861" s="10"/>
    </row>
    <row r="862" spans="2:15" ht="20.25">
      <c r="B862" s="10"/>
      <c r="C862" s="14">
        <v>859</v>
      </c>
      <c r="D862" s="15" t="s">
        <v>938</v>
      </c>
      <c r="E862" s="14">
        <v>23</v>
      </c>
      <c r="F862" s="15">
        <f>_xlfn.XLOOKUP(D862,'Gemini Output'!B:B,'Gemini Output'!C:C,"No Match Yet")</f>
        <v>12</v>
      </c>
      <c r="G862" s="10" t="str">
        <f>_xlfn.XLOOKUP(D862,'Gemini Output'!B:B,'Gemini Output'!E:E,"No Match Yet")</f>
        <v>L1</v>
      </c>
      <c r="H862" s="10"/>
      <c r="I862" s="10"/>
      <c r="J862" s="10"/>
      <c r="K862" s="10"/>
      <c r="L862" s="10"/>
      <c r="M862" s="10"/>
      <c r="N862" s="10"/>
      <c r="O862" s="10"/>
    </row>
    <row r="863" spans="2:15" ht="20.25">
      <c r="B863" s="10"/>
      <c r="C863" s="14">
        <v>860</v>
      </c>
      <c r="D863" s="15" t="s">
        <v>939</v>
      </c>
      <c r="E863" s="14">
        <v>23</v>
      </c>
      <c r="F863" s="15">
        <f>_xlfn.XLOOKUP(D863,'Gemini Output'!B:B,'Gemini Output'!C:C,"No Match Yet")</f>
        <v>8</v>
      </c>
      <c r="G863" s="10" t="str">
        <f>_xlfn.XLOOKUP(D863,'Gemini Output'!B:B,'Gemini Output'!E:E,"No Match Yet")</f>
        <v>L2</v>
      </c>
      <c r="H863" s="10"/>
      <c r="I863" s="10"/>
      <c r="J863" s="10"/>
      <c r="K863" s="10"/>
      <c r="L863" s="10"/>
      <c r="M863" s="10"/>
      <c r="N863" s="10"/>
      <c r="O863" s="10"/>
    </row>
    <row r="864" spans="2:15" ht="20.25">
      <c r="B864" s="10"/>
      <c r="C864" s="14">
        <v>861</v>
      </c>
      <c r="D864" s="15" t="s">
        <v>940</v>
      </c>
      <c r="E864" s="14">
        <v>23</v>
      </c>
      <c r="F864" s="15">
        <f>_xlfn.XLOOKUP(D864,'Gemini Output'!B:B,'Gemini Output'!C:C,"No Match Yet")</f>
        <v>5</v>
      </c>
      <c r="G864" s="10" t="str">
        <f>_xlfn.XLOOKUP(D864,'Gemini Output'!B:B,'Gemini Output'!E:E,"No Match Yet")</f>
        <v>L2</v>
      </c>
      <c r="H864" s="10"/>
      <c r="I864" s="10"/>
      <c r="J864" s="10"/>
      <c r="K864" s="10"/>
      <c r="L864" s="10"/>
      <c r="M864" s="10"/>
      <c r="N864" s="10"/>
      <c r="O864" s="10"/>
    </row>
    <row r="865" spans="2:15" ht="20.25">
      <c r="B865" s="10"/>
      <c r="C865" s="14">
        <v>862</v>
      </c>
      <c r="D865" s="15" t="s">
        <v>941</v>
      </c>
      <c r="E865" s="14">
        <v>23</v>
      </c>
      <c r="F865" s="15">
        <f>_xlfn.XLOOKUP(D865,'Gemini Output'!B:B,'Gemini Output'!C:C,"No Match Yet")</f>
        <v>5</v>
      </c>
      <c r="G865" s="10" t="str">
        <f>_xlfn.XLOOKUP(D865,'Gemini Output'!B:B,'Gemini Output'!E:E,"No Match Yet")</f>
        <v>L3</v>
      </c>
      <c r="H865" s="10"/>
      <c r="I865" s="10"/>
      <c r="J865" s="10"/>
      <c r="K865" s="10"/>
      <c r="L865" s="10"/>
      <c r="M865" s="10"/>
      <c r="N865" s="10"/>
      <c r="O865" s="10"/>
    </row>
    <row r="866" spans="2:15" ht="20.25">
      <c r="B866" s="10"/>
      <c r="C866" s="14">
        <v>863</v>
      </c>
      <c r="D866" s="15" t="s">
        <v>942</v>
      </c>
      <c r="E866" s="14">
        <v>23</v>
      </c>
      <c r="F866" s="15">
        <f>_xlfn.XLOOKUP(D866,'Gemini Output'!B:B,'Gemini Output'!C:C,"No Match Yet")</f>
        <v>15</v>
      </c>
      <c r="G866" s="10" t="str">
        <f>_xlfn.XLOOKUP(D866,'Gemini Output'!B:B,'Gemini Output'!E:E,"No Match Yet")</f>
        <v>L2</v>
      </c>
      <c r="H866" s="10"/>
      <c r="I866" s="10"/>
      <c r="J866" s="10"/>
      <c r="K866" s="10"/>
      <c r="L866" s="10"/>
      <c r="M866" s="10"/>
      <c r="N866" s="10"/>
      <c r="O866" s="10"/>
    </row>
    <row r="867" spans="2:15" ht="20.25">
      <c r="B867" s="10"/>
      <c r="C867" s="14">
        <v>864</v>
      </c>
      <c r="D867" s="15" t="s">
        <v>943</v>
      </c>
      <c r="E867" s="14">
        <v>23</v>
      </c>
      <c r="F867" s="15">
        <f>_xlfn.XLOOKUP(D867,'Gemini Output'!B:B,'Gemini Output'!C:C,"No Match Yet")</f>
        <v>10</v>
      </c>
      <c r="G867" s="10" t="str">
        <f>_xlfn.XLOOKUP(D867,'Gemini Output'!B:B,'Gemini Output'!E:E,"No Match Yet")</f>
        <v>L1</v>
      </c>
      <c r="H867" s="10"/>
      <c r="I867" s="10"/>
      <c r="J867" s="10"/>
      <c r="K867" s="10"/>
      <c r="L867" s="10"/>
      <c r="M867" s="10"/>
      <c r="N867" s="10"/>
      <c r="O867" s="10"/>
    </row>
    <row r="868" spans="2:15" ht="20.25">
      <c r="B868" s="10"/>
      <c r="C868" s="14">
        <v>865</v>
      </c>
      <c r="D868" s="15" t="s">
        <v>944</v>
      </c>
      <c r="E868" s="14">
        <v>23</v>
      </c>
      <c r="F868" s="15">
        <f>_xlfn.XLOOKUP(D868,'Gemini Output'!B:B,'Gemini Output'!C:C,"No Match Yet")</f>
        <v>3</v>
      </c>
      <c r="G868" s="10" t="str">
        <f>_xlfn.XLOOKUP(D868,'Gemini Output'!B:B,'Gemini Output'!E:E,"No Match Yet")</f>
        <v>L2</v>
      </c>
      <c r="H868" s="10"/>
      <c r="I868" s="10"/>
      <c r="J868" s="10"/>
      <c r="K868" s="10"/>
      <c r="L868" s="10"/>
      <c r="M868" s="10"/>
      <c r="N868" s="10"/>
      <c r="O868" s="10"/>
    </row>
    <row r="869" spans="2:15" ht="20.25">
      <c r="B869" s="10"/>
      <c r="C869" s="14">
        <v>866</v>
      </c>
      <c r="D869" s="15" t="s">
        <v>945</v>
      </c>
      <c r="E869" s="14">
        <v>23</v>
      </c>
      <c r="F869" s="15">
        <f>_xlfn.XLOOKUP(D869,'Gemini Output'!B:B,'Gemini Output'!C:C,"No Match Yet")</f>
        <v>8</v>
      </c>
      <c r="G869" s="10" t="str">
        <f>_xlfn.XLOOKUP(D869,'Gemini Output'!B:B,'Gemini Output'!E:E,"No Match Yet")</f>
        <v>L3</v>
      </c>
      <c r="H869" s="10"/>
      <c r="I869" s="10"/>
      <c r="J869" s="10"/>
      <c r="K869" s="10"/>
      <c r="L869" s="10"/>
      <c r="M869" s="10"/>
      <c r="N869" s="10"/>
      <c r="O869" s="10"/>
    </row>
    <row r="870" spans="2:15" ht="20.25">
      <c r="B870" s="10"/>
      <c r="C870" s="14">
        <v>867</v>
      </c>
      <c r="D870" s="15" t="s">
        <v>946</v>
      </c>
      <c r="E870" s="14">
        <v>23</v>
      </c>
      <c r="F870" s="15">
        <f>_xlfn.XLOOKUP(D870,'Gemini Output'!B:B,'Gemini Output'!C:C,"No Match Yet")</f>
        <v>6</v>
      </c>
      <c r="G870" s="10" t="str">
        <f>_xlfn.XLOOKUP(D870,'Gemini Output'!B:B,'Gemini Output'!E:E,"No Match Yet")</f>
        <v>L2</v>
      </c>
      <c r="H870" s="10"/>
      <c r="I870" s="10"/>
      <c r="J870" s="10"/>
      <c r="K870" s="10"/>
      <c r="L870" s="10"/>
      <c r="M870" s="10"/>
      <c r="N870" s="10"/>
      <c r="O870" s="10"/>
    </row>
    <row r="871" spans="2:15" ht="20.25">
      <c r="B871" s="10"/>
      <c r="C871" s="14">
        <v>868</v>
      </c>
      <c r="D871" s="15" t="s">
        <v>947</v>
      </c>
      <c r="E871" s="14">
        <v>23</v>
      </c>
      <c r="F871" s="15">
        <f>_xlfn.XLOOKUP(D871,'Gemini Output'!B:B,'Gemini Output'!C:C,"No Match Yet")</f>
        <v>1</v>
      </c>
      <c r="G871" s="10" t="str">
        <f>_xlfn.XLOOKUP(D871,'Gemini Output'!B:B,'Gemini Output'!E:E,"No Match Yet")</f>
        <v>L2</v>
      </c>
      <c r="H871" s="10"/>
      <c r="I871" s="10"/>
      <c r="J871" s="10"/>
      <c r="K871" s="10"/>
      <c r="L871" s="10"/>
      <c r="M871" s="10"/>
      <c r="N871" s="10"/>
      <c r="O871" s="10"/>
    </row>
    <row r="872" spans="2:15" ht="20.25">
      <c r="B872" s="10"/>
      <c r="C872" s="14">
        <v>869</v>
      </c>
      <c r="D872" s="15" t="s">
        <v>948</v>
      </c>
      <c r="E872" s="14">
        <v>23</v>
      </c>
      <c r="F872" s="15">
        <f>_xlfn.XLOOKUP(D872,'Gemini Output'!B:B,'Gemini Output'!C:C,"No Match Yet")</f>
        <v>5</v>
      </c>
      <c r="G872" s="10" t="str">
        <f>_xlfn.XLOOKUP(D872,'Gemini Output'!B:B,'Gemini Output'!E:E,"No Match Yet")</f>
        <v>L2</v>
      </c>
      <c r="H872" s="10"/>
      <c r="I872" s="10"/>
      <c r="J872" s="10"/>
      <c r="K872" s="10"/>
      <c r="L872" s="10"/>
      <c r="M872" s="10"/>
      <c r="N872" s="10"/>
      <c r="O872" s="10"/>
    </row>
    <row r="873" spans="2:15" ht="20.25">
      <c r="B873" s="10"/>
      <c r="C873" s="14">
        <v>870</v>
      </c>
      <c r="D873" s="15" t="s">
        <v>949</v>
      </c>
      <c r="E873" s="14">
        <v>23</v>
      </c>
      <c r="F873" s="15">
        <f>_xlfn.XLOOKUP(D873,'Gemini Output'!B:B,'Gemini Output'!C:C,"No Match Yet")</f>
        <v>10</v>
      </c>
      <c r="G873" s="10" t="str">
        <f>_xlfn.XLOOKUP(D873,'Gemini Output'!B:B,'Gemini Output'!E:E,"No Match Yet")</f>
        <v>L3</v>
      </c>
      <c r="H873" s="10"/>
      <c r="I873" s="10"/>
      <c r="J873" s="10"/>
      <c r="K873" s="10"/>
      <c r="L873" s="10"/>
      <c r="M873" s="10"/>
      <c r="N873" s="10"/>
      <c r="O873" s="10"/>
    </row>
    <row r="874" spans="2:15" ht="20.25">
      <c r="B874" s="10"/>
      <c r="C874" s="14">
        <v>871</v>
      </c>
      <c r="D874" s="15" t="s">
        <v>950</v>
      </c>
      <c r="E874" s="14">
        <v>23</v>
      </c>
      <c r="F874" s="15">
        <f>_xlfn.XLOOKUP(D874,'Gemini Output'!B:B,'Gemini Output'!C:C,"No Match Yet")</f>
        <v>8</v>
      </c>
      <c r="G874" s="10" t="str">
        <f>_xlfn.XLOOKUP(D874,'Gemini Output'!B:B,'Gemini Output'!E:E,"No Match Yet")</f>
        <v>L2</v>
      </c>
      <c r="H874" s="10"/>
      <c r="I874" s="10"/>
      <c r="J874" s="10"/>
      <c r="K874" s="10"/>
      <c r="L874" s="10"/>
      <c r="M874" s="10"/>
      <c r="N874" s="10"/>
      <c r="O874" s="10"/>
    </row>
    <row r="875" spans="2:15" ht="20.25">
      <c r="B875" s="10"/>
      <c r="C875" s="14">
        <v>872</v>
      </c>
      <c r="D875" s="15" t="s">
        <v>951</v>
      </c>
      <c r="E875" s="14">
        <v>23</v>
      </c>
      <c r="F875" s="15">
        <f>_xlfn.XLOOKUP(D875,'Gemini Output'!B:B,'Gemini Output'!C:C,"No Match Yet")</f>
        <v>13</v>
      </c>
      <c r="G875" s="10" t="str">
        <f>_xlfn.XLOOKUP(D875,'Gemini Output'!B:B,'Gemini Output'!E:E,"No Match Yet")</f>
        <v>L2</v>
      </c>
      <c r="H875" s="10"/>
      <c r="I875" s="10"/>
      <c r="J875" s="10"/>
      <c r="K875" s="10"/>
      <c r="L875" s="10"/>
      <c r="M875" s="10"/>
      <c r="N875" s="10"/>
      <c r="O875" s="10"/>
    </row>
    <row r="876" spans="2:15" ht="20.25">
      <c r="B876" s="10"/>
      <c r="C876" s="14">
        <v>873</v>
      </c>
      <c r="D876" s="15" t="s">
        <v>952</v>
      </c>
      <c r="E876" s="14">
        <v>23</v>
      </c>
      <c r="F876" s="15">
        <f>_xlfn.XLOOKUP(D876,'Gemini Output'!B:B,'Gemini Output'!C:C,"No Match Yet")</f>
        <v>15</v>
      </c>
      <c r="G876" s="10" t="str">
        <f>_xlfn.XLOOKUP(D876,'Gemini Output'!B:B,'Gemini Output'!E:E,"No Match Yet")</f>
        <v>L1</v>
      </c>
      <c r="H876" s="10"/>
      <c r="I876" s="10"/>
      <c r="J876" s="10"/>
      <c r="K876" s="10"/>
      <c r="L876" s="10"/>
      <c r="M876" s="10"/>
      <c r="N876" s="10"/>
      <c r="O876" s="10"/>
    </row>
    <row r="877" spans="2:15" ht="20.25">
      <c r="B877" s="10"/>
      <c r="C877" s="14">
        <v>874</v>
      </c>
      <c r="D877" s="15" t="s">
        <v>953</v>
      </c>
      <c r="E877" s="14">
        <v>23</v>
      </c>
      <c r="F877" s="15">
        <f>_xlfn.XLOOKUP(D877,'Gemini Output'!B:B,'Gemini Output'!C:C,"No Match Yet")</f>
        <v>10</v>
      </c>
      <c r="G877" s="10" t="str">
        <f>_xlfn.XLOOKUP(D877,'Gemini Output'!B:B,'Gemini Output'!E:E,"No Match Yet")</f>
        <v>L1</v>
      </c>
      <c r="H877" s="10"/>
      <c r="I877" s="10"/>
      <c r="J877" s="10"/>
      <c r="K877" s="10"/>
      <c r="L877" s="10"/>
      <c r="M877" s="10"/>
      <c r="N877" s="10"/>
      <c r="O877" s="10"/>
    </row>
    <row r="878" spans="2:15" ht="20.25">
      <c r="B878" s="10"/>
      <c r="C878" s="14">
        <v>875</v>
      </c>
      <c r="D878" s="15" t="s">
        <v>954</v>
      </c>
      <c r="E878" s="14">
        <v>23</v>
      </c>
      <c r="F878" s="15">
        <f>_xlfn.XLOOKUP(D878,'Gemini Output'!B:B,'Gemini Output'!C:C,"No Match Yet")</f>
        <v>1</v>
      </c>
      <c r="G878" s="10" t="str">
        <f>_xlfn.XLOOKUP(D878,'Gemini Output'!B:B,'Gemini Output'!E:E,"No Match Yet")</f>
        <v>L2</v>
      </c>
      <c r="H878" s="10"/>
      <c r="I878" s="10"/>
      <c r="J878" s="10"/>
      <c r="K878" s="10"/>
      <c r="L878" s="10"/>
      <c r="M878" s="10"/>
      <c r="N878" s="10"/>
      <c r="O878" s="10"/>
    </row>
    <row r="879" spans="2:15" ht="20.25">
      <c r="B879" s="10"/>
      <c r="C879" s="14">
        <v>876</v>
      </c>
      <c r="D879" s="15" t="s">
        <v>955</v>
      </c>
      <c r="E879" s="14">
        <v>23</v>
      </c>
      <c r="F879" s="15">
        <f>_xlfn.XLOOKUP(D879,'Gemini Output'!B:B,'Gemini Output'!C:C,"No Match Yet")</f>
        <v>10</v>
      </c>
      <c r="G879" s="10" t="str">
        <f>_xlfn.XLOOKUP(D879,'Gemini Output'!B:B,'Gemini Output'!E:E,"No Match Yet")</f>
        <v>L1</v>
      </c>
      <c r="H879" s="10"/>
      <c r="I879" s="10"/>
      <c r="J879" s="10"/>
      <c r="K879" s="10"/>
      <c r="L879" s="10"/>
      <c r="M879" s="10"/>
      <c r="N879" s="10"/>
      <c r="O879" s="10"/>
    </row>
    <row r="880" spans="2:15" ht="20.25">
      <c r="B880" s="10"/>
      <c r="C880" s="14">
        <v>877</v>
      </c>
      <c r="D880" s="15" t="s">
        <v>956</v>
      </c>
      <c r="E880" s="14">
        <v>23</v>
      </c>
      <c r="F880" s="15">
        <f>_xlfn.XLOOKUP(D880,'Gemini Output'!B:B,'Gemini Output'!C:C,"No Match Yet")</f>
        <v>13</v>
      </c>
      <c r="G880" s="10" t="str">
        <f>_xlfn.XLOOKUP(D880,'Gemini Output'!B:B,'Gemini Output'!E:E,"No Match Yet")</f>
        <v>L1</v>
      </c>
      <c r="H880" s="10"/>
      <c r="I880" s="10"/>
      <c r="J880" s="10"/>
      <c r="K880" s="10"/>
      <c r="L880" s="10"/>
      <c r="M880" s="10"/>
      <c r="N880" s="10"/>
      <c r="O880" s="10"/>
    </row>
    <row r="881" spans="2:15" ht="20.25">
      <c r="B881" s="10"/>
      <c r="C881" s="14">
        <v>878</v>
      </c>
      <c r="D881" s="15" t="s">
        <v>957</v>
      </c>
      <c r="E881" s="14">
        <v>23</v>
      </c>
      <c r="F881" s="15">
        <f>_xlfn.XLOOKUP(D881,'Gemini Output'!B:B,'Gemini Output'!C:C,"No Match Yet")</f>
        <v>9</v>
      </c>
      <c r="G881" s="10" t="str">
        <f>_xlfn.XLOOKUP(D881,'Gemini Output'!B:B,'Gemini Output'!E:E,"No Match Yet")</f>
        <v>L2</v>
      </c>
      <c r="H881" s="10"/>
      <c r="I881" s="10"/>
      <c r="J881" s="10"/>
      <c r="K881" s="10"/>
      <c r="L881" s="10"/>
      <c r="M881" s="10"/>
      <c r="N881" s="10"/>
      <c r="O881" s="10"/>
    </row>
    <row r="882" spans="2:15" ht="20.25">
      <c r="B882" s="10"/>
      <c r="C882" s="14">
        <v>879</v>
      </c>
      <c r="D882" s="15" t="s">
        <v>958</v>
      </c>
      <c r="E882" s="14">
        <v>23</v>
      </c>
      <c r="F882" s="15">
        <f>_xlfn.XLOOKUP(D882,'Gemini Output'!B:B,'Gemini Output'!C:C,"No Match Yet")</f>
        <v>15</v>
      </c>
      <c r="G882" s="10" t="str">
        <f>_xlfn.XLOOKUP(D882,'Gemini Output'!B:B,'Gemini Output'!E:E,"No Match Yet")</f>
        <v>L1</v>
      </c>
      <c r="H882" s="10"/>
      <c r="I882" s="10"/>
      <c r="J882" s="10"/>
      <c r="K882" s="10"/>
      <c r="L882" s="10"/>
      <c r="M882" s="10"/>
      <c r="N882" s="10"/>
      <c r="O882" s="10"/>
    </row>
    <row r="883" spans="2:15" ht="20.25">
      <c r="B883" s="10"/>
      <c r="C883" s="14">
        <v>880</v>
      </c>
      <c r="D883" s="15" t="s">
        <v>959</v>
      </c>
      <c r="E883" s="14">
        <v>23</v>
      </c>
      <c r="F883" s="15">
        <f>_xlfn.XLOOKUP(D883,'Gemini Output'!B:B,'Gemini Output'!C:C,"No Match Yet")</f>
        <v>8</v>
      </c>
      <c r="G883" s="10" t="str">
        <f>_xlfn.XLOOKUP(D883,'Gemini Output'!B:B,'Gemini Output'!E:E,"No Match Yet")</f>
        <v>L3</v>
      </c>
      <c r="H883" s="10"/>
      <c r="I883" s="10"/>
      <c r="J883" s="10"/>
      <c r="K883" s="10"/>
      <c r="L883" s="10"/>
      <c r="M883" s="10"/>
      <c r="N883" s="10"/>
      <c r="O883" s="10"/>
    </row>
    <row r="884" spans="2:15" ht="20.25">
      <c r="B884" s="10"/>
      <c r="C884" s="14">
        <v>881</v>
      </c>
      <c r="D884" s="15" t="s">
        <v>960</v>
      </c>
      <c r="E884" s="14">
        <v>23</v>
      </c>
      <c r="F884" s="15">
        <f>_xlfn.XLOOKUP(D884,'Gemini Output'!B:B,'Gemini Output'!C:C,"No Match Yet")</f>
        <v>5</v>
      </c>
      <c r="G884" s="10" t="str">
        <f>_xlfn.XLOOKUP(D884,'Gemini Output'!B:B,'Gemini Output'!E:E,"No Match Yet")</f>
        <v>L2</v>
      </c>
      <c r="H884" s="10"/>
      <c r="I884" s="10"/>
      <c r="J884" s="10"/>
      <c r="K884" s="10"/>
      <c r="L884" s="10"/>
      <c r="M884" s="10"/>
      <c r="N884" s="10"/>
      <c r="O884" s="10"/>
    </row>
    <row r="885" spans="2:15" ht="20.25">
      <c r="B885" s="10"/>
      <c r="C885" s="14">
        <v>882</v>
      </c>
      <c r="D885" s="15" t="s">
        <v>961</v>
      </c>
      <c r="E885" s="14">
        <v>23</v>
      </c>
      <c r="F885" s="15">
        <f>_xlfn.XLOOKUP(D885,'Gemini Output'!B:B,'Gemini Output'!C:C,"No Match Yet")</f>
        <v>8</v>
      </c>
      <c r="G885" s="10" t="str">
        <f>_xlfn.XLOOKUP(D885,'Gemini Output'!B:B,'Gemini Output'!E:E,"No Match Yet")</f>
        <v>L2</v>
      </c>
      <c r="H885" s="10"/>
      <c r="I885" s="10"/>
      <c r="J885" s="10"/>
      <c r="K885" s="10"/>
      <c r="L885" s="10"/>
      <c r="M885" s="10"/>
      <c r="N885" s="10"/>
      <c r="O885" s="10"/>
    </row>
    <row r="886" spans="2:15" ht="20.25">
      <c r="B886" s="10"/>
      <c r="C886" s="14">
        <v>883</v>
      </c>
      <c r="D886" s="15" t="s">
        <v>962</v>
      </c>
      <c r="E886" s="14">
        <v>23</v>
      </c>
      <c r="F886" s="15">
        <f>_xlfn.XLOOKUP(D886,'Gemini Output'!B:B,'Gemini Output'!C:C,"No Match Yet")</f>
        <v>1</v>
      </c>
      <c r="G886" s="10" t="str">
        <f>_xlfn.XLOOKUP(D886,'Gemini Output'!B:B,'Gemini Output'!E:E,"No Match Yet")</f>
        <v>L2</v>
      </c>
      <c r="H886" s="10"/>
      <c r="I886" s="10"/>
      <c r="J886" s="10"/>
      <c r="K886" s="10"/>
      <c r="L886" s="10"/>
      <c r="M886" s="10"/>
      <c r="N886" s="10"/>
      <c r="O886" s="10"/>
    </row>
    <row r="887" spans="2:15" ht="20.25">
      <c r="B887" s="10"/>
      <c r="C887" s="14">
        <v>884</v>
      </c>
      <c r="D887" s="15" t="s">
        <v>963</v>
      </c>
      <c r="E887" s="14">
        <v>23</v>
      </c>
      <c r="F887" s="15">
        <f>_xlfn.XLOOKUP(D887,'Gemini Output'!B:B,'Gemini Output'!C:C,"No Match Yet")</f>
        <v>12</v>
      </c>
      <c r="G887" s="10" t="str">
        <f>_xlfn.XLOOKUP(D887,'Gemini Output'!B:B,'Gemini Output'!E:E,"No Match Yet")</f>
        <v>L1</v>
      </c>
      <c r="H887" s="10"/>
      <c r="I887" s="10"/>
      <c r="J887" s="10"/>
      <c r="K887" s="10"/>
      <c r="L887" s="10"/>
      <c r="M887" s="10"/>
      <c r="N887" s="10"/>
      <c r="O887" s="10"/>
    </row>
    <row r="888" spans="2:15" ht="20.25">
      <c r="B888" s="10"/>
      <c r="C888" s="14">
        <v>885</v>
      </c>
      <c r="D888" s="15" t="s">
        <v>964</v>
      </c>
      <c r="E888" s="14">
        <v>23</v>
      </c>
      <c r="F888" s="15">
        <f>_xlfn.XLOOKUP(D888,'Gemini Output'!B:B,'Gemini Output'!C:C,"No Match Yet")</f>
        <v>5</v>
      </c>
      <c r="G888" s="10" t="str">
        <f>_xlfn.XLOOKUP(D888,'Gemini Output'!B:B,'Gemini Output'!E:E,"No Match Yet")</f>
        <v>L2</v>
      </c>
      <c r="H888" s="10"/>
      <c r="I888" s="10"/>
      <c r="J888" s="10"/>
      <c r="K888" s="10"/>
      <c r="L888" s="10"/>
      <c r="M888" s="10"/>
      <c r="N888" s="10"/>
      <c r="O888" s="10"/>
    </row>
    <row r="889" spans="2:15" ht="20.25">
      <c r="B889" s="10"/>
      <c r="C889" s="14">
        <v>886</v>
      </c>
      <c r="D889" s="15" t="s">
        <v>965</v>
      </c>
      <c r="E889" s="14">
        <v>23</v>
      </c>
      <c r="F889" s="15">
        <f>_xlfn.XLOOKUP(D889,'Gemini Output'!B:B,'Gemini Output'!C:C,"No Match Yet")</f>
        <v>6</v>
      </c>
      <c r="G889" s="10" t="str">
        <f>_xlfn.XLOOKUP(D889,'Gemini Output'!B:B,'Gemini Output'!E:E,"No Match Yet")</f>
        <v>L2</v>
      </c>
      <c r="H889" s="10"/>
      <c r="I889" s="10"/>
      <c r="J889" s="10"/>
      <c r="K889" s="10"/>
      <c r="L889" s="10"/>
      <c r="M889" s="10"/>
      <c r="N889" s="10"/>
      <c r="O889" s="10"/>
    </row>
    <row r="890" spans="2:15" ht="20.25">
      <c r="B890" s="10"/>
      <c r="C890" s="14">
        <v>887</v>
      </c>
      <c r="D890" s="15" t="s">
        <v>966</v>
      </c>
      <c r="E890" s="14">
        <v>23</v>
      </c>
      <c r="F890" s="15">
        <f>_xlfn.XLOOKUP(D890,'Gemini Output'!B:B,'Gemini Output'!C:C,"No Match Yet")</f>
        <v>10</v>
      </c>
      <c r="G890" s="10" t="str">
        <f>_xlfn.XLOOKUP(D890,'Gemini Output'!B:B,'Gemini Output'!E:E,"No Match Yet")</f>
        <v>L2</v>
      </c>
      <c r="H890" s="10"/>
      <c r="I890" s="10"/>
      <c r="J890" s="10"/>
      <c r="K890" s="10"/>
      <c r="L890" s="10"/>
      <c r="M890" s="10"/>
      <c r="N890" s="10"/>
      <c r="O890" s="10"/>
    </row>
    <row r="891" spans="2:15" ht="20.25">
      <c r="B891" s="10"/>
      <c r="C891" s="14">
        <v>888</v>
      </c>
      <c r="D891" s="15" t="s">
        <v>967</v>
      </c>
      <c r="E891" s="14">
        <v>23</v>
      </c>
      <c r="F891" s="15">
        <f>_xlfn.XLOOKUP(D891,'Gemini Output'!B:B,'Gemini Output'!C:C,"No Match Yet")</f>
        <v>2</v>
      </c>
      <c r="G891" s="10" t="str">
        <f>_xlfn.XLOOKUP(D891,'Gemini Output'!B:B,'Gemini Output'!E:E,"No Match Yet")</f>
        <v>L2</v>
      </c>
      <c r="H891" s="10"/>
      <c r="I891" s="10"/>
      <c r="J891" s="10"/>
      <c r="K891" s="10"/>
      <c r="L891" s="10"/>
      <c r="M891" s="10"/>
      <c r="N891" s="10"/>
      <c r="O891" s="10"/>
    </row>
    <row r="892" spans="2:15" ht="20.25">
      <c r="B892" s="10"/>
      <c r="C892" s="14">
        <v>889</v>
      </c>
      <c r="D892" s="15" t="s">
        <v>968</v>
      </c>
      <c r="E892" s="14">
        <v>23</v>
      </c>
      <c r="F892" s="15">
        <f>_xlfn.XLOOKUP(D892,'Gemini Output'!B:B,'Gemini Output'!C:C,"No Match Yet")</f>
        <v>1</v>
      </c>
      <c r="G892" s="10" t="str">
        <f>_xlfn.XLOOKUP(D892,'Gemini Output'!B:B,'Gemini Output'!E:E,"No Match Yet")</f>
        <v>L2</v>
      </c>
      <c r="H892" s="10"/>
      <c r="I892" s="10"/>
      <c r="J892" s="10"/>
      <c r="K892" s="10"/>
      <c r="L892" s="10"/>
      <c r="M892" s="10"/>
      <c r="N892" s="10"/>
      <c r="O892" s="10"/>
    </row>
    <row r="893" spans="2:15" ht="20.25">
      <c r="B893" s="10"/>
      <c r="C893" s="14">
        <v>890</v>
      </c>
      <c r="D893" s="15" t="s">
        <v>969</v>
      </c>
      <c r="E893" s="14">
        <v>23</v>
      </c>
      <c r="F893" s="15">
        <f>_xlfn.XLOOKUP(D893,'Gemini Output'!B:B,'Gemini Output'!C:C,"No Match Yet")</f>
        <v>15</v>
      </c>
      <c r="G893" s="10" t="str">
        <f>_xlfn.XLOOKUP(D893,'Gemini Output'!B:B,'Gemini Output'!E:E,"No Match Yet")</f>
        <v>L1</v>
      </c>
      <c r="H893" s="10"/>
      <c r="I893" s="10"/>
      <c r="J893" s="10"/>
      <c r="K893" s="10"/>
      <c r="L893" s="10"/>
      <c r="M893" s="10"/>
      <c r="N893" s="10"/>
      <c r="O893" s="10"/>
    </row>
    <row r="894" spans="2:15" ht="20.25">
      <c r="B894" s="10"/>
      <c r="C894" s="14">
        <v>891</v>
      </c>
      <c r="D894" s="15" t="s">
        <v>970</v>
      </c>
      <c r="E894" s="14">
        <v>23</v>
      </c>
      <c r="F894" s="15">
        <f>_xlfn.XLOOKUP(D894,'Gemini Output'!B:B,'Gemini Output'!C:C,"No Match Yet")</f>
        <v>4</v>
      </c>
      <c r="G894" s="10" t="str">
        <f>_xlfn.XLOOKUP(D894,'Gemini Output'!B:B,'Gemini Output'!E:E,"No Match Yet")</f>
        <v>L2</v>
      </c>
      <c r="H894" s="10"/>
      <c r="I894" s="10"/>
      <c r="J894" s="10"/>
      <c r="K894" s="10"/>
      <c r="L894" s="10"/>
      <c r="M894" s="10"/>
      <c r="N894" s="10"/>
      <c r="O894" s="10"/>
    </row>
    <row r="895" spans="2:15" ht="20.25">
      <c r="B895" s="10"/>
      <c r="C895" s="14">
        <v>892</v>
      </c>
      <c r="D895" s="15" t="s">
        <v>971</v>
      </c>
      <c r="E895" s="14">
        <v>23</v>
      </c>
      <c r="F895" s="15">
        <f>_xlfn.XLOOKUP(D895,'Gemini Output'!B:B,'Gemini Output'!C:C,"No Match Yet")</f>
        <v>3</v>
      </c>
      <c r="G895" s="10" t="str">
        <f>_xlfn.XLOOKUP(D895,'Gemini Output'!B:B,'Gemini Output'!E:E,"No Match Yet")</f>
        <v>L1</v>
      </c>
      <c r="H895" s="10"/>
      <c r="I895" s="10"/>
      <c r="J895" s="10"/>
      <c r="K895" s="10"/>
      <c r="L895" s="10"/>
      <c r="M895" s="10"/>
      <c r="N895" s="10"/>
      <c r="O895" s="10"/>
    </row>
    <row r="896" spans="2:15" ht="20.25">
      <c r="B896" s="10"/>
      <c r="C896" s="14">
        <v>893</v>
      </c>
      <c r="D896" s="15" t="s">
        <v>972</v>
      </c>
      <c r="E896" s="14">
        <v>23</v>
      </c>
      <c r="F896" s="15">
        <f>_xlfn.XLOOKUP(D896,'Gemini Output'!B:B,'Gemini Output'!C:C,"No Match Yet")</f>
        <v>4</v>
      </c>
      <c r="G896" s="10" t="str">
        <f>_xlfn.XLOOKUP(D896,'Gemini Output'!B:B,'Gemini Output'!E:E,"No Match Yet")</f>
        <v>L2</v>
      </c>
      <c r="H896" s="10"/>
      <c r="I896" s="10"/>
      <c r="J896" s="10"/>
      <c r="K896" s="10"/>
      <c r="L896" s="10"/>
      <c r="M896" s="10"/>
      <c r="N896" s="10"/>
      <c r="O896" s="10"/>
    </row>
    <row r="897" spans="2:15" ht="20.25">
      <c r="B897" s="10"/>
      <c r="C897" s="14">
        <v>894</v>
      </c>
      <c r="D897" s="15" t="s">
        <v>973</v>
      </c>
      <c r="E897" s="14">
        <v>23</v>
      </c>
      <c r="F897" s="15">
        <f>_xlfn.XLOOKUP(D897,'Gemini Output'!B:B,'Gemini Output'!C:C,"No Match Yet")</f>
        <v>12</v>
      </c>
      <c r="G897" s="10" t="str">
        <f>_xlfn.XLOOKUP(D897,'Gemini Output'!B:B,'Gemini Output'!E:E,"No Match Yet")</f>
        <v>L2</v>
      </c>
      <c r="H897" s="10"/>
      <c r="I897" s="10"/>
      <c r="J897" s="10"/>
      <c r="K897" s="10"/>
      <c r="L897" s="10"/>
      <c r="M897" s="10"/>
      <c r="N897" s="10"/>
      <c r="O897" s="10"/>
    </row>
    <row r="898" spans="2:15" ht="20.25">
      <c r="B898" s="10"/>
      <c r="C898" s="14">
        <v>895</v>
      </c>
      <c r="D898" s="15" t="s">
        <v>974</v>
      </c>
      <c r="E898" s="14">
        <v>23</v>
      </c>
      <c r="F898" s="15">
        <f>_xlfn.XLOOKUP(D898,'Gemini Output'!B:B,'Gemini Output'!C:C,"No Match Yet")</f>
        <v>4</v>
      </c>
      <c r="G898" s="10" t="str">
        <f>_xlfn.XLOOKUP(D898,'Gemini Output'!B:B,'Gemini Output'!E:E,"No Match Yet")</f>
        <v>L2</v>
      </c>
      <c r="H898" s="10"/>
      <c r="I898" s="10"/>
      <c r="J898" s="10"/>
      <c r="K898" s="10"/>
      <c r="L898" s="10"/>
      <c r="M898" s="10"/>
      <c r="N898" s="10"/>
      <c r="O898" s="10"/>
    </row>
    <row r="899" spans="2:15" ht="20.25">
      <c r="B899" s="10"/>
      <c r="C899" s="14">
        <v>896</v>
      </c>
      <c r="D899" s="15" t="s">
        <v>975</v>
      </c>
      <c r="E899" s="14">
        <v>23</v>
      </c>
      <c r="F899" s="15">
        <f>_xlfn.XLOOKUP(D899,'Gemini Output'!B:B,'Gemini Output'!C:C,"No Match Yet")</f>
        <v>7</v>
      </c>
      <c r="G899" s="10" t="str">
        <f>_xlfn.XLOOKUP(D899,'Gemini Output'!B:B,'Gemini Output'!E:E,"No Match Yet")</f>
        <v>L2</v>
      </c>
      <c r="H899" s="10"/>
      <c r="I899" s="10"/>
      <c r="J899" s="10"/>
      <c r="K899" s="10"/>
      <c r="L899" s="10"/>
      <c r="M899" s="10"/>
      <c r="N899" s="10"/>
      <c r="O899" s="10"/>
    </row>
    <row r="900" spans="2:15" ht="20.25">
      <c r="B900" s="10"/>
      <c r="C900" s="14">
        <v>897</v>
      </c>
      <c r="D900" s="15" t="s">
        <v>976</v>
      </c>
      <c r="E900" s="14">
        <v>23</v>
      </c>
      <c r="F900" s="15">
        <f>_xlfn.XLOOKUP(D900,'Gemini Output'!B:B,'Gemini Output'!C:C,"No Match Yet")</f>
        <v>13</v>
      </c>
      <c r="G900" s="10" t="str">
        <f>_xlfn.XLOOKUP(D900,'Gemini Output'!B:B,'Gemini Output'!E:E,"No Match Yet")</f>
        <v>L1</v>
      </c>
      <c r="H900" s="10"/>
      <c r="I900" s="10"/>
      <c r="J900" s="10"/>
      <c r="K900" s="10"/>
      <c r="L900" s="10"/>
      <c r="M900" s="10"/>
      <c r="N900" s="10"/>
      <c r="O900" s="10"/>
    </row>
    <row r="901" spans="2:15" ht="20.25">
      <c r="B901" s="10"/>
      <c r="C901" s="14">
        <v>898</v>
      </c>
      <c r="D901" s="15" t="s">
        <v>977</v>
      </c>
      <c r="E901" s="14">
        <v>23</v>
      </c>
      <c r="F901" s="15">
        <f>_xlfn.XLOOKUP(D901,'Gemini Output'!B:B,'Gemini Output'!C:C,"No Match Yet")</f>
        <v>1</v>
      </c>
      <c r="G901" s="10" t="str">
        <f>_xlfn.XLOOKUP(D901,'Gemini Output'!B:B,'Gemini Output'!E:E,"No Match Yet")</f>
        <v>L1</v>
      </c>
      <c r="H901" s="10"/>
      <c r="I901" s="10"/>
      <c r="J901" s="10"/>
      <c r="K901" s="10"/>
      <c r="L901" s="10"/>
      <c r="M901" s="10"/>
      <c r="N901" s="10"/>
      <c r="O901" s="10"/>
    </row>
    <row r="902" spans="2:15" ht="20.25">
      <c r="B902" s="10"/>
      <c r="C902" s="14">
        <v>899</v>
      </c>
      <c r="D902" s="15" t="s">
        <v>978</v>
      </c>
      <c r="E902" s="14">
        <v>23</v>
      </c>
      <c r="F902" s="15">
        <f>_xlfn.XLOOKUP(D902,'Gemini Output'!B:B,'Gemini Output'!C:C,"No Match Yet")</f>
        <v>1</v>
      </c>
      <c r="G902" s="10" t="str">
        <f>_xlfn.XLOOKUP(D902,'Gemini Output'!B:B,'Gemini Output'!E:E,"No Match Yet")</f>
        <v>L2</v>
      </c>
      <c r="H902" s="10"/>
      <c r="I902" s="10"/>
      <c r="J902" s="10"/>
      <c r="K902" s="10"/>
      <c r="L902" s="10"/>
      <c r="M902" s="10"/>
      <c r="N902" s="10"/>
      <c r="O902" s="10"/>
    </row>
    <row r="903" spans="2:15" ht="20.25">
      <c r="B903" s="10"/>
      <c r="C903" s="14">
        <v>900</v>
      </c>
      <c r="D903" s="15" t="s">
        <v>979</v>
      </c>
      <c r="E903" s="14">
        <v>23</v>
      </c>
      <c r="F903" s="15">
        <f>_xlfn.XLOOKUP(D903,'Gemini Output'!B:B,'Gemini Output'!C:C,"No Match Yet")</f>
        <v>3</v>
      </c>
      <c r="G903" s="10" t="str">
        <f>_xlfn.XLOOKUP(D903,'Gemini Output'!B:B,'Gemini Output'!E:E,"No Match Yet")</f>
        <v>L1</v>
      </c>
      <c r="H903" s="10"/>
      <c r="I903" s="10"/>
      <c r="J903" s="10"/>
      <c r="K903" s="10"/>
      <c r="L903" s="10"/>
      <c r="M903" s="10"/>
      <c r="N903" s="10"/>
      <c r="O903" s="10"/>
    </row>
    <row r="904" spans="2:15" ht="20.25">
      <c r="B904" s="10"/>
      <c r="C904" s="14">
        <v>901</v>
      </c>
      <c r="D904" s="15" t="s">
        <v>980</v>
      </c>
      <c r="E904" s="14"/>
      <c r="F904" s="15">
        <f>_xlfn.XLOOKUP(D904,'Gemini Output'!B:B,'Gemini Output'!C:C,"No Match Yet")</f>
        <v>4</v>
      </c>
      <c r="G904" s="10" t="str">
        <f>_xlfn.XLOOKUP(D904,'Gemini Output'!B:B,'Gemini Output'!E:E,"No Match Yet")</f>
        <v>L2</v>
      </c>
      <c r="H904" s="10"/>
      <c r="I904" s="10"/>
      <c r="J904" s="10"/>
      <c r="K904" s="10"/>
      <c r="L904" s="10"/>
      <c r="M904" s="10"/>
      <c r="N904" s="10"/>
      <c r="O904" s="10"/>
    </row>
    <row r="905" spans="2:15" ht="20.25">
      <c r="B905" s="10"/>
      <c r="C905" s="14">
        <v>902</v>
      </c>
      <c r="D905" s="15" t="s">
        <v>981</v>
      </c>
      <c r="E905" s="14"/>
      <c r="F905" s="15">
        <f>_xlfn.XLOOKUP(D905,'Gemini Output'!B:B,'Gemini Output'!C:C,"No Match Yet")</f>
        <v>13</v>
      </c>
      <c r="G905" s="10" t="str">
        <f>_xlfn.XLOOKUP(D905,'Gemini Output'!B:B,'Gemini Output'!E:E,"No Match Yet")</f>
        <v>L1</v>
      </c>
      <c r="H905" s="10"/>
      <c r="I905" s="10"/>
      <c r="J905" s="10"/>
      <c r="K905" s="10"/>
      <c r="L905" s="10"/>
      <c r="M905" s="10"/>
      <c r="N905" s="10"/>
      <c r="O905" s="10"/>
    </row>
    <row r="906" spans="2:15" ht="20.25">
      <c r="B906" s="10"/>
      <c r="C906" s="14">
        <v>903</v>
      </c>
      <c r="D906" s="15" t="s">
        <v>982</v>
      </c>
      <c r="E906" s="14"/>
      <c r="F906" s="15">
        <f>_xlfn.XLOOKUP(D906,'Gemini Output'!B:B,'Gemini Output'!C:C,"No Match Yet")</f>
        <v>10</v>
      </c>
      <c r="G906" s="10" t="str">
        <f>_xlfn.XLOOKUP(D906,'Gemini Output'!B:B,'Gemini Output'!E:E,"No Match Yet")</f>
        <v>L1</v>
      </c>
      <c r="H906" s="10"/>
      <c r="I906" s="10"/>
      <c r="J906" s="10"/>
      <c r="K906" s="10"/>
      <c r="L906" s="10"/>
      <c r="M906" s="10"/>
      <c r="N906" s="10"/>
      <c r="O906" s="10"/>
    </row>
    <row r="907" spans="2:15" ht="20.25">
      <c r="B907" s="10"/>
      <c r="C907" s="14">
        <v>904</v>
      </c>
      <c r="D907" s="15" t="s">
        <v>983</v>
      </c>
      <c r="E907" s="14">
        <v>22</v>
      </c>
      <c r="F907" s="15">
        <f>_xlfn.XLOOKUP(D907,'Gemini Output'!B:B,'Gemini Output'!C:C,"No Match Yet")</f>
        <v>9</v>
      </c>
      <c r="G907" s="10" t="str">
        <f>_xlfn.XLOOKUP(D907,'Gemini Output'!B:B,'Gemini Output'!E:E,"No Match Yet")</f>
        <v>L1</v>
      </c>
      <c r="H907" s="10"/>
      <c r="I907" s="10"/>
      <c r="J907" s="10"/>
      <c r="K907" s="10"/>
      <c r="L907" s="10"/>
      <c r="M907" s="10"/>
      <c r="N907" s="10"/>
      <c r="O907" s="10"/>
    </row>
    <row r="908" spans="2:15" ht="20.25">
      <c r="B908" s="10"/>
      <c r="C908" s="14">
        <v>905</v>
      </c>
      <c r="D908" s="15" t="s">
        <v>984</v>
      </c>
      <c r="E908" s="14">
        <v>22</v>
      </c>
      <c r="F908" s="15">
        <f>_xlfn.XLOOKUP(D908,'Gemini Output'!B:B,'Gemini Output'!C:C,"No Match Yet")</f>
        <v>14</v>
      </c>
      <c r="G908" s="10" t="str">
        <f>_xlfn.XLOOKUP(D908,'Gemini Output'!B:B,'Gemini Output'!E:E,"No Match Yet")</f>
        <v>L2</v>
      </c>
      <c r="H908" s="10"/>
      <c r="I908" s="10"/>
      <c r="J908" s="10"/>
      <c r="K908" s="10"/>
      <c r="L908" s="10"/>
      <c r="M908" s="10"/>
      <c r="N908" s="10"/>
      <c r="O908" s="10"/>
    </row>
    <row r="909" spans="2:15" ht="20.25">
      <c r="B909" s="10"/>
      <c r="C909" s="14">
        <v>906</v>
      </c>
      <c r="D909" s="15" t="s">
        <v>985</v>
      </c>
      <c r="E909" s="14">
        <v>22</v>
      </c>
      <c r="F909" s="15">
        <f>_xlfn.XLOOKUP(D909,'Gemini Output'!B:B,'Gemini Output'!C:C,"No Match Yet")</f>
        <v>7</v>
      </c>
      <c r="G909" s="10" t="str">
        <f>_xlfn.XLOOKUP(D909,'Gemini Output'!B:B,'Gemini Output'!E:E,"No Match Yet")</f>
        <v>L2</v>
      </c>
      <c r="H909" s="10"/>
      <c r="I909" s="10"/>
      <c r="J909" s="10"/>
      <c r="K909" s="10"/>
      <c r="L909" s="10"/>
      <c r="M909" s="10"/>
      <c r="N909" s="10"/>
      <c r="O909" s="10"/>
    </row>
    <row r="910" spans="2:15" ht="20.25">
      <c r="B910" s="10"/>
      <c r="C910" s="14">
        <v>907</v>
      </c>
      <c r="D910" s="15" t="s">
        <v>986</v>
      </c>
      <c r="E910" s="14">
        <v>22</v>
      </c>
      <c r="F910" s="15">
        <f>_xlfn.XLOOKUP(D910,'Gemini Output'!B:B,'Gemini Output'!C:C,"No Match Yet")</f>
        <v>13</v>
      </c>
      <c r="G910" s="10" t="str">
        <f>_xlfn.XLOOKUP(D910,'Gemini Output'!B:B,'Gemini Output'!E:E,"No Match Yet")</f>
        <v>L1</v>
      </c>
      <c r="H910" s="10"/>
      <c r="I910" s="10"/>
      <c r="J910" s="10"/>
      <c r="K910" s="10"/>
      <c r="L910" s="10"/>
      <c r="M910" s="10"/>
      <c r="N910" s="10"/>
      <c r="O910" s="10"/>
    </row>
    <row r="911" spans="2:15" ht="20.25">
      <c r="B911" s="10"/>
      <c r="C911" s="14">
        <v>908</v>
      </c>
      <c r="D911" s="15" t="s">
        <v>987</v>
      </c>
      <c r="E911" s="14">
        <v>22</v>
      </c>
      <c r="F911" s="15">
        <f>_xlfn.XLOOKUP(D911,'Gemini Output'!B:B,'Gemini Output'!C:C,"No Match Yet")</f>
        <v>15</v>
      </c>
      <c r="G911" s="10" t="str">
        <f>_xlfn.XLOOKUP(D911,'Gemini Output'!B:B,'Gemini Output'!E:E,"No Match Yet")</f>
        <v>L1</v>
      </c>
      <c r="H911" s="10"/>
      <c r="I911" s="10"/>
      <c r="J911" s="10"/>
      <c r="K911" s="10"/>
      <c r="L911" s="10"/>
      <c r="M911" s="10"/>
      <c r="N911" s="10"/>
      <c r="O911" s="10"/>
    </row>
    <row r="912" spans="2:15" ht="20.25">
      <c r="B912" s="10"/>
      <c r="C912" s="14">
        <v>909</v>
      </c>
      <c r="D912" s="15" t="s">
        <v>988</v>
      </c>
      <c r="E912" s="14">
        <v>22</v>
      </c>
      <c r="F912" s="15">
        <f>_xlfn.XLOOKUP(D912,'Gemini Output'!B:B,'Gemini Output'!C:C,"No Match Yet")</f>
        <v>13</v>
      </c>
      <c r="G912" s="10" t="str">
        <f>_xlfn.XLOOKUP(D912,'Gemini Output'!B:B,'Gemini Output'!E:E,"No Match Yet")</f>
        <v>L1</v>
      </c>
      <c r="H912" s="10"/>
      <c r="I912" s="10"/>
      <c r="J912" s="10"/>
      <c r="K912" s="10"/>
      <c r="L912" s="10"/>
      <c r="M912" s="10"/>
      <c r="N912" s="10"/>
      <c r="O912" s="10"/>
    </row>
    <row r="913" spans="2:15" ht="20.25">
      <c r="B913" s="10"/>
      <c r="C913" s="14">
        <v>910</v>
      </c>
      <c r="D913" s="15" t="s">
        <v>989</v>
      </c>
      <c r="E913" s="14">
        <v>22</v>
      </c>
      <c r="F913" s="15">
        <f>_xlfn.XLOOKUP(D913,'Gemini Output'!B:B,'Gemini Output'!C:C,"No Match Yet")</f>
        <v>3</v>
      </c>
      <c r="G913" s="10" t="str">
        <f>_xlfn.XLOOKUP(D913,'Gemini Output'!B:B,'Gemini Output'!E:E,"No Match Yet")</f>
        <v>L1</v>
      </c>
      <c r="H913" s="10"/>
      <c r="I913" s="10"/>
      <c r="J913" s="10"/>
      <c r="K913" s="10"/>
      <c r="L913" s="10"/>
      <c r="M913" s="10"/>
      <c r="N913" s="10"/>
      <c r="O913" s="10"/>
    </row>
    <row r="914" spans="2:15" ht="20.25">
      <c r="B914" s="10"/>
      <c r="C914" s="14">
        <v>911</v>
      </c>
      <c r="D914" s="15" t="s">
        <v>990</v>
      </c>
      <c r="E914" s="14">
        <v>22</v>
      </c>
      <c r="F914" s="15">
        <f>_xlfn.XLOOKUP(D914,'Gemini Output'!B:B,'Gemini Output'!C:C,"No Match Yet")</f>
        <v>11</v>
      </c>
      <c r="G914" s="10" t="str">
        <f>_xlfn.XLOOKUP(D914,'Gemini Output'!B:B,'Gemini Output'!E:E,"No Match Yet")</f>
        <v>L1</v>
      </c>
      <c r="H914" s="10"/>
      <c r="I914" s="10"/>
      <c r="J914" s="10"/>
      <c r="K914" s="10"/>
      <c r="L914" s="10"/>
      <c r="M914" s="10"/>
      <c r="N914" s="10"/>
      <c r="O914" s="10"/>
    </row>
    <row r="915" spans="2:15" ht="20.25">
      <c r="B915" s="10"/>
      <c r="C915" s="14">
        <v>912</v>
      </c>
      <c r="D915" s="15" t="s">
        <v>991</v>
      </c>
      <c r="E915" s="14">
        <v>22</v>
      </c>
      <c r="F915" s="15">
        <f>_xlfn.XLOOKUP(D915,'Gemini Output'!B:B,'Gemini Output'!C:C,"No Match Yet")</f>
        <v>2</v>
      </c>
      <c r="G915" s="10" t="str">
        <f>_xlfn.XLOOKUP(D915,'Gemini Output'!B:B,'Gemini Output'!E:E,"No Match Yet")</f>
        <v>L2</v>
      </c>
      <c r="H915" s="10"/>
      <c r="I915" s="10"/>
      <c r="J915" s="10"/>
      <c r="K915" s="10"/>
      <c r="L915" s="10"/>
      <c r="M915" s="10"/>
      <c r="N915" s="10"/>
      <c r="O915" s="10"/>
    </row>
    <row r="916" spans="2:15" ht="20.25">
      <c r="B916" s="10"/>
      <c r="C916" s="14">
        <v>913</v>
      </c>
      <c r="D916" s="15" t="s">
        <v>992</v>
      </c>
      <c r="E916" s="14">
        <v>22</v>
      </c>
      <c r="F916" s="15">
        <f>_xlfn.XLOOKUP(D916,'Gemini Output'!B:B,'Gemini Output'!C:C,"No Match Yet")</f>
        <v>4</v>
      </c>
      <c r="G916" s="10" t="str">
        <f>_xlfn.XLOOKUP(D916,'Gemini Output'!B:B,'Gemini Output'!E:E,"No Match Yet")</f>
        <v>L2</v>
      </c>
      <c r="H916" s="10"/>
      <c r="I916" s="10"/>
      <c r="J916" s="10"/>
      <c r="K916" s="10"/>
      <c r="L916" s="10"/>
      <c r="M916" s="10"/>
      <c r="N916" s="10"/>
      <c r="O916" s="10"/>
    </row>
    <row r="917" spans="2:15" ht="20.25">
      <c r="B917" s="10"/>
      <c r="C917" s="14">
        <v>914</v>
      </c>
      <c r="D917" s="15" t="s">
        <v>993</v>
      </c>
      <c r="E917" s="14">
        <v>22</v>
      </c>
      <c r="F917" s="15">
        <f>_xlfn.XLOOKUP(D917,'Gemini Output'!B:B,'Gemini Output'!C:C,"No Match Yet")</f>
        <v>1</v>
      </c>
      <c r="G917" s="10" t="str">
        <f>_xlfn.XLOOKUP(D917,'Gemini Output'!B:B,'Gemini Output'!E:E,"No Match Yet")</f>
        <v>L2</v>
      </c>
      <c r="H917" s="10"/>
      <c r="I917" s="10"/>
      <c r="J917" s="10"/>
      <c r="K917" s="10"/>
      <c r="L917" s="10"/>
      <c r="M917" s="10"/>
      <c r="N917" s="10"/>
      <c r="O917" s="10"/>
    </row>
    <row r="918" spans="2:15" ht="20.25">
      <c r="B918" s="10"/>
      <c r="C918" s="14">
        <v>915</v>
      </c>
      <c r="D918" s="15" t="s">
        <v>994</v>
      </c>
      <c r="E918" s="14">
        <v>22</v>
      </c>
      <c r="F918" s="15">
        <f>_xlfn.XLOOKUP(D918,'Gemini Output'!B:B,'Gemini Output'!C:C,"No Match Yet")</f>
        <v>6</v>
      </c>
      <c r="G918" s="10" t="str">
        <f>_xlfn.XLOOKUP(D918,'Gemini Output'!B:B,'Gemini Output'!E:E,"No Match Yet")</f>
        <v>L3</v>
      </c>
      <c r="H918" s="10"/>
      <c r="I918" s="10"/>
      <c r="J918" s="10"/>
      <c r="K918" s="10"/>
      <c r="L918" s="10"/>
      <c r="M918" s="10"/>
      <c r="N918" s="10"/>
      <c r="O918" s="10"/>
    </row>
    <row r="919" spans="2:15" ht="20.25">
      <c r="B919" s="10"/>
      <c r="C919" s="14">
        <v>916</v>
      </c>
      <c r="D919" s="15" t="s">
        <v>995</v>
      </c>
      <c r="E919" s="14">
        <v>22</v>
      </c>
      <c r="F919" s="15">
        <f>_xlfn.XLOOKUP(D919,'Gemini Output'!B:B,'Gemini Output'!C:C,"No Match Yet")</f>
        <v>12</v>
      </c>
      <c r="G919" s="10" t="str">
        <f>_xlfn.XLOOKUP(D919,'Gemini Output'!B:B,'Gemini Output'!E:E,"No Match Yet")</f>
        <v>L3</v>
      </c>
      <c r="H919" s="10"/>
      <c r="I919" s="10"/>
      <c r="J919" s="10"/>
      <c r="K919" s="10"/>
      <c r="L919" s="10"/>
      <c r="M919" s="10"/>
      <c r="N919" s="10"/>
      <c r="O919" s="10"/>
    </row>
    <row r="920" spans="2:15" ht="20.25">
      <c r="B920" s="10"/>
      <c r="C920" s="14">
        <v>917</v>
      </c>
      <c r="D920" s="15" t="s">
        <v>996</v>
      </c>
      <c r="E920" s="14">
        <v>22</v>
      </c>
      <c r="F920" s="15">
        <f>_xlfn.XLOOKUP(D920,'Gemini Output'!B:B,'Gemini Output'!C:C,"No Match Yet")</f>
        <v>8</v>
      </c>
      <c r="G920" s="10" t="str">
        <f>_xlfn.XLOOKUP(D920,'Gemini Output'!B:B,'Gemini Output'!E:E,"No Match Yet")</f>
        <v>L3</v>
      </c>
      <c r="H920" s="10"/>
      <c r="I920" s="10"/>
      <c r="J920" s="10"/>
      <c r="K920" s="10"/>
      <c r="L920" s="10"/>
      <c r="M920" s="10"/>
      <c r="N920" s="10"/>
      <c r="O920" s="10"/>
    </row>
    <row r="921" spans="2:15" ht="20.25">
      <c r="B921" s="10"/>
      <c r="C921" s="14">
        <v>918</v>
      </c>
      <c r="D921" s="15" t="s">
        <v>997</v>
      </c>
      <c r="E921" s="14">
        <v>22</v>
      </c>
      <c r="F921" s="15">
        <f>_xlfn.XLOOKUP(D921,'Gemini Output'!B:B,'Gemini Output'!C:C,"No Match Yet")</f>
        <v>12</v>
      </c>
      <c r="G921" s="10" t="str">
        <f>_xlfn.XLOOKUP(D921,'Gemini Output'!B:B,'Gemini Output'!E:E,"No Match Yet")</f>
        <v>L2</v>
      </c>
      <c r="H921" s="10"/>
      <c r="I921" s="10"/>
      <c r="J921" s="10"/>
      <c r="K921" s="10"/>
      <c r="L921" s="10"/>
      <c r="M921" s="10"/>
      <c r="N921" s="10"/>
      <c r="O921" s="10"/>
    </row>
    <row r="922" spans="2:15" ht="20.25">
      <c r="B922" s="10"/>
      <c r="C922" s="14">
        <v>919</v>
      </c>
      <c r="D922" s="15" t="s">
        <v>998</v>
      </c>
      <c r="E922" s="14">
        <v>22</v>
      </c>
      <c r="F922" s="15">
        <f>_xlfn.XLOOKUP(D922,'Gemini Output'!B:B,'Gemini Output'!C:C,"No Match Yet")</f>
        <v>5</v>
      </c>
      <c r="G922" s="10" t="str">
        <f>_xlfn.XLOOKUP(D922,'Gemini Output'!B:B,'Gemini Output'!E:E,"No Match Yet")</f>
        <v>L1</v>
      </c>
      <c r="H922" s="10"/>
      <c r="I922" s="10"/>
      <c r="J922" s="10"/>
      <c r="K922" s="10"/>
      <c r="L922" s="10"/>
      <c r="M922" s="10"/>
      <c r="N922" s="10"/>
      <c r="O922" s="10"/>
    </row>
    <row r="923" spans="2:15" ht="20.25">
      <c r="B923" s="10"/>
      <c r="C923" s="14">
        <v>920</v>
      </c>
      <c r="D923" s="15" t="s">
        <v>999</v>
      </c>
      <c r="E923" s="14">
        <v>22</v>
      </c>
      <c r="F923" s="15">
        <f>_xlfn.XLOOKUP(D923,'Gemini Output'!B:B,'Gemini Output'!C:C,"No Match Yet")</f>
        <v>4</v>
      </c>
      <c r="G923" s="10" t="str">
        <f>_xlfn.XLOOKUP(D923,'Gemini Output'!B:B,'Gemini Output'!E:E,"No Match Yet")</f>
        <v>L2</v>
      </c>
      <c r="H923" s="10"/>
      <c r="I923" s="10"/>
      <c r="J923" s="10"/>
      <c r="K923" s="10"/>
      <c r="L923" s="10"/>
      <c r="M923" s="10"/>
      <c r="N923" s="10"/>
      <c r="O923" s="10"/>
    </row>
    <row r="924" spans="2:15" ht="20.25">
      <c r="B924" s="10"/>
      <c r="C924" s="14">
        <v>921</v>
      </c>
      <c r="D924" s="15" t="s">
        <v>1000</v>
      </c>
      <c r="E924" s="14">
        <v>22</v>
      </c>
      <c r="F924" s="15">
        <f>_xlfn.XLOOKUP(D924,'Gemini Output'!B:B,'Gemini Output'!C:C,"No Match Yet")</f>
        <v>7</v>
      </c>
      <c r="G924" s="10" t="str">
        <f>_xlfn.XLOOKUP(D924,'Gemini Output'!B:B,'Gemini Output'!E:E,"No Match Yet")</f>
        <v>L3</v>
      </c>
      <c r="H924" s="10"/>
      <c r="I924" s="10"/>
      <c r="J924" s="10"/>
      <c r="K924" s="10"/>
      <c r="L924" s="10"/>
      <c r="M924" s="10"/>
      <c r="N924" s="10"/>
      <c r="O924" s="10"/>
    </row>
    <row r="925" spans="2:15" ht="20.25">
      <c r="B925" s="10"/>
      <c r="C925" s="14">
        <v>922</v>
      </c>
      <c r="D925" s="15" t="s">
        <v>1001</v>
      </c>
      <c r="E925" s="14">
        <v>22</v>
      </c>
      <c r="F925" s="15">
        <f>_xlfn.XLOOKUP(D925,'Gemini Output'!B:B,'Gemini Output'!C:C,"No Match Yet")</f>
        <v>2</v>
      </c>
      <c r="G925" s="10" t="str">
        <f>_xlfn.XLOOKUP(D925,'Gemini Output'!B:B,'Gemini Output'!E:E,"No Match Yet")</f>
        <v>L2</v>
      </c>
      <c r="H925" s="10"/>
      <c r="I925" s="10"/>
      <c r="J925" s="10"/>
      <c r="K925" s="10"/>
      <c r="L925" s="10"/>
      <c r="M925" s="10"/>
      <c r="N925" s="10"/>
      <c r="O925" s="10"/>
    </row>
    <row r="926" spans="2:15" ht="20.25">
      <c r="B926" s="10"/>
      <c r="C926" s="14">
        <v>923</v>
      </c>
      <c r="D926" s="15" t="s">
        <v>1002</v>
      </c>
      <c r="E926" s="14">
        <v>22</v>
      </c>
      <c r="F926" s="15">
        <f>_xlfn.XLOOKUP(D926,'Gemini Output'!B:B,'Gemini Output'!C:C,"No Match Yet")</f>
        <v>11</v>
      </c>
      <c r="G926" s="10" t="str">
        <f>_xlfn.XLOOKUP(D926,'Gemini Output'!B:B,'Gemini Output'!E:E,"No Match Yet")</f>
        <v>L1</v>
      </c>
      <c r="H926" s="10"/>
      <c r="I926" s="10"/>
      <c r="J926" s="10"/>
      <c r="K926" s="10"/>
      <c r="L926" s="10"/>
      <c r="M926" s="10"/>
      <c r="N926" s="10"/>
      <c r="O926" s="10"/>
    </row>
    <row r="927" spans="2:15" ht="20.25">
      <c r="B927" s="10"/>
      <c r="C927" s="14">
        <v>924</v>
      </c>
      <c r="D927" s="15" t="s">
        <v>1003</v>
      </c>
      <c r="E927" s="14">
        <v>22</v>
      </c>
      <c r="F927" s="15">
        <f>_xlfn.XLOOKUP(D927,'Gemini Output'!B:B,'Gemini Output'!C:C,"No Match Yet")</f>
        <v>1</v>
      </c>
      <c r="G927" s="10" t="str">
        <f>_xlfn.XLOOKUP(D927,'Gemini Output'!B:B,'Gemini Output'!E:E,"No Match Yet")</f>
        <v>L2</v>
      </c>
      <c r="H927" s="10"/>
      <c r="I927" s="10"/>
      <c r="J927" s="10"/>
      <c r="K927" s="10"/>
      <c r="L927" s="10"/>
      <c r="M927" s="10"/>
      <c r="N927" s="10"/>
      <c r="O927" s="10"/>
    </row>
    <row r="928" spans="2:15" ht="20.25">
      <c r="B928" s="10"/>
      <c r="C928" s="14">
        <v>925</v>
      </c>
      <c r="D928" s="15" t="s">
        <v>1004</v>
      </c>
      <c r="E928" s="14">
        <v>22</v>
      </c>
      <c r="F928" s="15">
        <f>_xlfn.XLOOKUP(D928,'Gemini Output'!B:B,'Gemini Output'!C:C,"No Match Yet")</f>
        <v>4</v>
      </c>
      <c r="G928" s="10" t="str">
        <f>_xlfn.XLOOKUP(D928,'Gemini Output'!B:B,'Gemini Output'!E:E,"No Match Yet")</f>
        <v>L1</v>
      </c>
      <c r="H928" s="10"/>
      <c r="I928" s="10"/>
      <c r="J928" s="10"/>
      <c r="K928" s="10"/>
      <c r="L928" s="10"/>
      <c r="M928" s="10"/>
      <c r="N928" s="10"/>
      <c r="O928" s="10"/>
    </row>
    <row r="929" spans="2:15" ht="20.25">
      <c r="B929" s="10"/>
      <c r="C929" s="14">
        <v>926</v>
      </c>
      <c r="D929" s="15" t="s">
        <v>1005</v>
      </c>
      <c r="E929" s="14">
        <v>22</v>
      </c>
      <c r="F929" s="15">
        <f>_xlfn.XLOOKUP(D929,'Gemini Output'!B:B,'Gemini Output'!C:C,"No Match Yet")</f>
        <v>6</v>
      </c>
      <c r="G929" s="10" t="str">
        <f>_xlfn.XLOOKUP(D929,'Gemini Output'!B:B,'Gemini Output'!E:E,"No Match Yet")</f>
        <v>L2</v>
      </c>
      <c r="H929" s="10"/>
      <c r="I929" s="10"/>
      <c r="J929" s="10"/>
      <c r="K929" s="10"/>
      <c r="L929" s="10"/>
      <c r="M929" s="10"/>
      <c r="N929" s="10"/>
      <c r="O929" s="10"/>
    </row>
    <row r="930" spans="2:15" ht="20.25">
      <c r="B930" s="10"/>
      <c r="C930" s="14">
        <v>927</v>
      </c>
      <c r="D930" s="15" t="s">
        <v>1006</v>
      </c>
      <c r="E930" s="14">
        <v>22</v>
      </c>
      <c r="F930" s="15">
        <f>_xlfn.XLOOKUP(D930,'Gemini Output'!B:B,'Gemini Output'!C:C,"No Match Yet")</f>
        <v>12</v>
      </c>
      <c r="G930" s="10" t="str">
        <f>_xlfn.XLOOKUP(D930,'Gemini Output'!B:B,'Gemini Output'!E:E,"No Match Yet")</f>
        <v>L1</v>
      </c>
      <c r="H930" s="10"/>
      <c r="I930" s="10"/>
      <c r="J930" s="10"/>
      <c r="K930" s="10"/>
      <c r="L930" s="10"/>
      <c r="M930" s="10"/>
      <c r="N930" s="10"/>
      <c r="O930" s="10"/>
    </row>
    <row r="931" spans="2:15" ht="20.25">
      <c r="B931" s="10"/>
      <c r="C931" s="14">
        <v>928</v>
      </c>
      <c r="D931" s="15" t="s">
        <v>1007</v>
      </c>
      <c r="E931" s="14">
        <v>22</v>
      </c>
      <c r="F931" s="15">
        <f>_xlfn.XLOOKUP(D931,'Gemini Output'!B:B,'Gemini Output'!C:C,"No Match Yet")</f>
        <v>11</v>
      </c>
      <c r="G931" s="10" t="str">
        <f>_xlfn.XLOOKUP(D931,'Gemini Output'!B:B,'Gemini Output'!E:E,"No Match Yet")</f>
        <v>L3</v>
      </c>
      <c r="H931" s="10"/>
      <c r="I931" s="10"/>
      <c r="J931" s="10"/>
      <c r="K931" s="10"/>
      <c r="L931" s="10"/>
      <c r="M931" s="10"/>
      <c r="N931" s="10"/>
      <c r="O931" s="10"/>
    </row>
    <row r="932" spans="2:15" ht="20.25">
      <c r="B932" s="10"/>
      <c r="C932" s="14">
        <v>929</v>
      </c>
      <c r="D932" s="15" t="s">
        <v>1008</v>
      </c>
      <c r="E932" s="14">
        <v>22</v>
      </c>
      <c r="F932" s="15">
        <f>_xlfn.XLOOKUP(D932,'Gemini Output'!B:B,'Gemini Output'!C:C,"No Match Yet")</f>
        <v>2</v>
      </c>
      <c r="G932" s="10" t="str">
        <f>_xlfn.XLOOKUP(D932,'Gemini Output'!B:B,'Gemini Output'!E:E,"No Match Yet")</f>
        <v>L2</v>
      </c>
      <c r="H932" s="10"/>
      <c r="I932" s="10"/>
      <c r="J932" s="10"/>
      <c r="K932" s="10"/>
      <c r="L932" s="10"/>
      <c r="M932" s="10"/>
      <c r="N932" s="10"/>
      <c r="O932" s="10"/>
    </row>
    <row r="933" spans="2:15" ht="20.25">
      <c r="B933" s="10"/>
      <c r="C933" s="14">
        <v>930</v>
      </c>
      <c r="D933" s="15" t="s">
        <v>1009</v>
      </c>
      <c r="E933" s="14">
        <v>22</v>
      </c>
      <c r="F933" s="15">
        <f>_xlfn.XLOOKUP(D933,'Gemini Output'!B:B,'Gemini Output'!C:C,"No Match Yet")</f>
        <v>1</v>
      </c>
      <c r="G933" s="10" t="str">
        <f>_xlfn.XLOOKUP(D933,'Gemini Output'!B:B,'Gemini Output'!E:E,"No Match Yet")</f>
        <v>L2</v>
      </c>
      <c r="H933" s="10"/>
      <c r="I933" s="10"/>
      <c r="J933" s="10"/>
      <c r="K933" s="10"/>
      <c r="L933" s="10"/>
      <c r="M933" s="10"/>
      <c r="N933" s="10"/>
      <c r="O933" s="10"/>
    </row>
    <row r="934" spans="2:15" ht="20.25">
      <c r="B934" s="10"/>
      <c r="C934" s="14">
        <v>931</v>
      </c>
      <c r="D934" s="15" t="s">
        <v>1010</v>
      </c>
      <c r="E934" s="14">
        <v>22</v>
      </c>
      <c r="F934" s="15">
        <f>_xlfn.XLOOKUP(D934,'Gemini Output'!B:B,'Gemini Output'!C:C,"No Match Yet")</f>
        <v>13</v>
      </c>
      <c r="G934" s="10" t="str">
        <f>_xlfn.XLOOKUP(D934,'Gemini Output'!B:B,'Gemini Output'!E:E,"No Match Yet")</f>
        <v>L2</v>
      </c>
      <c r="H934" s="10"/>
      <c r="I934" s="10"/>
      <c r="J934" s="10"/>
      <c r="K934" s="10"/>
      <c r="L934" s="10"/>
      <c r="M934" s="10"/>
      <c r="N934" s="10"/>
      <c r="O934" s="10"/>
    </row>
    <row r="935" spans="2:15" ht="20.25">
      <c r="B935" s="10"/>
      <c r="C935" s="14">
        <v>932</v>
      </c>
      <c r="D935" s="15" t="s">
        <v>1011</v>
      </c>
      <c r="E935" s="14">
        <v>22</v>
      </c>
      <c r="F935" s="15">
        <f>_xlfn.XLOOKUP(D935,'Gemini Output'!B:B,'Gemini Output'!C:C,"No Match Yet")</f>
        <v>3</v>
      </c>
      <c r="G935" s="10" t="str">
        <f>_xlfn.XLOOKUP(D935,'Gemini Output'!B:B,'Gemini Output'!E:E,"No Match Yet")</f>
        <v>L2</v>
      </c>
      <c r="H935" s="10"/>
      <c r="I935" s="10"/>
      <c r="J935" s="10"/>
      <c r="K935" s="10"/>
      <c r="L935" s="10"/>
      <c r="M935" s="10"/>
      <c r="N935" s="10"/>
      <c r="O935" s="10"/>
    </row>
    <row r="936" spans="2:15" ht="20.25">
      <c r="B936" s="10"/>
      <c r="C936" s="14">
        <v>933</v>
      </c>
      <c r="D936" s="15" t="s">
        <v>1012</v>
      </c>
      <c r="E936" s="14">
        <v>22</v>
      </c>
      <c r="F936" s="15">
        <f>_xlfn.XLOOKUP(D936,'Gemini Output'!B:B,'Gemini Output'!C:C,"No Match Yet")</f>
        <v>12</v>
      </c>
      <c r="G936" s="10" t="str">
        <f>_xlfn.XLOOKUP(D936,'Gemini Output'!B:B,'Gemini Output'!E:E,"No Match Yet")</f>
        <v>L2</v>
      </c>
      <c r="H936" s="10"/>
      <c r="I936" s="10"/>
      <c r="J936" s="10"/>
      <c r="K936" s="10"/>
      <c r="L936" s="10"/>
      <c r="M936" s="10"/>
      <c r="N936" s="10"/>
      <c r="O936" s="10"/>
    </row>
    <row r="937" spans="2:15" ht="20.25">
      <c r="B937" s="10"/>
      <c r="C937" s="14">
        <v>934</v>
      </c>
      <c r="D937" s="15" t="s">
        <v>1013</v>
      </c>
      <c r="E937" s="14">
        <v>22</v>
      </c>
      <c r="F937" s="15">
        <f>_xlfn.XLOOKUP(D937,'Gemini Output'!B:B,'Gemini Output'!C:C,"No Match Yet")</f>
        <v>5</v>
      </c>
      <c r="G937" s="10" t="str">
        <f>_xlfn.XLOOKUP(D937,'Gemini Output'!B:B,'Gemini Output'!E:E,"No Match Yet")</f>
        <v>L2</v>
      </c>
      <c r="H937" s="10"/>
      <c r="I937" s="10"/>
      <c r="J937" s="10"/>
      <c r="K937" s="10"/>
      <c r="L937" s="10"/>
      <c r="M937" s="10"/>
      <c r="N937" s="10"/>
      <c r="O937" s="10"/>
    </row>
    <row r="938" spans="2:15" ht="20.25">
      <c r="B938" s="10"/>
      <c r="C938" s="14">
        <v>935</v>
      </c>
      <c r="D938" s="15" t="s">
        <v>1014</v>
      </c>
      <c r="E938" s="14">
        <v>22</v>
      </c>
      <c r="F938" s="15">
        <f>_xlfn.XLOOKUP(D938,'Gemini Output'!B:B,'Gemini Output'!C:C,"No Match Yet")</f>
        <v>5</v>
      </c>
      <c r="G938" s="10" t="str">
        <f>_xlfn.XLOOKUP(D938,'Gemini Output'!B:B,'Gemini Output'!E:E,"No Match Yet")</f>
        <v>L2</v>
      </c>
      <c r="H938" s="10"/>
      <c r="I938" s="10"/>
      <c r="J938" s="10"/>
      <c r="K938" s="10"/>
      <c r="L938" s="10"/>
      <c r="M938" s="10"/>
      <c r="N938" s="10"/>
      <c r="O938" s="10"/>
    </row>
    <row r="939" spans="2:15" ht="20.25">
      <c r="B939" s="10"/>
      <c r="C939" s="14">
        <v>936</v>
      </c>
      <c r="D939" s="15" t="s">
        <v>1015</v>
      </c>
      <c r="E939" s="14">
        <v>22</v>
      </c>
      <c r="F939" s="15">
        <f>_xlfn.XLOOKUP(D939,'Gemini Output'!B:B,'Gemini Output'!C:C,"No Match Yet")</f>
        <v>13</v>
      </c>
      <c r="G939" s="10" t="str">
        <f>_xlfn.XLOOKUP(D939,'Gemini Output'!B:B,'Gemini Output'!E:E,"No Match Yet")</f>
        <v>L1</v>
      </c>
      <c r="H939" s="10"/>
      <c r="I939" s="10"/>
      <c r="J939" s="10"/>
      <c r="K939" s="10"/>
      <c r="L939" s="10"/>
      <c r="M939" s="10"/>
      <c r="N939" s="10"/>
      <c r="O939" s="10"/>
    </row>
    <row r="940" spans="2:15" ht="20.25">
      <c r="B940" s="10"/>
      <c r="C940" s="14">
        <v>937</v>
      </c>
      <c r="D940" s="15" t="s">
        <v>1016</v>
      </c>
      <c r="E940" s="14">
        <v>22</v>
      </c>
      <c r="F940" s="15">
        <f>_xlfn.XLOOKUP(D940,'Gemini Output'!B:B,'Gemini Output'!C:C,"No Match Yet")</f>
        <v>15</v>
      </c>
      <c r="G940" s="10" t="str">
        <f>_xlfn.XLOOKUP(D940,'Gemini Output'!B:B,'Gemini Output'!E:E,"No Match Yet")</f>
        <v>L1</v>
      </c>
      <c r="H940" s="10"/>
      <c r="I940" s="10"/>
      <c r="J940" s="10"/>
      <c r="K940" s="10"/>
      <c r="L940" s="10"/>
      <c r="M940" s="10"/>
      <c r="N940" s="10"/>
      <c r="O940" s="10"/>
    </row>
    <row r="941" spans="2:15" ht="20.25">
      <c r="B941" s="10"/>
      <c r="C941" s="14">
        <v>938</v>
      </c>
      <c r="D941" s="15" t="s">
        <v>1017</v>
      </c>
      <c r="E941" s="14">
        <v>22</v>
      </c>
      <c r="F941" s="15">
        <f>_xlfn.XLOOKUP(D941,'Gemini Output'!B:B,'Gemini Output'!C:C,"No Match Yet")</f>
        <v>4</v>
      </c>
      <c r="G941" s="10" t="str">
        <f>_xlfn.XLOOKUP(D941,'Gemini Output'!B:B,'Gemini Output'!E:E,"No Match Yet")</f>
        <v>L1</v>
      </c>
      <c r="H941" s="10"/>
      <c r="I941" s="10"/>
      <c r="J941" s="10"/>
      <c r="K941" s="10"/>
      <c r="L941" s="10"/>
      <c r="M941" s="10"/>
      <c r="N941" s="10"/>
      <c r="O941" s="10"/>
    </row>
    <row r="942" spans="2:15" ht="20.25">
      <c r="B942" s="10"/>
      <c r="C942" s="14">
        <v>939</v>
      </c>
      <c r="D942" s="15" t="s">
        <v>1018</v>
      </c>
      <c r="E942" s="14">
        <v>22</v>
      </c>
      <c r="F942" s="15">
        <f>_xlfn.XLOOKUP(D942,'Gemini Output'!B:B,'Gemini Output'!C:C,"No Match Yet")</f>
        <v>11</v>
      </c>
      <c r="G942" s="10" t="str">
        <f>_xlfn.XLOOKUP(D942,'Gemini Output'!B:B,'Gemini Output'!E:E,"No Match Yet")</f>
        <v>L1</v>
      </c>
      <c r="H942" s="10"/>
      <c r="I942" s="10"/>
      <c r="J942" s="10"/>
      <c r="K942" s="10"/>
      <c r="L942" s="10"/>
      <c r="M942" s="10"/>
      <c r="N942" s="10"/>
      <c r="O942" s="10"/>
    </row>
    <row r="943" spans="2:15" ht="20.25">
      <c r="B943" s="10"/>
      <c r="C943" s="14">
        <v>940</v>
      </c>
      <c r="D943" s="15" t="s">
        <v>1019</v>
      </c>
      <c r="E943" s="14">
        <v>22</v>
      </c>
      <c r="F943" s="15">
        <f>_xlfn.XLOOKUP(D943,'Gemini Output'!B:B,'Gemini Output'!C:C,"No Match Yet")</f>
        <v>1</v>
      </c>
      <c r="G943" s="10" t="str">
        <f>_xlfn.XLOOKUP(D943,'Gemini Output'!B:B,'Gemini Output'!E:E,"No Match Yet")</f>
        <v>L2</v>
      </c>
      <c r="H943" s="10"/>
      <c r="I943" s="10"/>
      <c r="J943" s="10"/>
      <c r="K943" s="10"/>
      <c r="L943" s="10"/>
      <c r="M943" s="10"/>
      <c r="N943" s="10"/>
      <c r="O943" s="10"/>
    </row>
    <row r="944" spans="2:15" ht="20.25">
      <c r="B944" s="10"/>
      <c r="C944" s="14">
        <v>941</v>
      </c>
      <c r="D944" s="15" t="s">
        <v>1020</v>
      </c>
      <c r="E944" s="14">
        <v>22</v>
      </c>
      <c r="F944" s="15">
        <f>_xlfn.XLOOKUP(D944,'Gemini Output'!B:B,'Gemini Output'!C:C,"No Match Yet")</f>
        <v>10</v>
      </c>
      <c r="G944" s="10" t="str">
        <f>_xlfn.XLOOKUP(D944,'Gemini Output'!B:B,'Gemini Output'!E:E,"No Match Yet")</f>
        <v>L2</v>
      </c>
      <c r="H944" s="10"/>
      <c r="I944" s="10"/>
      <c r="J944" s="10"/>
      <c r="K944" s="10"/>
      <c r="L944" s="10"/>
      <c r="M944" s="10"/>
      <c r="N944" s="10"/>
      <c r="O944" s="10"/>
    </row>
    <row r="945" spans="2:15" ht="20.25">
      <c r="B945" s="10"/>
      <c r="C945" s="14">
        <v>942</v>
      </c>
      <c r="D945" s="10" t="s">
        <v>1021</v>
      </c>
      <c r="E945" s="14">
        <v>22</v>
      </c>
      <c r="F945" s="15">
        <f>_xlfn.XLOOKUP(D945,'Gemini Output'!B:B,'Gemini Output'!C:C,"No Match Yet")</f>
        <v>6</v>
      </c>
      <c r="G945" s="10" t="str">
        <f>_xlfn.XLOOKUP(D945,'Gemini Output'!B:B,'Gemini Output'!E:E,"No Match Yet")</f>
        <v>L2</v>
      </c>
      <c r="H945" s="10"/>
      <c r="I945" s="10"/>
      <c r="J945" s="10"/>
      <c r="K945" s="10"/>
      <c r="L945" s="10"/>
      <c r="M945" s="10"/>
      <c r="N945" s="10"/>
      <c r="O945" s="10"/>
    </row>
    <row r="946" spans="2:15" ht="20.25">
      <c r="B946" s="10"/>
      <c r="C946" s="14">
        <v>943</v>
      </c>
      <c r="D946" s="10">
        <v>1988</v>
      </c>
      <c r="E946" s="14">
        <v>22</v>
      </c>
      <c r="F946" s="15">
        <f>_xlfn.XLOOKUP(D946,'Gemini Output'!B:B,'Gemini Output'!C:C,"No Match Yet")</f>
        <v>9</v>
      </c>
      <c r="G946" s="10" t="str">
        <f>_xlfn.XLOOKUP(D946,'Gemini Output'!B:B,'Gemini Output'!E:E,"No Match Yet")</f>
        <v>L1</v>
      </c>
      <c r="H946" s="10"/>
      <c r="I946" s="10"/>
      <c r="J946" s="10"/>
      <c r="K946" s="10"/>
      <c r="L946" s="10"/>
      <c r="M946" s="10"/>
      <c r="N946" s="10"/>
      <c r="O946" s="10"/>
    </row>
    <row r="947" spans="2:15" ht="20.25">
      <c r="B947" s="10"/>
      <c r="C947" s="14">
        <v>944</v>
      </c>
      <c r="D947" s="10">
        <v>1990</v>
      </c>
      <c r="E947" s="14">
        <v>22</v>
      </c>
      <c r="F947" s="15">
        <f>_xlfn.XLOOKUP(D947,'Gemini Output'!B:B,'Gemini Output'!C:C,"No Match Yet")</f>
        <v>9</v>
      </c>
      <c r="G947" s="10" t="str">
        <f>_xlfn.XLOOKUP(D947,'Gemini Output'!B:B,'Gemini Output'!E:E,"No Match Yet")</f>
        <v>L1</v>
      </c>
      <c r="H947" s="10"/>
      <c r="I947" s="10"/>
      <c r="J947" s="10"/>
      <c r="K947" s="10"/>
      <c r="L947" s="10"/>
      <c r="M947" s="10"/>
      <c r="N947" s="10"/>
      <c r="O947" s="10"/>
    </row>
    <row r="948" spans="2:15" ht="20.25">
      <c r="B948" s="10"/>
      <c r="C948" s="14">
        <v>945</v>
      </c>
      <c r="D948" s="10">
        <v>1997</v>
      </c>
      <c r="E948" s="14">
        <v>22</v>
      </c>
      <c r="F948" s="15">
        <f>_xlfn.XLOOKUP(D948,'Gemini Output'!B:B,'Gemini Output'!C:C,"No Match Yet")</f>
        <v>9</v>
      </c>
      <c r="G948" s="10" t="str">
        <f>_xlfn.XLOOKUP(D948,'Gemini Output'!B:B,'Gemini Output'!E:E,"No Match Yet")</f>
        <v>L1</v>
      </c>
      <c r="H948" s="10"/>
      <c r="I948" s="10"/>
      <c r="J948" s="10"/>
      <c r="K948" s="10"/>
      <c r="L948" s="10"/>
      <c r="M948" s="10"/>
      <c r="N948" s="10"/>
      <c r="O948" s="10"/>
    </row>
    <row r="949" spans="2:15" ht="20.25">
      <c r="B949" s="10"/>
      <c r="C949" s="14">
        <v>946</v>
      </c>
      <c r="D949" s="10">
        <v>40</v>
      </c>
      <c r="E949" s="14">
        <v>22</v>
      </c>
      <c r="F949" s="15">
        <f>_xlfn.XLOOKUP(D949,'Gemini Output'!B:B,'Gemini Output'!C:C,"No Match Yet")</f>
        <v>2</v>
      </c>
      <c r="G949" s="10" t="str">
        <f>_xlfn.XLOOKUP(D949,'Gemini Output'!B:B,'Gemini Output'!E:E,"No Match Yet")</f>
        <v>L1</v>
      </c>
      <c r="H949" s="10"/>
      <c r="I949" s="10"/>
      <c r="J949" s="10"/>
      <c r="K949" s="10"/>
      <c r="L949" s="10"/>
      <c r="M949" s="10"/>
      <c r="N949" s="10"/>
      <c r="O949" s="10"/>
    </row>
    <row r="950" spans="2:15" ht="20.25">
      <c r="B950" s="10"/>
      <c r="C950" s="14">
        <v>947</v>
      </c>
      <c r="D950" s="10" t="s">
        <v>1022</v>
      </c>
      <c r="E950" s="14">
        <v>22</v>
      </c>
      <c r="F950" s="15">
        <f>_xlfn.XLOOKUP(D950,'Gemini Output'!B:B,'Gemini Output'!C:C,"No Match Yet")</f>
        <v>3</v>
      </c>
      <c r="G950" s="10" t="str">
        <f>_xlfn.XLOOKUP(D950,'Gemini Output'!B:B,'Gemini Output'!E:E,"No Match Yet")</f>
        <v>L1</v>
      </c>
      <c r="H950" s="10"/>
      <c r="I950" s="10"/>
      <c r="J950" s="10"/>
      <c r="K950" s="10"/>
      <c r="L950" s="10"/>
      <c r="M950" s="10"/>
      <c r="N950" s="10"/>
      <c r="O950" s="10"/>
    </row>
    <row r="951" spans="2:15" ht="20.25">
      <c r="B951" s="10"/>
      <c r="C951" s="14">
        <v>948</v>
      </c>
      <c r="D951" s="10" t="s">
        <v>1023</v>
      </c>
      <c r="E951" s="14">
        <v>22</v>
      </c>
      <c r="F951" s="15">
        <f>_xlfn.XLOOKUP(D951,'Gemini Output'!B:B,'Gemini Output'!C:C,"No Match Yet")</f>
        <v>11</v>
      </c>
      <c r="G951" s="10" t="str">
        <f>_xlfn.XLOOKUP(D951,'Gemini Output'!B:B,'Gemini Output'!E:E,"No Match Yet")</f>
        <v>L1</v>
      </c>
      <c r="H951" s="10"/>
      <c r="I951" s="10"/>
      <c r="J951" s="10"/>
      <c r="K951" s="10"/>
      <c r="L951" s="10"/>
      <c r="M951" s="10"/>
      <c r="N951" s="10"/>
      <c r="O951" s="10"/>
    </row>
    <row r="952" spans="2:15" ht="20.25">
      <c r="B952" s="10"/>
      <c r="C952" s="14">
        <v>949</v>
      </c>
      <c r="D952" s="10" t="s">
        <v>1024</v>
      </c>
      <c r="E952" s="14">
        <v>22</v>
      </c>
      <c r="F952" s="15">
        <f>_xlfn.XLOOKUP(D952,'Gemini Output'!B:B,'Gemini Output'!C:C,"No Match Yet")</f>
        <v>3</v>
      </c>
      <c r="G952" s="10" t="str">
        <f>_xlfn.XLOOKUP(D952,'Gemini Output'!B:B,'Gemini Output'!E:E,"No Match Yet")</f>
        <v>L1</v>
      </c>
      <c r="H952" s="10"/>
      <c r="I952" s="10"/>
      <c r="J952" s="10"/>
      <c r="K952" s="10"/>
      <c r="L952" s="10"/>
      <c r="M952" s="10"/>
      <c r="N952" s="10"/>
      <c r="O952" s="10"/>
    </row>
    <row r="953" spans="2:15" ht="20.25">
      <c r="B953" s="10"/>
      <c r="C953" s="14">
        <v>950</v>
      </c>
      <c r="D953" s="10" t="s">
        <v>1025</v>
      </c>
      <c r="E953" s="14">
        <v>22</v>
      </c>
      <c r="F953" s="15">
        <f>_xlfn.XLOOKUP(D953,'Gemini Output'!B:B,'Gemini Output'!C:C,"No Match Yet")</f>
        <v>13</v>
      </c>
      <c r="G953" s="10" t="str">
        <f>_xlfn.XLOOKUP(D953,'Gemini Output'!B:B,'Gemini Output'!E:E,"No Match Yet")</f>
        <v>L1</v>
      </c>
      <c r="H953" s="10"/>
      <c r="I953" s="10"/>
      <c r="J953" s="10"/>
      <c r="K953" s="10"/>
      <c r="L953" s="10"/>
      <c r="M953" s="10"/>
      <c r="N953" s="10"/>
      <c r="O953" s="10"/>
    </row>
    <row r="954" spans="2:15" ht="20.25">
      <c r="B954" s="10"/>
      <c r="C954" s="14">
        <v>951</v>
      </c>
      <c r="D954" s="10" t="s">
        <v>1026</v>
      </c>
      <c r="E954" s="14">
        <v>22</v>
      </c>
      <c r="F954" s="15">
        <f>_xlfn.XLOOKUP(D954,'Gemini Output'!B:B,'Gemini Output'!C:C,"No Match Yet")</f>
        <v>9</v>
      </c>
      <c r="G954" s="10" t="str">
        <f>_xlfn.XLOOKUP(D954,'Gemini Output'!B:B,'Gemini Output'!E:E,"No Match Yet")</f>
        <v>L1</v>
      </c>
      <c r="H954" s="10"/>
      <c r="I954" s="10"/>
      <c r="J954" s="10"/>
      <c r="K954" s="10"/>
      <c r="L954" s="10"/>
      <c r="M954" s="10"/>
      <c r="N954" s="10"/>
      <c r="O954" s="10"/>
    </row>
    <row r="955" spans="2:15" ht="15.95" customHeight="1">
      <c r="B955" s="10"/>
      <c r="C955" s="14">
        <v>952</v>
      </c>
      <c r="D955" s="10" t="s">
        <v>1027</v>
      </c>
      <c r="E955" s="10"/>
      <c r="F955" s="15">
        <f>_xlfn.XLOOKUP(D955,'Gemini Output'!B:B,'Gemini Output'!C:C,"No Match Yet")</f>
        <v>9</v>
      </c>
      <c r="G955" s="10" t="str">
        <f>_xlfn.XLOOKUP(D955,'Gemini Output'!B:B,'Gemini Output'!E:E,"No Match Yet")</f>
        <v>L3</v>
      </c>
      <c r="H955" s="10"/>
      <c r="I955" s="10"/>
      <c r="J955" s="10"/>
      <c r="K955" s="10"/>
      <c r="L955" s="10"/>
      <c r="M955" s="10"/>
      <c r="N955" s="10"/>
      <c r="O955" s="10"/>
    </row>
    <row r="956" spans="2:15" ht="20.25">
      <c r="B956" s="10"/>
      <c r="C956" s="14">
        <v>953</v>
      </c>
      <c r="D956" s="10" t="s">
        <v>1028</v>
      </c>
      <c r="E956" s="14"/>
      <c r="F956" s="15">
        <f>_xlfn.XLOOKUP(D956,'Gemini Output'!B:B,'Gemini Output'!C:C,"No Match Yet")</f>
        <v>1</v>
      </c>
      <c r="G956" s="10" t="str">
        <f>_xlfn.XLOOKUP(D956,'Gemini Output'!B:B,'Gemini Output'!E:E,"No Match Yet")</f>
        <v>L2</v>
      </c>
      <c r="H956" s="10"/>
      <c r="I956" s="10"/>
      <c r="J956" s="10"/>
      <c r="K956" s="10"/>
      <c r="L956" s="10"/>
      <c r="M956" s="10"/>
      <c r="N956" s="10"/>
      <c r="O956" s="10"/>
    </row>
    <row r="957" spans="2:15" ht="20.25">
      <c r="B957" s="10"/>
      <c r="C957" s="14">
        <v>954</v>
      </c>
      <c r="D957" s="10" t="s">
        <v>1029</v>
      </c>
      <c r="E957" s="14">
        <v>21</v>
      </c>
      <c r="F957" s="15">
        <f>_xlfn.XLOOKUP(D957,'Gemini Output'!B:B,'Gemini Output'!C:C,"No Match Yet")</f>
        <v>15</v>
      </c>
      <c r="G957" s="10" t="str">
        <f>_xlfn.XLOOKUP(D957,'Gemini Output'!B:B,'Gemini Output'!E:E,"No Match Yet")</f>
        <v>L1</v>
      </c>
      <c r="H957" s="10"/>
      <c r="I957" s="10"/>
      <c r="J957" s="10"/>
      <c r="K957" s="10"/>
      <c r="L957" s="10"/>
      <c r="M957" s="10"/>
      <c r="N957" s="10"/>
      <c r="O957" s="10"/>
    </row>
    <row r="958" spans="2:15" ht="20.25">
      <c r="B958" s="10"/>
      <c r="C958" s="14">
        <v>955</v>
      </c>
      <c r="D958" s="10" t="s">
        <v>1030</v>
      </c>
      <c r="E958" s="14">
        <v>21</v>
      </c>
      <c r="F958" s="15">
        <f>_xlfn.XLOOKUP(D958,'Gemini Output'!B:B,'Gemini Output'!C:C,"No Match Yet")</f>
        <v>6</v>
      </c>
      <c r="G958" s="10" t="str">
        <f>_xlfn.XLOOKUP(D958,'Gemini Output'!B:B,'Gemini Output'!E:E,"No Match Yet")</f>
        <v>L2</v>
      </c>
      <c r="H958" s="10"/>
      <c r="I958" s="10"/>
      <c r="J958" s="10"/>
      <c r="K958" s="10"/>
      <c r="L958" s="10"/>
      <c r="M958" s="10"/>
      <c r="N958" s="10"/>
      <c r="O958" s="10"/>
    </row>
    <row r="959" spans="2:15" ht="20.25">
      <c r="B959" s="10"/>
      <c r="C959" s="14">
        <v>956</v>
      </c>
      <c r="D959" s="10" t="s">
        <v>1031</v>
      </c>
      <c r="E959" s="14">
        <v>21</v>
      </c>
      <c r="F959" s="15">
        <f>_xlfn.XLOOKUP(D959,'Gemini Output'!B:B,'Gemini Output'!C:C,"No Match Yet")</f>
        <v>7</v>
      </c>
      <c r="G959" s="10" t="str">
        <f>_xlfn.XLOOKUP(D959,'Gemini Output'!B:B,'Gemini Output'!E:E,"No Match Yet")</f>
        <v>L2</v>
      </c>
      <c r="H959" s="10"/>
      <c r="I959" s="10"/>
      <c r="J959" s="10"/>
      <c r="K959" s="10"/>
      <c r="L959" s="10"/>
      <c r="M959" s="10"/>
      <c r="N959" s="10"/>
      <c r="O959" s="10"/>
    </row>
    <row r="960" spans="2:15" ht="20.25">
      <c r="B960" s="10"/>
      <c r="C960" s="14">
        <v>957</v>
      </c>
      <c r="D960" s="10" t="s">
        <v>1032</v>
      </c>
      <c r="E960" s="14">
        <v>21</v>
      </c>
      <c r="F960" s="15">
        <f>_xlfn.XLOOKUP(D960,'Gemini Output'!B:B,'Gemini Output'!C:C,"No Match Yet")</f>
        <v>10</v>
      </c>
      <c r="G960" s="10" t="str">
        <f>_xlfn.XLOOKUP(D960,'Gemini Output'!B:B,'Gemini Output'!E:E,"No Match Yet")</f>
        <v>L1</v>
      </c>
      <c r="H960" s="10"/>
      <c r="I960" s="10"/>
      <c r="J960" s="10"/>
      <c r="K960" s="10"/>
      <c r="L960" s="10"/>
      <c r="M960" s="10"/>
      <c r="N960" s="10"/>
      <c r="O960" s="10"/>
    </row>
    <row r="961" spans="2:15" ht="20.25">
      <c r="B961" s="10"/>
      <c r="C961" s="14">
        <v>958</v>
      </c>
      <c r="D961" s="10" t="s">
        <v>1033</v>
      </c>
      <c r="E961" s="14">
        <v>21</v>
      </c>
      <c r="F961" s="15">
        <f>_xlfn.XLOOKUP(D961,'Gemini Output'!B:B,'Gemini Output'!C:C,"No Match Yet")</f>
        <v>8</v>
      </c>
      <c r="G961" s="10" t="str">
        <f>_xlfn.XLOOKUP(D961,'Gemini Output'!B:B,'Gemini Output'!E:E,"No Match Yet")</f>
        <v>L3</v>
      </c>
      <c r="H961" s="10"/>
      <c r="I961" s="10"/>
      <c r="J961" s="10"/>
      <c r="K961" s="10"/>
      <c r="L961" s="10"/>
      <c r="M961" s="10"/>
      <c r="N961" s="10"/>
      <c r="O961" s="10"/>
    </row>
    <row r="962" spans="2:15" ht="20.25">
      <c r="B962" s="10"/>
      <c r="C962" s="14">
        <v>959</v>
      </c>
      <c r="D962" s="10" t="s">
        <v>1034</v>
      </c>
      <c r="E962" s="14">
        <v>21</v>
      </c>
      <c r="F962" s="15">
        <f>_xlfn.XLOOKUP(D962,'Gemini Output'!B:B,'Gemini Output'!C:C,"No Match Yet")</f>
        <v>2</v>
      </c>
      <c r="G962" s="10" t="str">
        <f>_xlfn.XLOOKUP(D962,'Gemini Output'!B:B,'Gemini Output'!E:E,"No Match Yet")</f>
        <v>L2</v>
      </c>
      <c r="H962" s="10"/>
      <c r="I962" s="10"/>
      <c r="J962" s="10"/>
      <c r="K962" s="10"/>
      <c r="L962" s="10"/>
      <c r="M962" s="10"/>
      <c r="N962" s="10"/>
      <c r="O962" s="10"/>
    </row>
    <row r="963" spans="2:15" ht="20.25">
      <c r="B963" s="10"/>
      <c r="C963" s="14">
        <v>960</v>
      </c>
      <c r="D963" s="10" t="s">
        <v>1035</v>
      </c>
      <c r="E963" s="14">
        <v>21</v>
      </c>
      <c r="F963" s="15">
        <f>_xlfn.XLOOKUP(D963,'Gemini Output'!B:B,'Gemini Output'!C:C,"No Match Yet")</f>
        <v>10</v>
      </c>
      <c r="G963" s="10" t="str">
        <f>_xlfn.XLOOKUP(D963,'Gemini Output'!B:B,'Gemini Output'!E:E,"No Match Yet")</f>
        <v>L2</v>
      </c>
      <c r="H963" s="10"/>
      <c r="I963" s="10"/>
      <c r="J963" s="10"/>
      <c r="K963" s="10"/>
      <c r="L963" s="10"/>
      <c r="M963" s="10"/>
      <c r="N963" s="10"/>
      <c r="O963" s="10"/>
    </row>
    <row r="964" spans="2:15" ht="20.25">
      <c r="B964" s="10"/>
      <c r="C964" s="14">
        <v>961</v>
      </c>
      <c r="D964" s="10" t="s">
        <v>1036</v>
      </c>
      <c r="E964" s="14">
        <v>21</v>
      </c>
      <c r="F964" s="15">
        <f>_xlfn.XLOOKUP(D964,'Gemini Output'!B:B,'Gemini Output'!C:C,"No Match Yet")</f>
        <v>6</v>
      </c>
      <c r="G964" s="10" t="str">
        <f>_xlfn.XLOOKUP(D964,'Gemini Output'!B:B,'Gemini Output'!E:E,"No Match Yet")</f>
        <v>L3</v>
      </c>
      <c r="H964" s="10"/>
      <c r="I964" s="10"/>
      <c r="J964" s="10"/>
      <c r="K964" s="10"/>
      <c r="L964" s="10"/>
      <c r="M964" s="10"/>
      <c r="N964" s="10"/>
      <c r="O964" s="10"/>
    </row>
    <row r="965" spans="2:15" ht="20.25">
      <c r="B965" s="10"/>
      <c r="C965" s="14">
        <v>962</v>
      </c>
      <c r="D965" s="10" t="s">
        <v>1037</v>
      </c>
      <c r="E965" s="14">
        <v>21</v>
      </c>
      <c r="F965" s="15">
        <f>_xlfn.XLOOKUP(D965,'Gemini Output'!B:B,'Gemini Output'!C:C,"No Match Yet")</f>
        <v>1</v>
      </c>
      <c r="G965" s="10" t="str">
        <f>_xlfn.XLOOKUP(D965,'Gemini Output'!B:B,'Gemini Output'!E:E,"No Match Yet")</f>
        <v>L2</v>
      </c>
      <c r="H965" s="10"/>
      <c r="I965" s="10"/>
      <c r="J965" s="10"/>
      <c r="K965" s="10"/>
      <c r="L965" s="10"/>
      <c r="M965" s="10"/>
      <c r="N965" s="10"/>
      <c r="O965" s="10"/>
    </row>
    <row r="966" spans="2:15" ht="20.25">
      <c r="B966" s="10"/>
      <c r="C966" s="14">
        <v>963</v>
      </c>
      <c r="D966" s="10" t="s">
        <v>1038</v>
      </c>
      <c r="E966" s="14">
        <v>21</v>
      </c>
      <c r="F966" s="15">
        <f>_xlfn.XLOOKUP(D966,'Gemini Output'!B:B,'Gemini Output'!C:C,"No Match Yet")</f>
        <v>6</v>
      </c>
      <c r="G966" s="10" t="str">
        <f>_xlfn.XLOOKUP(D966,'Gemini Output'!B:B,'Gemini Output'!E:E,"No Match Yet")</f>
        <v>L3</v>
      </c>
      <c r="H966" s="10"/>
      <c r="I966" s="10"/>
      <c r="J966" s="10"/>
      <c r="K966" s="10"/>
      <c r="L966" s="10"/>
      <c r="M966" s="10"/>
      <c r="N966" s="10"/>
      <c r="O966" s="10"/>
    </row>
    <row r="967" spans="2:15" ht="20.25">
      <c r="B967" s="10"/>
      <c r="C967" s="14">
        <v>964</v>
      </c>
      <c r="D967" s="10" t="s">
        <v>1039</v>
      </c>
      <c r="E967" s="14">
        <v>21</v>
      </c>
      <c r="F967" s="15">
        <f>_xlfn.XLOOKUP(D967,'Gemini Output'!B:B,'Gemini Output'!C:C,"No Match Yet")</f>
        <v>2</v>
      </c>
      <c r="G967" s="10" t="str">
        <f>_xlfn.XLOOKUP(D967,'Gemini Output'!B:B,'Gemini Output'!E:E,"No Match Yet")</f>
        <v>L2</v>
      </c>
      <c r="H967" s="10"/>
      <c r="I967" s="10"/>
      <c r="J967" s="10"/>
      <c r="K967" s="10"/>
      <c r="L967" s="10"/>
      <c r="M967" s="10"/>
      <c r="N967" s="10"/>
      <c r="O967" s="10"/>
    </row>
    <row r="968" spans="2:15" ht="20.25">
      <c r="B968" s="10"/>
      <c r="C968" s="14">
        <v>965</v>
      </c>
      <c r="D968" s="10" t="s">
        <v>1040</v>
      </c>
      <c r="E968" s="14">
        <v>21</v>
      </c>
      <c r="F968" s="15">
        <f>_xlfn.XLOOKUP(D968,'Gemini Output'!B:B,'Gemini Output'!C:C,"No Match Yet")</f>
        <v>12</v>
      </c>
      <c r="G968" s="10" t="str">
        <f>_xlfn.XLOOKUP(D968,'Gemini Output'!B:B,'Gemini Output'!E:E,"No Match Yet")</f>
        <v>L2</v>
      </c>
      <c r="H968" s="10"/>
      <c r="I968" s="10"/>
      <c r="J968" s="10"/>
      <c r="K968" s="10"/>
      <c r="L968" s="10"/>
      <c r="M968" s="10"/>
      <c r="N968" s="10"/>
      <c r="O968" s="10"/>
    </row>
    <row r="969" spans="2:15" ht="20.25">
      <c r="B969" s="10"/>
      <c r="C969" s="14">
        <v>966</v>
      </c>
      <c r="D969" s="10" t="s">
        <v>1041</v>
      </c>
      <c r="E969" s="14">
        <v>21</v>
      </c>
      <c r="F969" s="15">
        <f>_xlfn.XLOOKUP(D969,'Gemini Output'!B:B,'Gemini Output'!C:C,"No Match Yet")</f>
        <v>1</v>
      </c>
      <c r="G969" s="10" t="str">
        <f>_xlfn.XLOOKUP(D969,'Gemini Output'!B:B,'Gemini Output'!E:E,"No Match Yet")</f>
        <v>L2</v>
      </c>
      <c r="H969" s="10"/>
      <c r="I969" s="10"/>
      <c r="J969" s="10"/>
      <c r="K969" s="10"/>
      <c r="L969" s="10"/>
      <c r="M969" s="10"/>
      <c r="N969" s="10"/>
      <c r="O969" s="10"/>
    </row>
    <row r="970" spans="2:15" ht="20.25">
      <c r="B970" s="10"/>
      <c r="C970" s="14">
        <v>967</v>
      </c>
      <c r="D970" s="10" t="s">
        <v>1042</v>
      </c>
      <c r="E970" s="14">
        <v>21</v>
      </c>
      <c r="F970" s="15">
        <f>_xlfn.XLOOKUP(D970,'Gemini Output'!B:B,'Gemini Output'!C:C,"No Match Yet")</f>
        <v>15</v>
      </c>
      <c r="G970" s="10" t="str">
        <f>_xlfn.XLOOKUP(D970,'Gemini Output'!B:B,'Gemini Output'!E:E,"No Match Yet")</f>
        <v>L1</v>
      </c>
      <c r="H970" s="10"/>
      <c r="I970" s="10"/>
      <c r="J970" s="10"/>
      <c r="K970" s="10"/>
      <c r="L970" s="10"/>
      <c r="M970" s="10"/>
      <c r="N970" s="10"/>
      <c r="O970" s="10"/>
    </row>
    <row r="971" spans="2:15" ht="20.25">
      <c r="B971" s="10"/>
      <c r="C971" s="14">
        <v>968</v>
      </c>
      <c r="D971" s="10" t="s">
        <v>1043</v>
      </c>
      <c r="E971" s="14">
        <v>21</v>
      </c>
      <c r="F971" s="15">
        <f>_xlfn.XLOOKUP(D971,'Gemini Output'!B:B,'Gemini Output'!C:C,"No Match Yet")</f>
        <v>9</v>
      </c>
      <c r="G971" s="10" t="str">
        <f>_xlfn.XLOOKUP(D971,'Gemini Output'!B:B,'Gemini Output'!E:E,"No Match Yet")</f>
        <v>L1</v>
      </c>
      <c r="H971" s="10"/>
      <c r="I971" s="10"/>
      <c r="J971" s="10"/>
      <c r="K971" s="10"/>
      <c r="L971" s="10"/>
      <c r="M971" s="10"/>
      <c r="N971" s="10"/>
      <c r="O971" s="10"/>
    </row>
    <row r="972" spans="2:15" ht="20.25">
      <c r="B972" s="10"/>
      <c r="C972" s="14">
        <v>969</v>
      </c>
      <c r="D972" s="10" t="s">
        <v>1044</v>
      </c>
      <c r="E972" s="14">
        <v>21</v>
      </c>
      <c r="F972" s="15">
        <f>_xlfn.XLOOKUP(D972,'Gemini Output'!B:B,'Gemini Output'!C:C,"No Match Yet")</f>
        <v>3</v>
      </c>
      <c r="G972" s="10" t="str">
        <f>_xlfn.XLOOKUP(D972,'Gemini Output'!B:B,'Gemini Output'!E:E,"No Match Yet")</f>
        <v>L2</v>
      </c>
      <c r="H972" s="10"/>
      <c r="I972" s="10"/>
      <c r="J972" s="10"/>
      <c r="K972" s="10"/>
      <c r="L972" s="10"/>
      <c r="M972" s="10"/>
      <c r="N972" s="10"/>
      <c r="O972" s="10"/>
    </row>
    <row r="973" spans="2:15" ht="20.25">
      <c r="B973" s="10"/>
      <c r="C973" s="14">
        <v>970</v>
      </c>
      <c r="D973" s="10" t="s">
        <v>1045</v>
      </c>
      <c r="E973" s="14">
        <v>21</v>
      </c>
      <c r="F973" s="15">
        <f>_xlfn.XLOOKUP(D973,'Gemini Output'!B:B,'Gemini Output'!C:C,"No Match Yet")</f>
        <v>2</v>
      </c>
      <c r="G973" s="10" t="str">
        <f>_xlfn.XLOOKUP(D973,'Gemini Output'!B:B,'Gemini Output'!E:E,"No Match Yet")</f>
        <v>L3</v>
      </c>
      <c r="H973" s="10"/>
      <c r="I973" s="10"/>
      <c r="J973" s="10"/>
      <c r="K973" s="10"/>
      <c r="L973" s="10"/>
      <c r="M973" s="10"/>
      <c r="N973" s="10"/>
      <c r="O973" s="10"/>
    </row>
    <row r="974" spans="2:15" ht="20.25">
      <c r="B974" s="10"/>
      <c r="C974" s="14">
        <v>971</v>
      </c>
      <c r="D974" s="10" t="s">
        <v>1046</v>
      </c>
      <c r="E974" s="14">
        <v>21</v>
      </c>
      <c r="F974" s="15">
        <f>_xlfn.XLOOKUP(D974,'Gemini Output'!B:B,'Gemini Output'!C:C,"No Match Yet")</f>
        <v>12</v>
      </c>
      <c r="G974" s="10" t="str">
        <f>_xlfn.XLOOKUP(D974,'Gemini Output'!B:B,'Gemini Output'!E:E,"No Match Yet")</f>
        <v>L3</v>
      </c>
      <c r="H974" s="10"/>
      <c r="I974" s="10"/>
      <c r="J974" s="10"/>
      <c r="K974" s="10"/>
      <c r="L974" s="10"/>
      <c r="M974" s="10"/>
      <c r="N974" s="10"/>
      <c r="O974" s="10"/>
    </row>
    <row r="975" spans="2:15" ht="20.25">
      <c r="B975" s="10"/>
      <c r="C975" s="14">
        <v>972</v>
      </c>
      <c r="D975" s="10" t="s">
        <v>1047</v>
      </c>
      <c r="E975" s="14">
        <v>21</v>
      </c>
      <c r="F975" s="15">
        <f>_xlfn.XLOOKUP(D975,'Gemini Output'!B:B,'Gemini Output'!C:C,"No Match Yet")</f>
        <v>13</v>
      </c>
      <c r="G975" s="10" t="str">
        <f>_xlfn.XLOOKUP(D975,'Gemini Output'!B:B,'Gemini Output'!E:E,"No Match Yet")</f>
        <v>L2</v>
      </c>
      <c r="H975" s="10"/>
      <c r="I975" s="10"/>
      <c r="J975" s="10"/>
      <c r="K975" s="10"/>
      <c r="L975" s="10"/>
      <c r="M975" s="10"/>
      <c r="N975" s="10"/>
      <c r="O975" s="10"/>
    </row>
    <row r="976" spans="2:15" ht="20.25">
      <c r="B976" s="10"/>
      <c r="C976" s="14">
        <v>973</v>
      </c>
      <c r="D976" s="10" t="s">
        <v>1048</v>
      </c>
      <c r="E976" s="14">
        <v>21</v>
      </c>
      <c r="F976" s="15">
        <f>_xlfn.XLOOKUP(D976,'Gemini Output'!B:B,'Gemini Output'!C:C,"No Match Yet")</f>
        <v>1</v>
      </c>
      <c r="G976" s="10" t="str">
        <f>_xlfn.XLOOKUP(D976,'Gemini Output'!B:B,'Gemini Output'!E:E,"No Match Yet")</f>
        <v>L2</v>
      </c>
      <c r="H976" s="10"/>
      <c r="I976" s="10"/>
      <c r="J976" s="10"/>
      <c r="K976" s="10"/>
      <c r="L976" s="10"/>
      <c r="M976" s="10"/>
      <c r="N976" s="10"/>
      <c r="O976" s="10"/>
    </row>
    <row r="977" spans="2:15" ht="20.25">
      <c r="B977" s="10"/>
      <c r="C977" s="14">
        <v>974</v>
      </c>
      <c r="D977" s="10" t="s">
        <v>1049</v>
      </c>
      <c r="E977" s="14">
        <v>21</v>
      </c>
      <c r="F977" s="15">
        <f>_xlfn.XLOOKUP(D977,'Gemini Output'!B:B,'Gemini Output'!C:C,"No Match Yet")</f>
        <v>9</v>
      </c>
      <c r="G977" s="10" t="str">
        <f>_xlfn.XLOOKUP(D977,'Gemini Output'!B:B,'Gemini Output'!E:E,"No Match Yet")</f>
        <v>L1</v>
      </c>
      <c r="H977" s="10"/>
      <c r="I977" s="10"/>
      <c r="J977" s="10"/>
      <c r="K977" s="10"/>
      <c r="L977" s="10"/>
      <c r="M977" s="10"/>
      <c r="N977" s="10"/>
      <c r="O977" s="10"/>
    </row>
    <row r="978" spans="2:15" ht="20.25">
      <c r="B978" s="10"/>
      <c r="C978" s="14">
        <v>975</v>
      </c>
      <c r="D978" s="10" t="s">
        <v>1050</v>
      </c>
      <c r="E978" s="14">
        <v>21</v>
      </c>
      <c r="F978" s="15">
        <f>_xlfn.XLOOKUP(D978,'Gemini Output'!B:B,'Gemini Output'!C:C,"No Match Yet")</f>
        <v>1</v>
      </c>
      <c r="G978" s="10" t="str">
        <f>_xlfn.XLOOKUP(D978,'Gemini Output'!B:B,'Gemini Output'!E:E,"No Match Yet")</f>
        <v>L2</v>
      </c>
      <c r="H978" s="10"/>
      <c r="I978" s="10"/>
      <c r="J978" s="10"/>
      <c r="K978" s="10"/>
      <c r="L978" s="10"/>
      <c r="M978" s="10"/>
      <c r="N978" s="10"/>
      <c r="O978" s="10"/>
    </row>
    <row r="979" spans="2:15" ht="20.25">
      <c r="B979" s="10"/>
      <c r="C979" s="14">
        <v>976</v>
      </c>
      <c r="D979" s="10" t="s">
        <v>1051</v>
      </c>
      <c r="E979" s="14">
        <v>21</v>
      </c>
      <c r="F979" s="15">
        <f>_xlfn.XLOOKUP(D979,'Gemini Output'!B:B,'Gemini Output'!C:C,"No Match Yet")</f>
        <v>4</v>
      </c>
      <c r="G979" s="10" t="str">
        <f>_xlfn.XLOOKUP(D979,'Gemini Output'!B:B,'Gemini Output'!E:E,"No Match Yet")</f>
        <v>L1</v>
      </c>
      <c r="H979" s="10"/>
      <c r="I979" s="10"/>
      <c r="J979" s="10"/>
      <c r="K979" s="10"/>
      <c r="L979" s="10"/>
      <c r="M979" s="10"/>
      <c r="N979" s="10"/>
      <c r="O979" s="10"/>
    </row>
    <row r="980" spans="2:15" ht="20.25">
      <c r="B980" s="10"/>
      <c r="C980" s="14">
        <v>977</v>
      </c>
      <c r="D980" s="10" t="s">
        <v>1052</v>
      </c>
      <c r="E980" s="14">
        <v>21</v>
      </c>
      <c r="F980" s="15">
        <f>_xlfn.XLOOKUP(D980,'Gemini Output'!B:B,'Gemini Output'!C:C,"No Match Yet")</f>
        <v>12</v>
      </c>
      <c r="G980" s="10" t="str">
        <f>_xlfn.XLOOKUP(D980,'Gemini Output'!B:B,'Gemini Output'!E:E,"No Match Yet")</f>
        <v>L2</v>
      </c>
      <c r="H980" s="10"/>
      <c r="I980" s="10"/>
      <c r="J980" s="10"/>
      <c r="K980" s="10"/>
      <c r="L980" s="10"/>
      <c r="M980" s="10"/>
      <c r="N980" s="10"/>
      <c r="O980" s="10"/>
    </row>
    <row r="981" spans="2:15" ht="20.25">
      <c r="B981" s="10"/>
      <c r="C981" s="14">
        <v>978</v>
      </c>
      <c r="D981" s="10" t="s">
        <v>1053</v>
      </c>
      <c r="E981" s="14">
        <v>21</v>
      </c>
      <c r="F981" s="15">
        <f>_xlfn.XLOOKUP(D981,'Gemini Output'!B:B,'Gemini Output'!C:C,"No Match Yet")</f>
        <v>3</v>
      </c>
      <c r="G981" s="10" t="str">
        <f>_xlfn.XLOOKUP(D981,'Gemini Output'!B:B,'Gemini Output'!E:E,"No Match Yet")</f>
        <v>L2</v>
      </c>
      <c r="H981" s="10"/>
      <c r="I981" s="10"/>
      <c r="J981" s="10"/>
      <c r="K981" s="10"/>
      <c r="L981" s="10"/>
      <c r="M981" s="10"/>
      <c r="N981" s="10"/>
      <c r="O981" s="10"/>
    </row>
    <row r="982" spans="2:15" ht="20.25">
      <c r="B982" s="10"/>
      <c r="C982" s="14">
        <v>979</v>
      </c>
      <c r="D982" s="10" t="s">
        <v>1054</v>
      </c>
      <c r="E982" s="14">
        <v>21</v>
      </c>
      <c r="F982" s="15">
        <f>_xlfn.XLOOKUP(D982,'Gemini Output'!B:B,'Gemini Output'!C:C,"No Match Yet")</f>
        <v>12</v>
      </c>
      <c r="G982" s="10" t="str">
        <f>_xlfn.XLOOKUP(D982,'Gemini Output'!B:B,'Gemini Output'!E:E,"No Match Yet")</f>
        <v>L1</v>
      </c>
      <c r="H982" s="10"/>
      <c r="I982" s="10"/>
      <c r="J982" s="10"/>
      <c r="K982" s="10"/>
      <c r="L982" s="10"/>
      <c r="M982" s="10"/>
      <c r="N982" s="10"/>
      <c r="O982" s="10"/>
    </row>
    <row r="983" spans="2:15" ht="20.25">
      <c r="B983" s="10"/>
      <c r="C983" s="14">
        <v>980</v>
      </c>
      <c r="D983" s="10" t="s">
        <v>1055</v>
      </c>
      <c r="E983" s="14">
        <v>21</v>
      </c>
      <c r="F983" s="15">
        <f>_xlfn.XLOOKUP(D983,'Gemini Output'!B:B,'Gemini Output'!C:C,"No Match Yet")</f>
        <v>5</v>
      </c>
      <c r="G983" s="10" t="str">
        <f>_xlfn.XLOOKUP(D983,'Gemini Output'!B:B,'Gemini Output'!E:E,"No Match Yet")</f>
        <v>L3</v>
      </c>
      <c r="H983" s="10"/>
      <c r="I983" s="10"/>
      <c r="J983" s="10"/>
      <c r="K983" s="10"/>
      <c r="L983" s="10"/>
      <c r="M983" s="10"/>
      <c r="N983" s="10"/>
      <c r="O983" s="10"/>
    </row>
    <row r="984" spans="2:15" ht="20.25">
      <c r="B984" s="10"/>
      <c r="C984" s="14">
        <v>981</v>
      </c>
      <c r="D984" s="10" t="s">
        <v>1056</v>
      </c>
      <c r="E984" s="14">
        <v>21</v>
      </c>
      <c r="F984" s="15">
        <f>_xlfn.XLOOKUP(D984,'Gemini Output'!B:B,'Gemini Output'!C:C,"No Match Yet")</f>
        <v>10</v>
      </c>
      <c r="G984" s="10" t="str">
        <f>_xlfn.XLOOKUP(D984,'Gemini Output'!B:B,'Gemini Output'!E:E,"No Match Yet")</f>
        <v>L2</v>
      </c>
      <c r="H984" s="10"/>
      <c r="I984" s="10"/>
      <c r="J984" s="10"/>
      <c r="K984" s="10"/>
      <c r="L984" s="10"/>
      <c r="M984" s="10"/>
      <c r="N984" s="10"/>
      <c r="O984" s="10"/>
    </row>
    <row r="985" spans="2:15" ht="20.25">
      <c r="B985" s="10"/>
      <c r="C985" s="14">
        <v>982</v>
      </c>
      <c r="D985" s="10" t="s">
        <v>1057</v>
      </c>
      <c r="E985" s="14">
        <v>21</v>
      </c>
      <c r="F985" s="15">
        <f>_xlfn.XLOOKUP(D985,'Gemini Output'!B:B,'Gemini Output'!C:C,"No Match Yet")</f>
        <v>7</v>
      </c>
      <c r="G985" s="10" t="str">
        <f>_xlfn.XLOOKUP(D985,'Gemini Output'!B:B,'Gemini Output'!E:E,"No Match Yet")</f>
        <v>L2</v>
      </c>
      <c r="H985" s="10"/>
      <c r="I985" s="10"/>
      <c r="J985" s="10"/>
      <c r="K985" s="10"/>
      <c r="L985" s="10"/>
      <c r="M985" s="10"/>
      <c r="N985" s="10"/>
      <c r="O985" s="10"/>
    </row>
    <row r="986" spans="2:15" ht="20.25">
      <c r="B986" s="10"/>
      <c r="C986" s="14">
        <v>983</v>
      </c>
      <c r="D986" s="10" t="s">
        <v>1058</v>
      </c>
      <c r="E986" s="14">
        <v>21</v>
      </c>
      <c r="F986" s="15">
        <f>_xlfn.XLOOKUP(D986,'Gemini Output'!B:B,'Gemini Output'!C:C,"No Match Yet")</f>
        <v>1</v>
      </c>
      <c r="G986" s="10" t="str">
        <f>_xlfn.XLOOKUP(D986,'Gemini Output'!B:B,'Gemini Output'!E:E,"No Match Yet")</f>
        <v>L2</v>
      </c>
      <c r="H986" s="10"/>
      <c r="I986" s="10"/>
      <c r="J986" s="10"/>
      <c r="K986" s="10"/>
      <c r="L986" s="10"/>
      <c r="M986" s="10"/>
      <c r="N986" s="10"/>
      <c r="O986" s="10"/>
    </row>
    <row r="987" spans="2:15" ht="20.25">
      <c r="B987" s="10"/>
      <c r="C987" s="14">
        <v>984</v>
      </c>
      <c r="D987" s="10" t="s">
        <v>1059</v>
      </c>
      <c r="E987" s="14">
        <v>21</v>
      </c>
      <c r="F987" s="15">
        <f>_xlfn.XLOOKUP(D987,'Gemini Output'!B:B,'Gemini Output'!C:C,"No Match Yet")</f>
        <v>13</v>
      </c>
      <c r="G987" s="10" t="str">
        <f>_xlfn.XLOOKUP(D987,'Gemini Output'!B:B,'Gemini Output'!E:E,"No Match Yet")</f>
        <v>L1</v>
      </c>
      <c r="H987" s="10"/>
      <c r="I987" s="10"/>
      <c r="J987" s="10"/>
      <c r="K987" s="10"/>
      <c r="L987" s="10"/>
      <c r="M987" s="10"/>
      <c r="N987" s="10"/>
      <c r="O987" s="10"/>
    </row>
    <row r="988" spans="2:15" ht="20.25">
      <c r="B988" s="10"/>
      <c r="C988" s="14">
        <v>985</v>
      </c>
      <c r="D988" s="10" t="s">
        <v>1060</v>
      </c>
      <c r="E988" s="14">
        <v>21</v>
      </c>
      <c r="F988" s="15">
        <f>_xlfn.XLOOKUP(D988,'Gemini Output'!B:B,'Gemini Output'!C:C,"No Match Yet")</f>
        <v>10</v>
      </c>
      <c r="G988" s="10" t="str">
        <f>_xlfn.XLOOKUP(D988,'Gemini Output'!B:B,'Gemini Output'!E:E,"No Match Yet")</f>
        <v>L2</v>
      </c>
      <c r="H988" s="10"/>
      <c r="I988" s="10"/>
      <c r="J988" s="10"/>
      <c r="K988" s="10"/>
      <c r="L988" s="10"/>
      <c r="M988" s="10"/>
      <c r="N988" s="10"/>
      <c r="O988" s="10"/>
    </row>
    <row r="989" spans="2:15" ht="20.25">
      <c r="B989" s="10"/>
      <c r="C989" s="14">
        <v>986</v>
      </c>
      <c r="D989" s="10" t="s">
        <v>1061</v>
      </c>
      <c r="E989" s="14">
        <v>21</v>
      </c>
      <c r="F989" s="15">
        <f>_xlfn.XLOOKUP(D989,'Gemini Output'!B:B,'Gemini Output'!C:C,"No Match Yet")</f>
        <v>15</v>
      </c>
      <c r="G989" s="10" t="str">
        <f>_xlfn.XLOOKUP(D989,'Gemini Output'!B:B,'Gemini Output'!E:E,"No Match Yet")</f>
        <v>L1</v>
      </c>
      <c r="H989" s="10"/>
      <c r="I989" s="10"/>
      <c r="J989" s="10"/>
      <c r="K989" s="10"/>
      <c r="L989" s="10"/>
      <c r="M989" s="10"/>
      <c r="N989" s="10"/>
      <c r="O989" s="10"/>
    </row>
    <row r="990" spans="2:15" ht="20.25">
      <c r="B990" s="10"/>
      <c r="C990" s="14">
        <v>987</v>
      </c>
      <c r="D990" s="10" t="s">
        <v>1062</v>
      </c>
      <c r="E990" s="14">
        <v>21</v>
      </c>
      <c r="F990" s="15">
        <f>_xlfn.XLOOKUP(D990,'Gemini Output'!B:B,'Gemini Output'!C:C,"No Match Yet")</f>
        <v>9</v>
      </c>
      <c r="G990" s="10" t="str">
        <f>_xlfn.XLOOKUP(D990,'Gemini Output'!B:B,'Gemini Output'!E:E,"No Match Yet")</f>
        <v>L1</v>
      </c>
      <c r="H990" s="10"/>
      <c r="I990" s="10"/>
      <c r="J990" s="10"/>
      <c r="K990" s="10"/>
      <c r="L990" s="10"/>
      <c r="M990" s="10"/>
      <c r="N990" s="10"/>
      <c r="O990" s="10"/>
    </row>
    <row r="991" spans="2:15" ht="20.25">
      <c r="B991" s="10"/>
      <c r="C991" s="14">
        <v>988</v>
      </c>
      <c r="D991" s="10" t="s">
        <v>1063</v>
      </c>
      <c r="E991" s="14">
        <v>21</v>
      </c>
      <c r="F991" s="15">
        <f>_xlfn.XLOOKUP(D991,'Gemini Output'!B:B,'Gemini Output'!C:C,"No Match Yet")</f>
        <v>8</v>
      </c>
      <c r="G991" s="10" t="str">
        <f>_xlfn.XLOOKUP(D991,'Gemini Output'!B:B,'Gemini Output'!E:E,"No Match Yet")</f>
        <v>L3</v>
      </c>
      <c r="H991" s="10"/>
      <c r="I991" s="10"/>
      <c r="J991" s="10"/>
      <c r="K991" s="10"/>
      <c r="L991" s="10"/>
      <c r="M991" s="10"/>
      <c r="N991" s="10"/>
      <c r="O991" s="10"/>
    </row>
    <row r="992" spans="2:15" ht="20.25">
      <c r="B992" s="10"/>
      <c r="C992" s="14">
        <v>989</v>
      </c>
      <c r="D992" s="10" t="s">
        <v>1064</v>
      </c>
      <c r="E992" s="14">
        <v>21</v>
      </c>
      <c r="F992" s="15">
        <f>_xlfn.XLOOKUP(D992,'Gemini Output'!B:B,'Gemini Output'!C:C,"No Match Yet")</f>
        <v>13</v>
      </c>
      <c r="G992" s="10" t="str">
        <f>_xlfn.XLOOKUP(D992,'Gemini Output'!B:B,'Gemini Output'!E:E,"No Match Yet")</f>
        <v>L1</v>
      </c>
      <c r="H992" s="10"/>
      <c r="I992" s="10"/>
      <c r="J992" s="10"/>
      <c r="K992" s="10"/>
      <c r="L992" s="10"/>
      <c r="M992" s="10"/>
      <c r="N992" s="10"/>
      <c r="O992" s="10"/>
    </row>
    <row r="993" spans="2:15" ht="20.25">
      <c r="B993" s="10"/>
      <c r="C993" s="14">
        <v>990</v>
      </c>
      <c r="D993" s="10" t="s">
        <v>1065</v>
      </c>
      <c r="E993" s="14">
        <v>21</v>
      </c>
      <c r="F993" s="15">
        <f>_xlfn.XLOOKUP(D993,'Gemini Output'!B:B,'Gemini Output'!C:C,"No Match Yet")</f>
        <v>5</v>
      </c>
      <c r="G993" s="10" t="str">
        <f>_xlfn.XLOOKUP(D993,'Gemini Output'!B:B,'Gemini Output'!E:E,"No Match Yet")</f>
        <v>L2</v>
      </c>
      <c r="H993" s="10"/>
      <c r="I993" s="10"/>
      <c r="J993" s="10"/>
      <c r="K993" s="10"/>
      <c r="L993" s="10"/>
      <c r="M993" s="10"/>
      <c r="N993" s="10"/>
      <c r="O993" s="10"/>
    </row>
    <row r="994" spans="2:15" ht="20.25">
      <c r="B994" s="10"/>
      <c r="C994" s="14">
        <v>991</v>
      </c>
      <c r="D994" s="10" t="s">
        <v>1066</v>
      </c>
      <c r="E994" s="14">
        <v>21</v>
      </c>
      <c r="F994" s="15">
        <f>_xlfn.XLOOKUP(D994,'Gemini Output'!B:B,'Gemini Output'!C:C,"No Match Yet")</f>
        <v>9</v>
      </c>
      <c r="G994" s="10" t="str">
        <f>_xlfn.XLOOKUP(D994,'Gemini Output'!B:B,'Gemini Output'!E:E,"No Match Yet")</f>
        <v>L2</v>
      </c>
      <c r="H994" s="10"/>
      <c r="I994" s="10"/>
      <c r="J994" s="10"/>
      <c r="K994" s="10"/>
      <c r="L994" s="10"/>
      <c r="M994" s="10"/>
      <c r="N994" s="10"/>
      <c r="O994" s="10"/>
    </row>
    <row r="995" spans="2:15" ht="20.25">
      <c r="B995" s="10"/>
      <c r="C995" s="14">
        <v>992</v>
      </c>
      <c r="D995" s="10" t="s">
        <v>1067</v>
      </c>
      <c r="E995" s="14">
        <v>21</v>
      </c>
      <c r="F995" s="15">
        <f>_xlfn.XLOOKUP(D995,'Gemini Output'!B:B,'Gemini Output'!C:C,"No Match Yet")</f>
        <v>15</v>
      </c>
      <c r="G995" s="10" t="str">
        <f>_xlfn.XLOOKUP(D995,'Gemini Output'!B:B,'Gemini Output'!E:E,"No Match Yet")</f>
        <v>L1</v>
      </c>
      <c r="H995" s="10"/>
      <c r="I995" s="10"/>
      <c r="J995" s="10"/>
      <c r="K995" s="10"/>
      <c r="L995" s="10"/>
      <c r="M995" s="10"/>
      <c r="N995" s="10"/>
      <c r="O995" s="10"/>
    </row>
    <row r="996" spans="2:15" ht="20.25">
      <c r="B996" s="10"/>
      <c r="C996" s="14">
        <v>993</v>
      </c>
      <c r="D996" s="10" t="s">
        <v>1068</v>
      </c>
      <c r="E996" s="14">
        <v>21</v>
      </c>
      <c r="F996" s="15">
        <f>_xlfn.XLOOKUP(D996,'Gemini Output'!B:B,'Gemini Output'!C:C,"No Match Yet")</f>
        <v>11</v>
      </c>
      <c r="G996" s="10" t="str">
        <f>_xlfn.XLOOKUP(D996,'Gemini Output'!B:B,'Gemini Output'!E:E,"No Match Yet")</f>
        <v>L2</v>
      </c>
      <c r="H996" s="10"/>
      <c r="I996" s="10"/>
      <c r="J996" s="10"/>
      <c r="K996" s="10"/>
      <c r="L996" s="10"/>
      <c r="M996" s="10"/>
      <c r="N996" s="10"/>
      <c r="O996" s="10"/>
    </row>
    <row r="997" spans="2:15" ht="20.25">
      <c r="B997" s="10"/>
      <c r="C997" s="14">
        <v>994</v>
      </c>
      <c r="D997" s="10" t="s">
        <v>1069</v>
      </c>
      <c r="E997" s="14">
        <v>21</v>
      </c>
      <c r="F997" s="15">
        <f>_xlfn.XLOOKUP(D997,'Gemini Output'!B:B,'Gemini Output'!C:C,"No Match Yet")</f>
        <v>4</v>
      </c>
      <c r="G997" s="10" t="str">
        <f>_xlfn.XLOOKUP(D997,'Gemini Output'!B:B,'Gemini Output'!E:E,"No Match Yet")</f>
        <v>L2</v>
      </c>
      <c r="H997" s="10"/>
      <c r="I997" s="10"/>
      <c r="J997" s="10"/>
      <c r="K997" s="10"/>
      <c r="L997" s="10"/>
      <c r="M997" s="10"/>
      <c r="N997" s="10"/>
      <c r="O997" s="10"/>
    </row>
    <row r="998" spans="2:15" ht="20.25">
      <c r="B998" s="10"/>
      <c r="C998" s="14">
        <v>995</v>
      </c>
      <c r="D998" s="10" t="s">
        <v>1070</v>
      </c>
      <c r="E998" s="14">
        <v>21</v>
      </c>
      <c r="F998" s="15">
        <f>_xlfn.XLOOKUP(D998,'Gemini Output'!B:B,'Gemini Output'!C:C,"No Match Yet")</f>
        <v>9</v>
      </c>
      <c r="G998" s="10" t="str">
        <f>_xlfn.XLOOKUP(D998,'Gemini Output'!B:B,'Gemini Output'!E:E,"No Match Yet")</f>
        <v>L2</v>
      </c>
      <c r="H998" s="10"/>
      <c r="I998" s="10"/>
      <c r="J998" s="10"/>
      <c r="K998" s="10"/>
      <c r="L998" s="10"/>
      <c r="M998" s="10"/>
      <c r="N998" s="10"/>
      <c r="O998" s="10"/>
    </row>
    <row r="999" spans="2:15" ht="20.25">
      <c r="B999" s="10"/>
      <c r="C999" s="14">
        <v>996</v>
      </c>
      <c r="D999" s="10" t="s">
        <v>1071</v>
      </c>
      <c r="E999" s="14">
        <v>21</v>
      </c>
      <c r="F999" s="15">
        <f>_xlfn.XLOOKUP(D999,'Gemini Output'!B:B,'Gemini Output'!C:C,"No Match Yet")</f>
        <v>7</v>
      </c>
      <c r="G999" s="10" t="str">
        <f>_xlfn.XLOOKUP(D999,'Gemini Output'!B:B,'Gemini Output'!E:E,"No Match Yet")</f>
        <v>L1</v>
      </c>
      <c r="H999" s="10"/>
      <c r="I999" s="10"/>
      <c r="J999" s="10"/>
      <c r="K999" s="10"/>
      <c r="L999" s="10"/>
      <c r="M999" s="10"/>
      <c r="N999" s="10"/>
      <c r="O999" s="10"/>
    </row>
    <row r="1000" spans="2:15" ht="20.25">
      <c r="B1000" s="10"/>
      <c r="C1000" s="14">
        <v>997</v>
      </c>
      <c r="D1000" s="10" t="s">
        <v>1072</v>
      </c>
      <c r="E1000" s="14">
        <v>21</v>
      </c>
      <c r="F1000" s="15">
        <f>_xlfn.XLOOKUP(D1000,'Gemini Output'!B:B,'Gemini Output'!C:C,"No Match Yet")</f>
        <v>3</v>
      </c>
      <c r="G1000" s="10" t="str">
        <f>_xlfn.XLOOKUP(D1000,'Gemini Output'!B:B,'Gemini Output'!E:E,"No Match Yet")</f>
        <v>L1</v>
      </c>
      <c r="H1000" s="10"/>
      <c r="I1000" s="10"/>
      <c r="J1000" s="10"/>
      <c r="K1000" s="10"/>
      <c r="L1000" s="10"/>
      <c r="M1000" s="10"/>
      <c r="N1000" s="10"/>
      <c r="O1000" s="10"/>
    </row>
    <row r="1001" spans="2:15" ht="20.25">
      <c r="B1001" s="10"/>
      <c r="C1001" s="14">
        <v>998</v>
      </c>
      <c r="D1001" s="10" t="s">
        <v>1073</v>
      </c>
      <c r="E1001" s="10">
        <v>21</v>
      </c>
      <c r="F1001" s="15">
        <f>_xlfn.XLOOKUP(D1001,'Gemini Output'!B:B,'Gemini Output'!C:C,"No Match Yet")</f>
        <v>4</v>
      </c>
      <c r="G1001" s="10" t="str">
        <f>_xlfn.XLOOKUP(D1001,'Gemini Output'!B:B,'Gemini Output'!E:E,"No Match Yet")</f>
        <v>L2</v>
      </c>
      <c r="H1001" s="10"/>
      <c r="I1001" s="10"/>
      <c r="J1001" s="10"/>
      <c r="K1001" s="10"/>
      <c r="L1001" s="10"/>
      <c r="M1001" s="10"/>
      <c r="N1001" s="10"/>
      <c r="O1001" s="10"/>
    </row>
    <row r="1002" spans="2:15" ht="20.25">
      <c r="B1002" s="10"/>
      <c r="C1002" s="14">
        <v>999</v>
      </c>
      <c r="D1002" s="10" t="s">
        <v>1074</v>
      </c>
      <c r="E1002" s="10">
        <v>20</v>
      </c>
      <c r="F1002" s="15">
        <f>_xlfn.XLOOKUP(D1002,'Gemini Output'!B:B,'Gemini Output'!C:C,"No Match Yet")</f>
        <v>5</v>
      </c>
      <c r="G1002" s="10" t="str">
        <f>_xlfn.XLOOKUP(D1002,'Gemini Output'!B:B,'Gemini Output'!E:E,"No Match Yet")</f>
        <v>L2</v>
      </c>
      <c r="H1002" s="10"/>
      <c r="I1002" s="10"/>
      <c r="J1002" s="10"/>
      <c r="K1002" s="10"/>
      <c r="L1002" s="10"/>
      <c r="M1002" s="10"/>
      <c r="N1002" s="10"/>
      <c r="O1002" s="10"/>
    </row>
    <row r="1003" spans="2:15" ht="20.25">
      <c r="B1003" s="10"/>
      <c r="C1003" s="14">
        <v>1000</v>
      </c>
      <c r="D1003" s="10" t="s">
        <v>1075</v>
      </c>
      <c r="E1003" s="10">
        <v>20</v>
      </c>
      <c r="F1003" s="15">
        <f>_xlfn.XLOOKUP(D1003,'Gemini Output'!B:B,'Gemini Output'!C:C,"No Match Yet")</f>
        <v>5</v>
      </c>
      <c r="G1003" s="10" t="str">
        <f>_xlfn.XLOOKUP(D1003,'Gemini Output'!B:B,'Gemini Output'!E:E,"No Match Yet")</f>
        <v>L2</v>
      </c>
      <c r="H1003" s="10"/>
      <c r="I1003" s="10"/>
      <c r="J1003" s="10"/>
      <c r="K1003" s="10"/>
      <c r="L1003" s="10"/>
      <c r="M1003" s="10"/>
      <c r="N1003" s="10"/>
      <c r="O1003" s="10"/>
    </row>
  </sheetData>
  <autoFilter ref="C2:G1003" xr:uid="{DB1CD01D-E669-B440-BB20-71225A145B7C}"/>
  <mergeCells count="16">
    <mergeCell ref="L22:M22"/>
    <mergeCell ref="L23:M23"/>
    <mergeCell ref="L28:N28"/>
    <mergeCell ref="L29:O29"/>
    <mergeCell ref="L30:O30"/>
    <mergeCell ref="L21:M21"/>
    <mergeCell ref="J4:O4"/>
    <mergeCell ref="J6:K6"/>
    <mergeCell ref="L10:M10"/>
    <mergeCell ref="L11:M11"/>
    <mergeCell ref="L13:M13"/>
    <mergeCell ref="L14:M14"/>
    <mergeCell ref="L16:M16"/>
    <mergeCell ref="L17:M17"/>
    <mergeCell ref="L18:M18"/>
    <mergeCell ref="L19:M19"/>
  </mergeCells>
  <hyperlinks>
    <hyperlink ref="K2" r:id="rId1" xr:uid="{8FD6A30D-6235-453F-90F4-9483F15616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D11C-341E-41E9-B4ED-E112C3889B1A}">
  <dimension ref="A1:I974"/>
  <sheetViews>
    <sheetView workbookViewId="0">
      <selection activeCell="G69" sqref="G69"/>
    </sheetView>
  </sheetViews>
  <sheetFormatPr defaultRowHeight="15.75"/>
  <cols>
    <col min="3" max="3" width="7.75" bestFit="1" customWidth="1"/>
    <col min="4" max="4" width="21.375" bestFit="1" customWidth="1"/>
  </cols>
  <sheetData>
    <row r="1" spans="2:6" ht="36">
      <c r="B1" s="19" t="s">
        <v>1484</v>
      </c>
      <c r="C1" s="19" t="s">
        <v>1406</v>
      </c>
      <c r="D1" s="19" t="s">
        <v>77</v>
      </c>
      <c r="E1" s="19" t="s">
        <v>1485</v>
      </c>
      <c r="F1" s="19" t="s">
        <v>1486</v>
      </c>
    </row>
    <row r="2" spans="2:6" ht="141.75">
      <c r="B2" s="20" t="s">
        <v>177</v>
      </c>
      <c r="C2" s="20">
        <v>12</v>
      </c>
      <c r="D2" s="20" t="s">
        <v>1435</v>
      </c>
      <c r="E2" s="20" t="s">
        <v>1413</v>
      </c>
      <c r="F2" s="20" t="s">
        <v>1487</v>
      </c>
    </row>
    <row r="3" spans="2:6" ht="88.5">
      <c r="B3" s="20" t="s">
        <v>178</v>
      </c>
      <c r="C3" s="20">
        <v>13</v>
      </c>
      <c r="D3" s="20" t="s">
        <v>1437</v>
      </c>
      <c r="E3" s="20" t="s">
        <v>1413</v>
      </c>
      <c r="F3" s="20" t="s">
        <v>1488</v>
      </c>
    </row>
    <row r="4" spans="2:6" ht="177.75">
      <c r="B4" s="20" t="s">
        <v>179</v>
      </c>
      <c r="C4" s="20">
        <v>8</v>
      </c>
      <c r="D4" s="20" t="s">
        <v>1427</v>
      </c>
      <c r="E4" s="20" t="s">
        <v>1413</v>
      </c>
      <c r="F4" s="20" t="s">
        <v>1489</v>
      </c>
    </row>
    <row r="5" spans="2:6" ht="141.75">
      <c r="B5" s="20" t="s">
        <v>180</v>
      </c>
      <c r="C5" s="20">
        <v>12</v>
      </c>
      <c r="D5" s="20" t="s">
        <v>1435</v>
      </c>
      <c r="E5" s="20" t="s">
        <v>1413</v>
      </c>
      <c r="F5" s="20" t="s">
        <v>1490</v>
      </c>
    </row>
    <row r="6" spans="2:6" ht="141.75">
      <c r="B6" s="20" t="s">
        <v>181</v>
      </c>
      <c r="C6" s="20">
        <v>13</v>
      </c>
      <c r="D6" s="20" t="s">
        <v>1437</v>
      </c>
      <c r="E6" s="20" t="s">
        <v>1413</v>
      </c>
      <c r="F6" s="20" t="s">
        <v>1491</v>
      </c>
    </row>
    <row r="7" spans="2:6" ht="141.75">
      <c r="B7" s="20" t="s">
        <v>182</v>
      </c>
      <c r="C7" s="20">
        <v>1</v>
      </c>
      <c r="D7" s="20" t="s">
        <v>79</v>
      </c>
      <c r="E7" s="20" t="s">
        <v>1413</v>
      </c>
      <c r="F7" s="20" t="s">
        <v>1492</v>
      </c>
    </row>
    <row r="8" spans="2:6" ht="124.5">
      <c r="B8" s="20" t="s">
        <v>183</v>
      </c>
      <c r="C8" s="20">
        <v>9</v>
      </c>
      <c r="D8" s="20" t="s">
        <v>1429</v>
      </c>
      <c r="E8" s="20" t="s">
        <v>1413</v>
      </c>
      <c r="F8" s="20" t="s">
        <v>1493</v>
      </c>
    </row>
    <row r="9" spans="2:6" ht="88.5">
      <c r="B9" s="20" t="s">
        <v>184</v>
      </c>
      <c r="C9" s="20">
        <v>12</v>
      </c>
      <c r="D9" s="20" t="s">
        <v>1435</v>
      </c>
      <c r="E9" s="20" t="s">
        <v>1413</v>
      </c>
      <c r="F9" s="20" t="s">
        <v>1494</v>
      </c>
    </row>
    <row r="10" spans="2:6" ht="106.5">
      <c r="B10" s="20" t="s">
        <v>185</v>
      </c>
      <c r="C10" s="20">
        <v>13</v>
      </c>
      <c r="D10" s="20" t="s">
        <v>1437</v>
      </c>
      <c r="E10" s="20" t="s">
        <v>1413</v>
      </c>
      <c r="F10" s="20" t="s">
        <v>1495</v>
      </c>
    </row>
    <row r="11" spans="2:6" ht="124.5">
      <c r="B11" s="20" t="s">
        <v>186</v>
      </c>
      <c r="C11" s="20">
        <v>13</v>
      </c>
      <c r="D11" s="20" t="s">
        <v>1437</v>
      </c>
      <c r="E11" s="20" t="s">
        <v>1413</v>
      </c>
      <c r="F11" s="20" t="s">
        <v>1496</v>
      </c>
    </row>
    <row r="12" spans="2:6" ht="141.75">
      <c r="B12" s="20" t="s">
        <v>187</v>
      </c>
      <c r="C12" s="20">
        <v>7</v>
      </c>
      <c r="D12" s="20" t="s">
        <v>1425</v>
      </c>
      <c r="E12" s="20" t="s">
        <v>1416</v>
      </c>
      <c r="F12" s="20" t="s">
        <v>1497</v>
      </c>
    </row>
    <row r="13" spans="2:6" ht="88.5">
      <c r="B13" s="20" t="s">
        <v>188</v>
      </c>
      <c r="C13" s="20">
        <v>12</v>
      </c>
      <c r="D13" s="20" t="s">
        <v>1435</v>
      </c>
      <c r="E13" s="20" t="s">
        <v>1413</v>
      </c>
      <c r="F13" s="20" t="s">
        <v>1498</v>
      </c>
    </row>
    <row r="14" spans="2:6" ht="106.5">
      <c r="B14" s="20" t="s">
        <v>189</v>
      </c>
      <c r="C14" s="20">
        <v>5</v>
      </c>
      <c r="D14" s="20" t="s">
        <v>1421</v>
      </c>
      <c r="E14" s="20" t="s">
        <v>1413</v>
      </c>
      <c r="F14" s="20" t="s">
        <v>1499</v>
      </c>
    </row>
    <row r="15" spans="2:6" ht="106.5">
      <c r="B15" s="20" t="s">
        <v>190</v>
      </c>
      <c r="C15" s="20">
        <v>12</v>
      </c>
      <c r="D15" s="20" t="s">
        <v>1435</v>
      </c>
      <c r="E15" s="20" t="s">
        <v>1413</v>
      </c>
      <c r="F15" s="20" t="s">
        <v>1500</v>
      </c>
    </row>
    <row r="16" spans="2:6" ht="141.75">
      <c r="B16" s="20" t="s">
        <v>191</v>
      </c>
      <c r="C16" s="20">
        <v>13</v>
      </c>
      <c r="D16" s="20" t="s">
        <v>1437</v>
      </c>
      <c r="E16" s="20" t="s">
        <v>1413</v>
      </c>
      <c r="F16" s="20" t="s">
        <v>1501</v>
      </c>
    </row>
    <row r="17" spans="2:6" ht="124.5">
      <c r="B17" s="20" t="s">
        <v>192</v>
      </c>
      <c r="C17" s="20">
        <v>9</v>
      </c>
      <c r="D17" s="20" t="s">
        <v>1429</v>
      </c>
      <c r="E17" s="20" t="s">
        <v>1413</v>
      </c>
      <c r="F17" s="20" t="s">
        <v>1502</v>
      </c>
    </row>
    <row r="18" spans="2:6" ht="159.75">
      <c r="B18" s="20" t="s">
        <v>193</v>
      </c>
      <c r="C18" s="20">
        <v>3</v>
      </c>
      <c r="D18" s="20" t="s">
        <v>1417</v>
      </c>
      <c r="E18" s="20" t="s">
        <v>1416</v>
      </c>
      <c r="F18" s="20" t="s">
        <v>1503</v>
      </c>
    </row>
    <row r="19" spans="2:6" ht="177.75">
      <c r="B19" s="20" t="s">
        <v>194</v>
      </c>
      <c r="C19" s="20">
        <v>12</v>
      </c>
      <c r="D19" s="20" t="s">
        <v>1435</v>
      </c>
      <c r="E19" s="20" t="s">
        <v>1416</v>
      </c>
      <c r="F19" s="20" t="s">
        <v>1504</v>
      </c>
    </row>
    <row r="20" spans="2:6" ht="124.5">
      <c r="B20" s="20" t="s">
        <v>195</v>
      </c>
      <c r="C20" s="20">
        <v>10</v>
      </c>
      <c r="D20" s="20" t="s">
        <v>1431</v>
      </c>
      <c r="E20" s="20" t="s">
        <v>1413</v>
      </c>
      <c r="F20" s="20" t="s">
        <v>1505</v>
      </c>
    </row>
    <row r="21" spans="2:6" ht="141.75">
      <c r="B21" s="20" t="s">
        <v>196</v>
      </c>
      <c r="C21" s="20">
        <v>8</v>
      </c>
      <c r="D21" s="20" t="s">
        <v>1427</v>
      </c>
      <c r="E21" s="20" t="s">
        <v>1413</v>
      </c>
      <c r="F21" s="20" t="s">
        <v>1506</v>
      </c>
    </row>
    <row r="22" spans="2:6" ht="88.5">
      <c r="B22" s="20" t="s">
        <v>197</v>
      </c>
      <c r="C22" s="20">
        <v>12</v>
      </c>
      <c r="D22" s="20" t="s">
        <v>1435</v>
      </c>
      <c r="E22" s="20" t="s">
        <v>1413</v>
      </c>
      <c r="F22" s="20" t="s">
        <v>1507</v>
      </c>
    </row>
    <row r="23" spans="2:6" ht="106.5">
      <c r="B23" s="20" t="s">
        <v>198</v>
      </c>
      <c r="C23" s="20">
        <v>12</v>
      </c>
      <c r="D23" s="20" t="s">
        <v>1435</v>
      </c>
      <c r="E23" s="20" t="s">
        <v>1413</v>
      </c>
      <c r="F23" s="20" t="s">
        <v>1508</v>
      </c>
    </row>
    <row r="24" spans="2:6" ht="124.5">
      <c r="B24" s="20" t="s">
        <v>199</v>
      </c>
      <c r="C24" s="20">
        <v>12</v>
      </c>
      <c r="D24" s="20" t="s">
        <v>1435</v>
      </c>
      <c r="E24" s="20" t="s">
        <v>1413</v>
      </c>
      <c r="F24" s="20" t="s">
        <v>1509</v>
      </c>
    </row>
    <row r="25" spans="2:6" ht="141.75">
      <c r="B25" s="20" t="s">
        <v>200</v>
      </c>
      <c r="C25" s="20">
        <v>9</v>
      </c>
      <c r="D25" s="20" t="s">
        <v>1429</v>
      </c>
      <c r="E25" s="20" t="s">
        <v>1413</v>
      </c>
      <c r="F25" s="20" t="s">
        <v>1510</v>
      </c>
    </row>
    <row r="26" spans="2:6" ht="88.5">
      <c r="B26" s="20" t="s">
        <v>201</v>
      </c>
      <c r="C26" s="20">
        <v>1</v>
      </c>
      <c r="D26" s="20" t="s">
        <v>79</v>
      </c>
      <c r="E26" s="20" t="s">
        <v>1413</v>
      </c>
      <c r="F26" s="20" t="s">
        <v>1511</v>
      </c>
    </row>
    <row r="27" spans="2:6" ht="124.5">
      <c r="B27" s="20" t="s">
        <v>202</v>
      </c>
      <c r="C27" s="20">
        <v>12</v>
      </c>
      <c r="D27" s="20" t="s">
        <v>1435</v>
      </c>
      <c r="E27" s="20" t="s">
        <v>1416</v>
      </c>
      <c r="F27" s="20" t="s">
        <v>1512</v>
      </c>
    </row>
    <row r="28" spans="2:6" ht="106.5">
      <c r="B28" s="20" t="s">
        <v>203</v>
      </c>
      <c r="C28" s="20">
        <v>12</v>
      </c>
      <c r="D28" s="20" t="s">
        <v>1435</v>
      </c>
      <c r="E28" s="20" t="s">
        <v>1413</v>
      </c>
      <c r="F28" s="20" t="s">
        <v>1513</v>
      </c>
    </row>
    <row r="29" spans="2:6" ht="159.75">
      <c r="B29" s="20" t="s">
        <v>204</v>
      </c>
      <c r="C29" s="20">
        <v>2</v>
      </c>
      <c r="D29" s="20" t="s">
        <v>1414</v>
      </c>
      <c r="E29" s="20" t="s">
        <v>1416</v>
      </c>
      <c r="F29" s="20" t="s">
        <v>1514</v>
      </c>
    </row>
    <row r="30" spans="2:6" ht="177.75">
      <c r="B30" s="20" t="s">
        <v>205</v>
      </c>
      <c r="C30" s="20">
        <v>13</v>
      </c>
      <c r="D30" s="20" t="s">
        <v>1437</v>
      </c>
      <c r="E30" s="20" t="s">
        <v>1413</v>
      </c>
      <c r="F30" s="20" t="s">
        <v>1515</v>
      </c>
    </row>
    <row r="31" spans="2:6" ht="124.5">
      <c r="B31" s="20" t="s">
        <v>206</v>
      </c>
      <c r="C31" s="20">
        <v>9</v>
      </c>
      <c r="D31" s="20" t="s">
        <v>1429</v>
      </c>
      <c r="E31" s="20" t="s">
        <v>1416</v>
      </c>
      <c r="F31" s="20" t="s">
        <v>1516</v>
      </c>
    </row>
    <row r="32" spans="2:6" ht="141.75">
      <c r="B32" s="20" t="s">
        <v>207</v>
      </c>
      <c r="C32" s="20">
        <v>5</v>
      </c>
      <c r="D32" s="20" t="s">
        <v>1421</v>
      </c>
      <c r="E32" s="20" t="s">
        <v>1413</v>
      </c>
      <c r="F32" s="20" t="s">
        <v>1517</v>
      </c>
    </row>
    <row r="33" spans="2:6" ht="106.5">
      <c r="B33" s="20" t="s">
        <v>208</v>
      </c>
      <c r="C33" s="20">
        <v>4</v>
      </c>
      <c r="D33" s="20" t="s">
        <v>85</v>
      </c>
      <c r="E33" s="20" t="s">
        <v>1416</v>
      </c>
      <c r="F33" s="20" t="s">
        <v>1518</v>
      </c>
    </row>
    <row r="34" spans="2:6" ht="141.75">
      <c r="B34" s="20" t="s">
        <v>209</v>
      </c>
      <c r="C34" s="20">
        <v>1</v>
      </c>
      <c r="D34" s="20" t="s">
        <v>79</v>
      </c>
      <c r="E34" s="20" t="s">
        <v>1416</v>
      </c>
      <c r="F34" s="20" t="s">
        <v>1519</v>
      </c>
    </row>
    <row r="35" spans="2:6" ht="70.5">
      <c r="B35" s="20" t="s">
        <v>457</v>
      </c>
      <c r="C35" s="20">
        <v>12</v>
      </c>
      <c r="D35" s="20" t="s">
        <v>1435</v>
      </c>
      <c r="E35" s="20" t="s">
        <v>1413</v>
      </c>
      <c r="F35" s="20" t="s">
        <v>1520</v>
      </c>
    </row>
    <row r="36" spans="2:6" ht="141.75">
      <c r="B36" s="20" t="s">
        <v>211</v>
      </c>
      <c r="C36" s="20">
        <v>6</v>
      </c>
      <c r="D36" s="20" t="s">
        <v>1423</v>
      </c>
      <c r="E36" s="20" t="s">
        <v>1416</v>
      </c>
      <c r="F36" s="20" t="s">
        <v>1521</v>
      </c>
    </row>
    <row r="37" spans="2:6" ht="106.5">
      <c r="B37" s="20" t="s">
        <v>212</v>
      </c>
      <c r="C37" s="20">
        <v>13</v>
      </c>
      <c r="D37" s="20" t="s">
        <v>1437</v>
      </c>
      <c r="E37" s="20" t="s">
        <v>1413</v>
      </c>
      <c r="F37" s="20" t="s">
        <v>1522</v>
      </c>
    </row>
    <row r="38" spans="2:6" ht="141.75">
      <c r="B38" s="20" t="s">
        <v>213</v>
      </c>
      <c r="C38" s="20">
        <v>4</v>
      </c>
      <c r="D38" s="20" t="s">
        <v>85</v>
      </c>
      <c r="E38" s="20" t="s">
        <v>1416</v>
      </c>
      <c r="F38" s="20" t="s">
        <v>1523</v>
      </c>
    </row>
    <row r="39" spans="2:6" ht="124.5">
      <c r="B39" s="20" t="s">
        <v>214</v>
      </c>
      <c r="C39" s="20">
        <v>12</v>
      </c>
      <c r="D39" s="20" t="s">
        <v>1435</v>
      </c>
      <c r="E39" s="20" t="s">
        <v>1413</v>
      </c>
      <c r="F39" s="20" t="s">
        <v>1524</v>
      </c>
    </row>
    <row r="40" spans="2:6" ht="53.25">
      <c r="B40" s="20" t="s">
        <v>215</v>
      </c>
      <c r="C40" s="20">
        <v>2</v>
      </c>
      <c r="D40" s="20" t="s">
        <v>1414</v>
      </c>
      <c r="E40" s="20" t="s">
        <v>1413</v>
      </c>
      <c r="F40" s="20" t="s">
        <v>1525</v>
      </c>
    </row>
    <row r="41" spans="2:6" ht="53.25">
      <c r="B41" s="20" t="s">
        <v>216</v>
      </c>
      <c r="C41" s="20">
        <v>12</v>
      </c>
      <c r="D41" s="20" t="s">
        <v>1435</v>
      </c>
      <c r="E41" s="20" t="s">
        <v>1413</v>
      </c>
      <c r="F41" s="20" t="s">
        <v>1526</v>
      </c>
    </row>
    <row r="42" spans="2:6" ht="106.5">
      <c r="B42" s="20" t="s">
        <v>217</v>
      </c>
      <c r="C42" s="20">
        <v>1</v>
      </c>
      <c r="D42" s="20" t="s">
        <v>79</v>
      </c>
      <c r="E42" s="20" t="s">
        <v>1416</v>
      </c>
      <c r="F42" s="20" t="s">
        <v>1527</v>
      </c>
    </row>
    <row r="43" spans="2:6" ht="106.5">
      <c r="B43" s="20" t="s">
        <v>218</v>
      </c>
      <c r="C43" s="20">
        <v>12</v>
      </c>
      <c r="D43" s="20" t="s">
        <v>1435</v>
      </c>
      <c r="E43" s="20" t="s">
        <v>1413</v>
      </c>
      <c r="F43" s="20" t="s">
        <v>1528</v>
      </c>
    </row>
    <row r="44" spans="2:6" ht="106.5">
      <c r="B44" s="20" t="s">
        <v>219</v>
      </c>
      <c r="C44" s="20">
        <v>13</v>
      </c>
      <c r="D44" s="20" t="s">
        <v>1437</v>
      </c>
      <c r="E44" s="20" t="s">
        <v>1416</v>
      </c>
      <c r="F44" s="20" t="s">
        <v>1529</v>
      </c>
    </row>
    <row r="45" spans="2:6" ht="124.5">
      <c r="B45" s="20" t="s">
        <v>220</v>
      </c>
      <c r="C45" s="20">
        <v>13</v>
      </c>
      <c r="D45" s="20" t="s">
        <v>1437</v>
      </c>
      <c r="E45" s="20" t="s">
        <v>1416</v>
      </c>
      <c r="F45" s="20" t="s">
        <v>1530</v>
      </c>
    </row>
    <row r="46" spans="2:6" ht="106.5">
      <c r="B46" s="20" t="s">
        <v>221</v>
      </c>
      <c r="C46" s="20">
        <v>9</v>
      </c>
      <c r="D46" s="20" t="s">
        <v>1429</v>
      </c>
      <c r="E46" s="20" t="s">
        <v>1416</v>
      </c>
      <c r="F46" s="20" t="s">
        <v>1531</v>
      </c>
    </row>
    <row r="47" spans="2:6" ht="141.75">
      <c r="B47" s="20" t="s">
        <v>222</v>
      </c>
      <c r="C47" s="20">
        <v>12</v>
      </c>
      <c r="D47" s="20" t="s">
        <v>1435</v>
      </c>
      <c r="E47" s="20" t="s">
        <v>1416</v>
      </c>
      <c r="F47" s="20" t="s">
        <v>1532</v>
      </c>
    </row>
    <row r="48" spans="2:6" ht="88.5">
      <c r="B48" s="20" t="s">
        <v>223</v>
      </c>
      <c r="C48" s="20">
        <v>12</v>
      </c>
      <c r="D48" s="20" t="s">
        <v>1435</v>
      </c>
      <c r="E48" s="20" t="s">
        <v>1413</v>
      </c>
      <c r="F48" s="20" t="s">
        <v>1533</v>
      </c>
    </row>
    <row r="49" spans="1:6" ht="88.5">
      <c r="B49" s="20" t="s">
        <v>224</v>
      </c>
      <c r="C49" s="20">
        <v>13</v>
      </c>
      <c r="D49" s="20" t="s">
        <v>1437</v>
      </c>
      <c r="E49" s="20" t="s">
        <v>1413</v>
      </c>
      <c r="F49" s="20" t="s">
        <v>1534</v>
      </c>
    </row>
    <row r="50" spans="1:6" ht="88.5">
      <c r="B50" s="20" t="s">
        <v>225</v>
      </c>
      <c r="C50" s="20">
        <v>1</v>
      </c>
      <c r="D50" s="20" t="s">
        <v>79</v>
      </c>
      <c r="E50" s="20" t="s">
        <v>1416</v>
      </c>
      <c r="F50" s="20" t="s">
        <v>1535</v>
      </c>
    </row>
    <row r="51" spans="1:6" ht="106.5">
      <c r="B51" s="20" t="s">
        <v>226</v>
      </c>
      <c r="C51" s="20">
        <v>12</v>
      </c>
      <c r="D51" s="20" t="s">
        <v>1435</v>
      </c>
      <c r="E51" s="20" t="s">
        <v>1416</v>
      </c>
      <c r="F51" s="20" t="s">
        <v>1536</v>
      </c>
    </row>
    <row r="52" spans="1:6" ht="106.5">
      <c r="B52" s="20" t="s">
        <v>227</v>
      </c>
      <c r="C52" s="20">
        <v>10</v>
      </c>
      <c r="D52" s="20" t="s">
        <v>1431</v>
      </c>
      <c r="E52" s="20" t="s">
        <v>1413</v>
      </c>
      <c r="F52" s="20" t="s">
        <v>1537</v>
      </c>
    </row>
    <row r="53" spans="1:6" ht="20.25">
      <c r="A53" s="14"/>
      <c r="B53" s="15" t="s">
        <v>138</v>
      </c>
      <c r="C53" s="14">
        <v>9</v>
      </c>
      <c r="D53" s="14"/>
      <c r="E53" t="s">
        <v>1413</v>
      </c>
    </row>
    <row r="54" spans="1:6" ht="20.25">
      <c r="A54" s="14"/>
      <c r="B54" s="15" t="s">
        <v>139</v>
      </c>
      <c r="C54" s="14">
        <v>11</v>
      </c>
      <c r="D54" s="14"/>
      <c r="E54" t="s">
        <v>1413</v>
      </c>
    </row>
    <row r="55" spans="1:6" ht="20.25">
      <c r="A55" s="14"/>
      <c r="B55" s="15" t="s">
        <v>140</v>
      </c>
      <c r="C55" s="14">
        <v>9</v>
      </c>
      <c r="D55" s="14"/>
      <c r="E55" t="s">
        <v>1413</v>
      </c>
    </row>
    <row r="56" spans="1:6" ht="20.25">
      <c r="A56" s="14"/>
      <c r="B56" s="15" t="s">
        <v>141</v>
      </c>
      <c r="C56" s="14">
        <v>4</v>
      </c>
      <c r="D56" s="14"/>
      <c r="E56" t="s">
        <v>1413</v>
      </c>
    </row>
    <row r="57" spans="1:6" ht="20.25">
      <c r="A57" s="14"/>
      <c r="B57" s="15" t="s">
        <v>142</v>
      </c>
      <c r="C57" s="14">
        <v>12</v>
      </c>
      <c r="D57" s="14"/>
      <c r="E57" t="s">
        <v>1413</v>
      </c>
    </row>
    <row r="58" spans="1:6" ht="20.25">
      <c r="A58" s="14"/>
      <c r="B58" s="15" t="s">
        <v>143</v>
      </c>
      <c r="C58" s="14">
        <v>9</v>
      </c>
      <c r="D58" s="14"/>
      <c r="E58" t="s">
        <v>1413</v>
      </c>
    </row>
    <row r="59" spans="1:6" ht="20.25">
      <c r="A59" s="14"/>
      <c r="B59" s="15" t="s">
        <v>144</v>
      </c>
      <c r="C59" s="14">
        <v>9</v>
      </c>
      <c r="D59" s="14"/>
      <c r="E59" t="s">
        <v>1413</v>
      </c>
    </row>
    <row r="60" spans="1:6" ht="20.25">
      <c r="A60" s="14"/>
      <c r="B60" s="15" t="s">
        <v>145</v>
      </c>
      <c r="C60" s="14">
        <v>13</v>
      </c>
      <c r="D60" s="14"/>
      <c r="E60" t="s">
        <v>1413</v>
      </c>
    </row>
    <row r="61" spans="1:6" ht="20.25">
      <c r="A61" s="14"/>
      <c r="B61" s="15" t="s">
        <v>146</v>
      </c>
      <c r="C61" s="14">
        <v>12</v>
      </c>
      <c r="D61" s="14"/>
      <c r="E61" t="s">
        <v>1413</v>
      </c>
    </row>
    <row r="62" spans="1:6" ht="20.25">
      <c r="A62" s="14"/>
      <c r="B62" s="15" t="s">
        <v>147</v>
      </c>
      <c r="C62" s="14">
        <v>10</v>
      </c>
      <c r="D62" s="14"/>
      <c r="E62" t="s">
        <v>1413</v>
      </c>
    </row>
    <row r="63" spans="1:6" ht="20.25">
      <c r="A63" s="14"/>
      <c r="B63" s="15" t="s">
        <v>148</v>
      </c>
      <c r="C63" s="14">
        <v>2</v>
      </c>
      <c r="D63" s="14"/>
      <c r="E63" t="s">
        <v>1416</v>
      </c>
    </row>
    <row r="64" spans="1:6" ht="20.25">
      <c r="A64" s="14"/>
      <c r="B64" s="15" t="s">
        <v>149</v>
      </c>
      <c r="C64" s="14">
        <v>4</v>
      </c>
      <c r="D64" s="14"/>
      <c r="E64" t="s">
        <v>1413</v>
      </c>
    </row>
    <row r="65" spans="1:6" ht="20.25">
      <c r="A65" s="14"/>
      <c r="B65" s="15" t="s">
        <v>150</v>
      </c>
      <c r="C65" s="14">
        <v>12</v>
      </c>
      <c r="D65" s="14"/>
      <c r="E65" t="s">
        <v>1413</v>
      </c>
    </row>
    <row r="66" spans="1:6" ht="20.25">
      <c r="A66" s="14"/>
      <c r="B66" s="15" t="s">
        <v>151</v>
      </c>
      <c r="C66" s="14">
        <v>7</v>
      </c>
      <c r="D66" s="14"/>
      <c r="E66" t="s">
        <v>1413</v>
      </c>
    </row>
    <row r="67" spans="1:6" ht="20.25">
      <c r="A67" s="14"/>
      <c r="B67" s="15" t="s">
        <v>152</v>
      </c>
      <c r="C67" s="14">
        <v>13</v>
      </c>
      <c r="D67" s="14"/>
      <c r="E67" t="s">
        <v>1413</v>
      </c>
    </row>
    <row r="68" spans="1:6" ht="20.25">
      <c r="A68" s="14"/>
      <c r="B68" s="15" t="s">
        <v>153</v>
      </c>
      <c r="C68" s="14">
        <v>5</v>
      </c>
      <c r="D68" s="14"/>
      <c r="E68" t="s">
        <v>1413</v>
      </c>
    </row>
    <row r="69" spans="1:6" ht="20.25">
      <c r="A69" s="14"/>
      <c r="B69" s="15" t="s">
        <v>154</v>
      </c>
      <c r="C69" s="14">
        <v>13</v>
      </c>
      <c r="D69" s="14"/>
      <c r="E69" t="s">
        <v>1413</v>
      </c>
    </row>
    <row r="70" spans="1:6" ht="20.25">
      <c r="A70" s="14"/>
      <c r="B70" s="15" t="s">
        <v>155</v>
      </c>
      <c r="C70" s="14">
        <v>3</v>
      </c>
      <c r="D70" s="14"/>
      <c r="E70" t="s">
        <v>1413</v>
      </c>
    </row>
    <row r="71" spans="1:6" ht="20.25">
      <c r="A71" s="14"/>
      <c r="B71" s="15" t="s">
        <v>156</v>
      </c>
      <c r="C71" s="14">
        <v>2</v>
      </c>
      <c r="D71" s="14"/>
      <c r="E71" t="s">
        <v>1413</v>
      </c>
    </row>
    <row r="72" spans="1:6" ht="20.25">
      <c r="A72" s="14"/>
      <c r="B72" s="15" t="s">
        <v>157</v>
      </c>
      <c r="C72" s="14">
        <v>6</v>
      </c>
      <c r="D72" s="14"/>
      <c r="E72" t="s">
        <v>1413</v>
      </c>
    </row>
    <row r="73" spans="1:6">
      <c r="B73" s="21" t="s">
        <v>1025</v>
      </c>
      <c r="C73" s="22">
        <v>13</v>
      </c>
      <c r="D73" s="22" t="s">
        <v>1437</v>
      </c>
      <c r="E73" s="22" t="s">
        <v>1413</v>
      </c>
      <c r="F73" s="22" t="s">
        <v>1538</v>
      </c>
    </row>
    <row r="74" spans="1:6">
      <c r="B74" s="21" t="s">
        <v>1026</v>
      </c>
      <c r="C74" s="22">
        <v>9</v>
      </c>
      <c r="D74" s="22" t="s">
        <v>1429</v>
      </c>
      <c r="E74" s="22" t="s">
        <v>1413</v>
      </c>
      <c r="F74" s="22" t="s">
        <v>1539</v>
      </c>
    </row>
    <row r="75" spans="1:6">
      <c r="B75" s="21" t="s">
        <v>1027</v>
      </c>
      <c r="C75" s="22">
        <v>9</v>
      </c>
      <c r="D75" s="22" t="s">
        <v>1429</v>
      </c>
      <c r="E75" s="22" t="s">
        <v>1419</v>
      </c>
      <c r="F75" s="22" t="s">
        <v>1540</v>
      </c>
    </row>
    <row r="76" spans="1:6">
      <c r="B76" s="21" t="s">
        <v>1028</v>
      </c>
      <c r="C76" s="22">
        <v>1</v>
      </c>
      <c r="D76" s="22" t="s">
        <v>79</v>
      </c>
      <c r="E76" s="22" t="s">
        <v>1416</v>
      </c>
      <c r="F76" s="22" t="s">
        <v>1541</v>
      </c>
    </row>
    <row r="77" spans="1:6">
      <c r="B77" s="21" t="s">
        <v>1029</v>
      </c>
      <c r="C77" s="22">
        <v>15</v>
      </c>
      <c r="D77" s="22" t="s">
        <v>1542</v>
      </c>
      <c r="E77" s="22" t="s">
        <v>1413</v>
      </c>
      <c r="F77" s="22" t="s">
        <v>1543</v>
      </c>
    </row>
    <row r="78" spans="1:6">
      <c r="B78" s="21" t="s">
        <v>1030</v>
      </c>
      <c r="C78" s="22">
        <v>6</v>
      </c>
      <c r="D78" s="22" t="s">
        <v>1423</v>
      </c>
      <c r="E78" s="22" t="s">
        <v>1416</v>
      </c>
      <c r="F78" s="22" t="s">
        <v>1544</v>
      </c>
    </row>
    <row r="79" spans="1:6">
      <c r="B79" s="21" t="s">
        <v>1031</v>
      </c>
      <c r="C79" s="22">
        <v>7</v>
      </c>
      <c r="D79" s="22" t="s">
        <v>1425</v>
      </c>
      <c r="E79" s="22" t="s">
        <v>1416</v>
      </c>
      <c r="F79" s="22" t="s">
        <v>1545</v>
      </c>
    </row>
    <row r="80" spans="1:6">
      <c r="B80" s="21" t="s">
        <v>1032</v>
      </c>
      <c r="C80" s="22">
        <v>10</v>
      </c>
      <c r="D80" s="22" t="s">
        <v>1431</v>
      </c>
      <c r="E80" s="22" t="s">
        <v>1413</v>
      </c>
      <c r="F80" s="22" t="s">
        <v>1546</v>
      </c>
    </row>
    <row r="81" spans="2:6">
      <c r="B81" s="21" t="s">
        <v>1033</v>
      </c>
      <c r="C81" s="22">
        <v>8</v>
      </c>
      <c r="D81" s="22" t="s">
        <v>1427</v>
      </c>
      <c r="E81" s="22" t="s">
        <v>1419</v>
      </c>
      <c r="F81" s="22" t="s">
        <v>1547</v>
      </c>
    </row>
    <row r="82" spans="2:6">
      <c r="B82" s="21" t="s">
        <v>1034</v>
      </c>
      <c r="C82" s="22">
        <v>2</v>
      </c>
      <c r="D82" s="22" t="s">
        <v>1414</v>
      </c>
      <c r="E82" s="22" t="s">
        <v>1416</v>
      </c>
      <c r="F82" s="22" t="s">
        <v>1548</v>
      </c>
    </row>
    <row r="83" spans="2:6">
      <c r="B83" s="21" t="s">
        <v>1035</v>
      </c>
      <c r="C83" s="22">
        <v>10</v>
      </c>
      <c r="D83" s="22" t="s">
        <v>1431</v>
      </c>
      <c r="E83" s="22" t="s">
        <v>1416</v>
      </c>
      <c r="F83" s="22" t="s">
        <v>1549</v>
      </c>
    </row>
    <row r="84" spans="2:6">
      <c r="B84" s="21" t="s">
        <v>1036</v>
      </c>
      <c r="C84" s="22">
        <v>6</v>
      </c>
      <c r="D84" s="22" t="s">
        <v>1423</v>
      </c>
      <c r="E84" s="22" t="s">
        <v>1419</v>
      </c>
      <c r="F84" s="22" t="s">
        <v>1550</v>
      </c>
    </row>
    <row r="85" spans="2:6">
      <c r="B85" s="21" t="s">
        <v>1037</v>
      </c>
      <c r="C85" s="22">
        <v>1</v>
      </c>
      <c r="D85" s="22" t="s">
        <v>79</v>
      </c>
      <c r="E85" s="22" t="s">
        <v>1416</v>
      </c>
      <c r="F85" s="22" t="s">
        <v>1551</v>
      </c>
    </row>
    <row r="86" spans="2:6">
      <c r="B86" s="21" t="s">
        <v>1038</v>
      </c>
      <c r="C86" s="22">
        <v>6</v>
      </c>
      <c r="D86" s="22" t="s">
        <v>1423</v>
      </c>
      <c r="E86" s="22" t="s">
        <v>1419</v>
      </c>
      <c r="F86" s="22" t="s">
        <v>1552</v>
      </c>
    </row>
    <row r="87" spans="2:6">
      <c r="B87" s="21" t="s">
        <v>1039</v>
      </c>
      <c r="C87" s="22">
        <v>2</v>
      </c>
      <c r="D87" s="22" t="s">
        <v>1414</v>
      </c>
      <c r="E87" s="22" t="s">
        <v>1416</v>
      </c>
      <c r="F87" s="22" t="s">
        <v>1553</v>
      </c>
    </row>
    <row r="88" spans="2:6">
      <c r="B88" s="21" t="s">
        <v>1040</v>
      </c>
      <c r="C88" s="22">
        <v>12</v>
      </c>
      <c r="D88" s="22" t="s">
        <v>1435</v>
      </c>
      <c r="E88" s="22" t="s">
        <v>1416</v>
      </c>
      <c r="F88" s="22" t="s">
        <v>1554</v>
      </c>
    </row>
    <row r="89" spans="2:6">
      <c r="B89" s="21" t="s">
        <v>1041</v>
      </c>
      <c r="C89" s="22">
        <v>1</v>
      </c>
      <c r="D89" s="22" t="s">
        <v>79</v>
      </c>
      <c r="E89" s="22" t="s">
        <v>1416</v>
      </c>
      <c r="F89" s="22" t="s">
        <v>1555</v>
      </c>
    </row>
    <row r="90" spans="2:6">
      <c r="B90" s="21" t="s">
        <v>1042</v>
      </c>
      <c r="C90" s="22">
        <v>15</v>
      </c>
      <c r="D90" s="22" t="s">
        <v>1542</v>
      </c>
      <c r="E90" s="22" t="s">
        <v>1413</v>
      </c>
      <c r="F90" s="22" t="s">
        <v>1556</v>
      </c>
    </row>
    <row r="91" spans="2:6">
      <c r="B91" s="21" t="s">
        <v>1043</v>
      </c>
      <c r="C91" s="22">
        <v>9</v>
      </c>
      <c r="D91" s="22" t="s">
        <v>1429</v>
      </c>
      <c r="E91" s="22" t="s">
        <v>1413</v>
      </c>
      <c r="F91" s="22" t="s">
        <v>1557</v>
      </c>
    </row>
    <row r="92" spans="2:6">
      <c r="B92" s="21" t="s">
        <v>1044</v>
      </c>
      <c r="C92" s="22">
        <v>3</v>
      </c>
      <c r="D92" s="22" t="s">
        <v>1417</v>
      </c>
      <c r="E92" s="22" t="s">
        <v>1416</v>
      </c>
      <c r="F92" s="22" t="s">
        <v>1558</v>
      </c>
    </row>
    <row r="93" spans="2:6">
      <c r="B93" s="21" t="s">
        <v>1045</v>
      </c>
      <c r="C93" s="22">
        <v>2</v>
      </c>
      <c r="D93" s="22" t="s">
        <v>1414</v>
      </c>
      <c r="E93" s="22" t="s">
        <v>1419</v>
      </c>
      <c r="F93" s="22" t="s">
        <v>1559</v>
      </c>
    </row>
    <row r="94" spans="2:6">
      <c r="B94" s="21" t="s">
        <v>1046</v>
      </c>
      <c r="C94" s="22">
        <v>12</v>
      </c>
      <c r="D94" s="22" t="s">
        <v>1435</v>
      </c>
      <c r="E94" s="22" t="s">
        <v>1419</v>
      </c>
      <c r="F94" s="22" t="s">
        <v>1560</v>
      </c>
    </row>
    <row r="95" spans="2:6">
      <c r="B95" s="21" t="s">
        <v>1047</v>
      </c>
      <c r="C95" s="22">
        <v>13</v>
      </c>
      <c r="D95" s="22" t="s">
        <v>1437</v>
      </c>
      <c r="E95" s="22" t="s">
        <v>1416</v>
      </c>
      <c r="F95" s="22" t="s">
        <v>1561</v>
      </c>
    </row>
    <row r="96" spans="2:6">
      <c r="B96" s="21" t="s">
        <v>1048</v>
      </c>
      <c r="C96" s="22">
        <v>1</v>
      </c>
      <c r="D96" s="22" t="s">
        <v>79</v>
      </c>
      <c r="E96" s="22" t="s">
        <v>1416</v>
      </c>
      <c r="F96" s="22" t="s">
        <v>1562</v>
      </c>
    </row>
    <row r="97" spans="2:6">
      <c r="B97" s="21" t="s">
        <v>1049</v>
      </c>
      <c r="C97" s="22">
        <v>9</v>
      </c>
      <c r="D97" s="22" t="s">
        <v>1429</v>
      </c>
      <c r="E97" s="22" t="s">
        <v>1413</v>
      </c>
      <c r="F97" s="22" t="s">
        <v>1563</v>
      </c>
    </row>
    <row r="98" spans="2:6">
      <c r="B98" s="21" t="s">
        <v>1050</v>
      </c>
      <c r="C98" s="22">
        <v>1</v>
      </c>
      <c r="D98" s="22" t="s">
        <v>79</v>
      </c>
      <c r="E98" s="22" t="s">
        <v>1416</v>
      </c>
      <c r="F98" s="22" t="s">
        <v>1564</v>
      </c>
    </row>
    <row r="99" spans="2:6">
      <c r="B99" s="21" t="s">
        <v>1051</v>
      </c>
      <c r="C99" s="22">
        <v>4</v>
      </c>
      <c r="D99" s="22" t="s">
        <v>85</v>
      </c>
      <c r="E99" s="22" t="s">
        <v>1413</v>
      </c>
      <c r="F99" s="22" t="s">
        <v>1565</v>
      </c>
    </row>
    <row r="100" spans="2:6">
      <c r="B100" s="21" t="s">
        <v>1052</v>
      </c>
      <c r="C100" s="22">
        <v>12</v>
      </c>
      <c r="D100" s="22" t="s">
        <v>1435</v>
      </c>
      <c r="E100" s="22" t="s">
        <v>1416</v>
      </c>
      <c r="F100" s="22" t="s">
        <v>1566</v>
      </c>
    </row>
    <row r="101" spans="2:6">
      <c r="B101" s="21" t="s">
        <v>1053</v>
      </c>
      <c r="C101" s="22">
        <v>3</v>
      </c>
      <c r="D101" s="22" t="s">
        <v>1417</v>
      </c>
      <c r="E101" s="22" t="s">
        <v>1416</v>
      </c>
      <c r="F101" s="22" t="s">
        <v>1567</v>
      </c>
    </row>
    <row r="102" spans="2:6">
      <c r="B102" s="21" t="s">
        <v>1054</v>
      </c>
      <c r="C102" s="22">
        <v>12</v>
      </c>
      <c r="D102" s="22" t="s">
        <v>1435</v>
      </c>
      <c r="E102" s="22" t="s">
        <v>1413</v>
      </c>
      <c r="F102" s="22" t="s">
        <v>1568</v>
      </c>
    </row>
    <row r="103" spans="2:6">
      <c r="B103" s="21" t="s">
        <v>1055</v>
      </c>
      <c r="C103" s="22">
        <v>5</v>
      </c>
      <c r="D103" s="22" t="s">
        <v>1421</v>
      </c>
      <c r="E103" s="22" t="s">
        <v>1419</v>
      </c>
      <c r="F103" s="22" t="s">
        <v>1569</v>
      </c>
    </row>
    <row r="104" spans="2:6">
      <c r="B104" s="21" t="s">
        <v>1056</v>
      </c>
      <c r="C104" s="22">
        <v>10</v>
      </c>
      <c r="D104" s="22" t="s">
        <v>1431</v>
      </c>
      <c r="E104" s="22" t="s">
        <v>1416</v>
      </c>
      <c r="F104" s="22" t="s">
        <v>1570</v>
      </c>
    </row>
    <row r="105" spans="2:6">
      <c r="B105" s="21" t="s">
        <v>1057</v>
      </c>
      <c r="C105" s="22">
        <v>7</v>
      </c>
      <c r="D105" s="22" t="s">
        <v>1425</v>
      </c>
      <c r="E105" s="22" t="s">
        <v>1416</v>
      </c>
      <c r="F105" s="22" t="s">
        <v>1571</v>
      </c>
    </row>
    <row r="106" spans="2:6">
      <c r="B106" s="21" t="s">
        <v>1058</v>
      </c>
      <c r="C106" s="22">
        <v>1</v>
      </c>
      <c r="D106" s="22" t="s">
        <v>79</v>
      </c>
      <c r="E106" s="22" t="s">
        <v>1416</v>
      </c>
      <c r="F106" s="22" t="s">
        <v>1572</v>
      </c>
    </row>
    <row r="107" spans="2:6">
      <c r="B107" s="21" t="s">
        <v>1059</v>
      </c>
      <c r="C107" s="22">
        <v>13</v>
      </c>
      <c r="D107" s="22" t="s">
        <v>1437</v>
      </c>
      <c r="E107" s="22" t="s">
        <v>1413</v>
      </c>
      <c r="F107" s="22" t="s">
        <v>1573</v>
      </c>
    </row>
    <row r="108" spans="2:6">
      <c r="B108" s="21" t="s">
        <v>1060</v>
      </c>
      <c r="C108" s="22">
        <v>10</v>
      </c>
      <c r="D108" s="22" t="s">
        <v>1431</v>
      </c>
      <c r="E108" s="22" t="s">
        <v>1416</v>
      </c>
      <c r="F108" s="22" t="s">
        <v>1574</v>
      </c>
    </row>
    <row r="109" spans="2:6">
      <c r="B109" s="21" t="s">
        <v>1061</v>
      </c>
      <c r="C109" s="22">
        <v>15</v>
      </c>
      <c r="D109" s="22" t="s">
        <v>1542</v>
      </c>
      <c r="E109" s="22" t="s">
        <v>1413</v>
      </c>
      <c r="F109" s="22" t="s">
        <v>1575</v>
      </c>
    </row>
    <row r="110" spans="2:6">
      <c r="B110" s="21" t="s">
        <v>1062</v>
      </c>
      <c r="C110" s="22">
        <v>9</v>
      </c>
      <c r="D110" s="22" t="s">
        <v>1429</v>
      </c>
      <c r="E110" s="22" t="s">
        <v>1413</v>
      </c>
      <c r="F110" s="22" t="s">
        <v>1576</v>
      </c>
    </row>
    <row r="111" spans="2:6">
      <c r="B111" s="21" t="s">
        <v>1063</v>
      </c>
      <c r="C111" s="22">
        <v>8</v>
      </c>
      <c r="D111" s="22" t="s">
        <v>1427</v>
      </c>
      <c r="E111" s="22" t="s">
        <v>1419</v>
      </c>
      <c r="F111" s="22" t="s">
        <v>1577</v>
      </c>
    </row>
    <row r="112" spans="2:6">
      <c r="B112" s="21" t="s">
        <v>1064</v>
      </c>
      <c r="C112" s="22">
        <v>13</v>
      </c>
      <c r="D112" s="22" t="s">
        <v>1437</v>
      </c>
      <c r="E112" s="22" t="s">
        <v>1413</v>
      </c>
      <c r="F112" s="22" t="s">
        <v>1578</v>
      </c>
    </row>
    <row r="113" spans="2:6">
      <c r="B113" s="21" t="s">
        <v>1065</v>
      </c>
      <c r="C113" s="22">
        <v>5</v>
      </c>
      <c r="D113" s="22" t="s">
        <v>1421</v>
      </c>
      <c r="E113" s="22" t="s">
        <v>1416</v>
      </c>
      <c r="F113" s="22" t="s">
        <v>1579</v>
      </c>
    </row>
    <row r="114" spans="2:6">
      <c r="B114" s="21" t="s">
        <v>1066</v>
      </c>
      <c r="C114" s="22">
        <v>9</v>
      </c>
      <c r="D114" s="22" t="s">
        <v>1429</v>
      </c>
      <c r="E114" s="22" t="s">
        <v>1416</v>
      </c>
      <c r="F114" s="22" t="s">
        <v>1580</v>
      </c>
    </row>
    <row r="115" spans="2:6">
      <c r="B115" s="21" t="s">
        <v>1067</v>
      </c>
      <c r="C115" s="22">
        <v>15</v>
      </c>
      <c r="D115" s="22" t="s">
        <v>1542</v>
      </c>
      <c r="E115" s="22" t="s">
        <v>1413</v>
      </c>
      <c r="F115" s="22" t="s">
        <v>1581</v>
      </c>
    </row>
    <row r="116" spans="2:6">
      <c r="B116" s="21" t="s">
        <v>1068</v>
      </c>
      <c r="C116" s="22">
        <v>11</v>
      </c>
      <c r="D116" s="22" t="s">
        <v>1433</v>
      </c>
      <c r="E116" s="22" t="s">
        <v>1416</v>
      </c>
      <c r="F116" s="22" t="s">
        <v>1582</v>
      </c>
    </row>
    <row r="117" spans="2:6">
      <c r="B117" s="21" t="s">
        <v>1069</v>
      </c>
      <c r="C117" s="22">
        <v>4</v>
      </c>
      <c r="D117" s="22" t="s">
        <v>85</v>
      </c>
      <c r="E117" s="22" t="s">
        <v>1416</v>
      </c>
      <c r="F117" s="22" t="s">
        <v>1583</v>
      </c>
    </row>
    <row r="118" spans="2:6">
      <c r="B118" s="21" t="s">
        <v>1070</v>
      </c>
      <c r="C118" s="22">
        <v>9</v>
      </c>
      <c r="D118" s="22" t="s">
        <v>1429</v>
      </c>
      <c r="E118" s="22" t="s">
        <v>1416</v>
      </c>
      <c r="F118" s="22" t="s">
        <v>1584</v>
      </c>
    </row>
    <row r="119" spans="2:6">
      <c r="B119" s="21" t="s">
        <v>1071</v>
      </c>
      <c r="C119" s="22">
        <v>7</v>
      </c>
      <c r="D119" s="22" t="s">
        <v>1425</v>
      </c>
      <c r="E119" s="22" t="s">
        <v>1413</v>
      </c>
      <c r="F119" s="22" t="s">
        <v>1585</v>
      </c>
    </row>
    <row r="120" spans="2:6">
      <c r="B120" s="21" t="s">
        <v>1072</v>
      </c>
      <c r="C120" s="22">
        <v>3</v>
      </c>
      <c r="D120" s="22" t="s">
        <v>1417</v>
      </c>
      <c r="E120" s="22" t="s">
        <v>1413</v>
      </c>
      <c r="F120" s="22" t="s">
        <v>1586</v>
      </c>
    </row>
    <row r="121" spans="2:6">
      <c r="B121" s="21" t="s">
        <v>1073</v>
      </c>
      <c r="C121" s="22">
        <v>4</v>
      </c>
      <c r="D121" s="22" t="s">
        <v>85</v>
      </c>
      <c r="E121" s="22" t="s">
        <v>1416</v>
      </c>
      <c r="F121" s="22" t="s">
        <v>1587</v>
      </c>
    </row>
    <row r="122" spans="2:6">
      <c r="B122" s="21" t="s">
        <v>1074</v>
      </c>
      <c r="C122" s="22">
        <v>5</v>
      </c>
      <c r="D122" s="22" t="s">
        <v>1421</v>
      </c>
      <c r="E122" s="22" t="s">
        <v>1416</v>
      </c>
      <c r="F122" s="22" t="s">
        <v>1588</v>
      </c>
    </row>
    <row r="123" spans="2:6">
      <c r="B123" s="21" t="s">
        <v>1075</v>
      </c>
      <c r="C123" s="22">
        <v>5</v>
      </c>
      <c r="D123" s="22" t="s">
        <v>1421</v>
      </c>
      <c r="E123" s="22" t="s">
        <v>1416</v>
      </c>
      <c r="F123" s="22" t="s">
        <v>1589</v>
      </c>
    </row>
    <row r="124" spans="2:6">
      <c r="B124" t="s">
        <v>979</v>
      </c>
      <c r="C124">
        <v>3</v>
      </c>
      <c r="D124" t="s">
        <v>1417</v>
      </c>
      <c r="E124" t="s">
        <v>1413</v>
      </c>
      <c r="F124" t="s">
        <v>1590</v>
      </c>
    </row>
    <row r="125" spans="2:6">
      <c r="B125" t="s">
        <v>980</v>
      </c>
      <c r="C125">
        <v>4</v>
      </c>
      <c r="D125" t="s">
        <v>85</v>
      </c>
      <c r="E125" t="s">
        <v>1416</v>
      </c>
      <c r="F125" t="s">
        <v>1591</v>
      </c>
    </row>
    <row r="126" spans="2:6">
      <c r="B126" t="s">
        <v>981</v>
      </c>
      <c r="C126">
        <v>13</v>
      </c>
      <c r="D126" t="s">
        <v>1437</v>
      </c>
      <c r="E126" t="s">
        <v>1413</v>
      </c>
      <c r="F126" t="s">
        <v>1592</v>
      </c>
    </row>
    <row r="127" spans="2:6">
      <c r="B127" t="s">
        <v>982</v>
      </c>
      <c r="C127">
        <v>10</v>
      </c>
      <c r="D127" t="s">
        <v>1431</v>
      </c>
      <c r="E127" t="s">
        <v>1413</v>
      </c>
      <c r="F127" t="s">
        <v>1593</v>
      </c>
    </row>
    <row r="128" spans="2:6">
      <c r="B128" t="s">
        <v>983</v>
      </c>
      <c r="C128">
        <v>9</v>
      </c>
      <c r="D128" t="s">
        <v>1429</v>
      </c>
      <c r="E128" t="s">
        <v>1413</v>
      </c>
      <c r="F128" t="s">
        <v>1594</v>
      </c>
    </row>
    <row r="129" spans="2:6">
      <c r="B129" t="s">
        <v>984</v>
      </c>
      <c r="C129">
        <v>14</v>
      </c>
      <c r="D129" t="s">
        <v>1439</v>
      </c>
      <c r="E129" t="s">
        <v>1416</v>
      </c>
      <c r="F129" t="s">
        <v>1595</v>
      </c>
    </row>
    <row r="130" spans="2:6">
      <c r="B130" t="s">
        <v>985</v>
      </c>
      <c r="C130">
        <v>7</v>
      </c>
      <c r="D130" t="s">
        <v>1425</v>
      </c>
      <c r="E130" t="s">
        <v>1416</v>
      </c>
      <c r="F130" t="s">
        <v>1596</v>
      </c>
    </row>
    <row r="131" spans="2:6">
      <c r="B131" t="s">
        <v>986</v>
      </c>
      <c r="C131">
        <v>13</v>
      </c>
      <c r="D131" t="s">
        <v>1437</v>
      </c>
      <c r="E131" t="s">
        <v>1413</v>
      </c>
      <c r="F131" t="s">
        <v>1597</v>
      </c>
    </row>
    <row r="132" spans="2:6">
      <c r="B132" t="s">
        <v>987</v>
      </c>
      <c r="C132">
        <v>15</v>
      </c>
      <c r="D132" t="s">
        <v>1542</v>
      </c>
      <c r="E132" t="s">
        <v>1413</v>
      </c>
      <c r="F132" t="s">
        <v>1598</v>
      </c>
    </row>
    <row r="133" spans="2:6">
      <c r="B133" t="s">
        <v>988</v>
      </c>
      <c r="C133">
        <v>13</v>
      </c>
      <c r="D133" t="s">
        <v>1437</v>
      </c>
      <c r="E133" t="s">
        <v>1413</v>
      </c>
      <c r="F133" t="s">
        <v>1599</v>
      </c>
    </row>
    <row r="134" spans="2:6">
      <c r="B134" t="s">
        <v>989</v>
      </c>
      <c r="C134">
        <v>3</v>
      </c>
      <c r="D134" t="s">
        <v>1417</v>
      </c>
      <c r="E134" t="s">
        <v>1413</v>
      </c>
      <c r="F134" t="s">
        <v>1600</v>
      </c>
    </row>
    <row r="135" spans="2:6">
      <c r="B135" t="s">
        <v>990</v>
      </c>
      <c r="C135">
        <v>11</v>
      </c>
      <c r="D135" t="s">
        <v>1433</v>
      </c>
      <c r="E135" t="s">
        <v>1413</v>
      </c>
      <c r="F135" t="s">
        <v>1601</v>
      </c>
    </row>
    <row r="136" spans="2:6">
      <c r="B136" t="s">
        <v>991</v>
      </c>
      <c r="C136">
        <v>2</v>
      </c>
      <c r="D136" t="s">
        <v>1414</v>
      </c>
      <c r="E136" t="s">
        <v>1416</v>
      </c>
      <c r="F136" t="s">
        <v>1602</v>
      </c>
    </row>
    <row r="137" spans="2:6">
      <c r="B137" t="s">
        <v>992</v>
      </c>
      <c r="C137">
        <v>4</v>
      </c>
      <c r="D137" t="s">
        <v>85</v>
      </c>
      <c r="E137" t="s">
        <v>1416</v>
      </c>
      <c r="F137" t="s">
        <v>1603</v>
      </c>
    </row>
    <row r="138" spans="2:6">
      <c r="B138" t="s">
        <v>993</v>
      </c>
      <c r="C138">
        <v>1</v>
      </c>
      <c r="D138" t="s">
        <v>79</v>
      </c>
      <c r="E138" t="s">
        <v>1416</v>
      </c>
      <c r="F138" t="s">
        <v>1604</v>
      </c>
    </row>
    <row r="139" spans="2:6">
      <c r="B139" t="s">
        <v>994</v>
      </c>
      <c r="C139">
        <v>6</v>
      </c>
      <c r="D139" t="s">
        <v>1423</v>
      </c>
      <c r="E139" t="s">
        <v>1419</v>
      </c>
      <c r="F139" t="s">
        <v>1605</v>
      </c>
    </row>
    <row r="140" spans="2:6">
      <c r="B140" t="s">
        <v>995</v>
      </c>
      <c r="C140">
        <v>12</v>
      </c>
      <c r="D140" t="s">
        <v>1435</v>
      </c>
      <c r="E140" t="s">
        <v>1419</v>
      </c>
      <c r="F140" t="s">
        <v>1606</v>
      </c>
    </row>
    <row r="141" spans="2:6">
      <c r="B141" t="s">
        <v>996</v>
      </c>
      <c r="C141">
        <v>8</v>
      </c>
      <c r="D141" t="s">
        <v>1427</v>
      </c>
      <c r="E141" t="s">
        <v>1419</v>
      </c>
      <c r="F141" t="s">
        <v>1607</v>
      </c>
    </row>
    <row r="142" spans="2:6">
      <c r="B142" t="s">
        <v>997</v>
      </c>
      <c r="C142">
        <v>12</v>
      </c>
      <c r="D142" t="s">
        <v>1435</v>
      </c>
      <c r="E142" t="s">
        <v>1416</v>
      </c>
      <c r="F142" t="s">
        <v>1608</v>
      </c>
    </row>
    <row r="143" spans="2:6">
      <c r="B143" t="s">
        <v>998</v>
      </c>
      <c r="C143">
        <v>5</v>
      </c>
      <c r="D143" t="s">
        <v>1421</v>
      </c>
      <c r="E143" t="s">
        <v>1413</v>
      </c>
      <c r="F143" t="s">
        <v>1609</v>
      </c>
    </row>
    <row r="144" spans="2:6">
      <c r="B144" t="s">
        <v>999</v>
      </c>
      <c r="C144">
        <v>4</v>
      </c>
      <c r="D144" t="s">
        <v>85</v>
      </c>
      <c r="E144" t="s">
        <v>1416</v>
      </c>
      <c r="F144" t="s">
        <v>1610</v>
      </c>
    </row>
    <row r="145" spans="2:6">
      <c r="B145" t="s">
        <v>1000</v>
      </c>
      <c r="C145">
        <v>7</v>
      </c>
      <c r="D145" t="s">
        <v>1425</v>
      </c>
      <c r="E145" t="s">
        <v>1419</v>
      </c>
      <c r="F145" t="s">
        <v>1611</v>
      </c>
    </row>
    <row r="146" spans="2:6">
      <c r="B146" t="s">
        <v>1001</v>
      </c>
      <c r="C146">
        <v>2</v>
      </c>
      <c r="D146" t="s">
        <v>1414</v>
      </c>
      <c r="E146" t="s">
        <v>1416</v>
      </c>
      <c r="F146" t="s">
        <v>1612</v>
      </c>
    </row>
    <row r="147" spans="2:6">
      <c r="B147" t="s">
        <v>1002</v>
      </c>
      <c r="C147">
        <v>11</v>
      </c>
      <c r="D147" t="s">
        <v>1433</v>
      </c>
      <c r="E147" t="s">
        <v>1413</v>
      </c>
      <c r="F147" t="s">
        <v>1613</v>
      </c>
    </row>
    <row r="148" spans="2:6">
      <c r="B148" t="s">
        <v>1003</v>
      </c>
      <c r="C148">
        <v>1</v>
      </c>
      <c r="D148" t="s">
        <v>79</v>
      </c>
      <c r="E148" t="s">
        <v>1416</v>
      </c>
      <c r="F148" t="s">
        <v>1614</v>
      </c>
    </row>
    <row r="149" spans="2:6">
      <c r="B149" t="s">
        <v>1004</v>
      </c>
      <c r="C149">
        <v>4</v>
      </c>
      <c r="D149" t="s">
        <v>85</v>
      </c>
      <c r="E149" t="s">
        <v>1413</v>
      </c>
      <c r="F149" t="s">
        <v>1615</v>
      </c>
    </row>
    <row r="150" spans="2:6">
      <c r="B150" t="s">
        <v>1005</v>
      </c>
      <c r="C150">
        <v>6</v>
      </c>
      <c r="D150" t="s">
        <v>1423</v>
      </c>
      <c r="E150" t="s">
        <v>1416</v>
      </c>
      <c r="F150" t="s">
        <v>1616</v>
      </c>
    </row>
    <row r="151" spans="2:6">
      <c r="B151" t="s">
        <v>1006</v>
      </c>
      <c r="C151">
        <v>12</v>
      </c>
      <c r="D151" t="s">
        <v>1435</v>
      </c>
      <c r="E151" t="s">
        <v>1413</v>
      </c>
      <c r="F151" t="s">
        <v>1617</v>
      </c>
    </row>
    <row r="152" spans="2:6">
      <c r="B152" t="s">
        <v>1007</v>
      </c>
      <c r="C152">
        <v>11</v>
      </c>
      <c r="D152" t="s">
        <v>1433</v>
      </c>
      <c r="E152" t="s">
        <v>1419</v>
      </c>
      <c r="F152" t="s">
        <v>1618</v>
      </c>
    </row>
    <row r="153" spans="2:6">
      <c r="B153" t="s">
        <v>1008</v>
      </c>
      <c r="C153">
        <v>2</v>
      </c>
      <c r="D153" t="s">
        <v>1414</v>
      </c>
      <c r="E153" t="s">
        <v>1416</v>
      </c>
      <c r="F153" t="s">
        <v>1619</v>
      </c>
    </row>
    <row r="154" spans="2:6">
      <c r="B154" t="s">
        <v>1009</v>
      </c>
      <c r="C154">
        <v>1</v>
      </c>
      <c r="D154" t="s">
        <v>79</v>
      </c>
      <c r="E154" t="s">
        <v>1416</v>
      </c>
      <c r="F154" t="s">
        <v>1620</v>
      </c>
    </row>
    <row r="155" spans="2:6">
      <c r="B155" t="s">
        <v>1010</v>
      </c>
      <c r="C155">
        <v>13</v>
      </c>
      <c r="D155" t="s">
        <v>1437</v>
      </c>
      <c r="E155" t="s">
        <v>1416</v>
      </c>
      <c r="F155" t="s">
        <v>1621</v>
      </c>
    </row>
    <row r="156" spans="2:6">
      <c r="B156" t="s">
        <v>1011</v>
      </c>
      <c r="C156">
        <v>3</v>
      </c>
      <c r="D156" t="s">
        <v>1417</v>
      </c>
      <c r="E156" t="s">
        <v>1416</v>
      </c>
      <c r="F156" t="s">
        <v>1622</v>
      </c>
    </row>
    <row r="157" spans="2:6">
      <c r="B157" t="s">
        <v>1012</v>
      </c>
      <c r="C157">
        <v>12</v>
      </c>
      <c r="D157" t="s">
        <v>1435</v>
      </c>
      <c r="E157" t="s">
        <v>1416</v>
      </c>
      <c r="F157" t="s">
        <v>1623</v>
      </c>
    </row>
    <row r="158" spans="2:6">
      <c r="B158" t="s">
        <v>1013</v>
      </c>
      <c r="C158">
        <v>5</v>
      </c>
      <c r="D158" t="s">
        <v>1421</v>
      </c>
      <c r="E158" t="s">
        <v>1416</v>
      </c>
      <c r="F158" t="s">
        <v>1624</v>
      </c>
    </row>
    <row r="159" spans="2:6">
      <c r="B159" t="s">
        <v>1014</v>
      </c>
      <c r="C159">
        <v>5</v>
      </c>
      <c r="D159" t="s">
        <v>1421</v>
      </c>
      <c r="E159" t="s">
        <v>1416</v>
      </c>
      <c r="F159" t="s">
        <v>1625</v>
      </c>
    </row>
    <row r="160" spans="2:6">
      <c r="B160" t="s">
        <v>1015</v>
      </c>
      <c r="C160">
        <v>13</v>
      </c>
      <c r="D160" t="s">
        <v>1437</v>
      </c>
      <c r="E160" t="s">
        <v>1413</v>
      </c>
      <c r="F160" t="s">
        <v>1626</v>
      </c>
    </row>
    <row r="161" spans="2:6">
      <c r="B161" t="s">
        <v>1016</v>
      </c>
      <c r="C161">
        <v>15</v>
      </c>
      <c r="D161" t="s">
        <v>1542</v>
      </c>
      <c r="E161" t="s">
        <v>1413</v>
      </c>
      <c r="F161" t="s">
        <v>1627</v>
      </c>
    </row>
    <row r="162" spans="2:6">
      <c r="B162" t="s">
        <v>1017</v>
      </c>
      <c r="C162">
        <v>4</v>
      </c>
      <c r="D162" t="s">
        <v>85</v>
      </c>
      <c r="E162" t="s">
        <v>1413</v>
      </c>
      <c r="F162" t="s">
        <v>1628</v>
      </c>
    </row>
    <row r="163" spans="2:6">
      <c r="B163" t="s">
        <v>1018</v>
      </c>
      <c r="C163">
        <v>11</v>
      </c>
      <c r="D163" t="s">
        <v>1433</v>
      </c>
      <c r="E163" t="s">
        <v>1413</v>
      </c>
      <c r="F163" t="s">
        <v>1629</v>
      </c>
    </row>
    <row r="164" spans="2:6">
      <c r="B164" t="s">
        <v>1019</v>
      </c>
      <c r="C164">
        <v>1</v>
      </c>
      <c r="D164" t="s">
        <v>79</v>
      </c>
      <c r="E164" t="s">
        <v>1416</v>
      </c>
      <c r="F164" t="s">
        <v>1630</v>
      </c>
    </row>
    <row r="165" spans="2:6">
      <c r="B165" t="s">
        <v>1020</v>
      </c>
      <c r="C165">
        <v>10</v>
      </c>
      <c r="D165" t="s">
        <v>1431</v>
      </c>
      <c r="E165" t="s">
        <v>1416</v>
      </c>
      <c r="F165" t="s">
        <v>1631</v>
      </c>
    </row>
    <row r="166" spans="2:6">
      <c r="B166" t="s">
        <v>1021</v>
      </c>
      <c r="C166">
        <v>6</v>
      </c>
      <c r="D166" t="s">
        <v>1423</v>
      </c>
      <c r="E166" t="s">
        <v>1416</v>
      </c>
      <c r="F166" t="s">
        <v>1632</v>
      </c>
    </row>
    <row r="167" spans="2:6">
      <c r="B167">
        <v>1988</v>
      </c>
      <c r="C167">
        <v>9</v>
      </c>
      <c r="D167" t="s">
        <v>1429</v>
      </c>
      <c r="E167" t="s">
        <v>1413</v>
      </c>
      <c r="F167" t="s">
        <v>1633</v>
      </c>
    </row>
    <row r="168" spans="2:6">
      <c r="B168">
        <v>1990</v>
      </c>
      <c r="C168">
        <v>9</v>
      </c>
      <c r="D168" t="s">
        <v>1429</v>
      </c>
      <c r="E168" t="s">
        <v>1413</v>
      </c>
      <c r="F168" t="s">
        <v>1633</v>
      </c>
    </row>
    <row r="169" spans="2:6">
      <c r="B169">
        <v>1997</v>
      </c>
      <c r="C169">
        <v>9</v>
      </c>
      <c r="D169" t="s">
        <v>1429</v>
      </c>
      <c r="E169" t="s">
        <v>1413</v>
      </c>
      <c r="F169" t="s">
        <v>1633</v>
      </c>
    </row>
    <row r="170" spans="2:6">
      <c r="B170">
        <v>40</v>
      </c>
      <c r="C170">
        <v>2</v>
      </c>
      <c r="D170" t="s">
        <v>1414</v>
      </c>
      <c r="E170" t="s">
        <v>1413</v>
      </c>
      <c r="F170" t="s">
        <v>1634</v>
      </c>
    </row>
    <row r="171" spans="2:6">
      <c r="B171" t="s">
        <v>1022</v>
      </c>
      <c r="C171">
        <v>3</v>
      </c>
      <c r="D171" t="s">
        <v>1417</v>
      </c>
      <c r="E171" t="s">
        <v>1413</v>
      </c>
      <c r="F171" t="s">
        <v>1635</v>
      </c>
    </row>
    <row r="172" spans="2:6">
      <c r="B172" t="s">
        <v>1023</v>
      </c>
      <c r="C172">
        <v>11</v>
      </c>
      <c r="D172" t="s">
        <v>1433</v>
      </c>
      <c r="E172" t="s">
        <v>1413</v>
      </c>
      <c r="F172" t="s">
        <v>1636</v>
      </c>
    </row>
    <row r="173" spans="2:6">
      <c r="B173" t="s">
        <v>1024</v>
      </c>
      <c r="C173">
        <v>3</v>
      </c>
      <c r="D173" t="s">
        <v>1417</v>
      </c>
      <c r="E173" t="s">
        <v>1413</v>
      </c>
      <c r="F173" t="s">
        <v>1637</v>
      </c>
    </row>
    <row r="174" spans="2:6">
      <c r="B174" s="9" t="s">
        <v>879</v>
      </c>
      <c r="C174">
        <v>4</v>
      </c>
      <c r="D174" t="s">
        <v>85</v>
      </c>
      <c r="E174" t="s">
        <v>1416</v>
      </c>
      <c r="F174" t="s">
        <v>1638</v>
      </c>
    </row>
    <row r="175" spans="2:6">
      <c r="B175" t="s">
        <v>880</v>
      </c>
      <c r="C175">
        <v>1</v>
      </c>
      <c r="D175" t="s">
        <v>79</v>
      </c>
      <c r="E175" t="s">
        <v>1416</v>
      </c>
      <c r="F175" t="s">
        <v>1639</v>
      </c>
    </row>
    <row r="176" spans="2:6">
      <c r="B176" t="s">
        <v>881</v>
      </c>
      <c r="C176">
        <v>9</v>
      </c>
      <c r="D176" t="s">
        <v>1429</v>
      </c>
      <c r="E176" t="s">
        <v>1416</v>
      </c>
      <c r="F176" t="s">
        <v>1640</v>
      </c>
    </row>
    <row r="177" spans="2:6">
      <c r="B177" t="s">
        <v>882</v>
      </c>
      <c r="C177">
        <v>13</v>
      </c>
      <c r="D177" t="s">
        <v>1437</v>
      </c>
      <c r="E177" t="s">
        <v>1413</v>
      </c>
      <c r="F177" t="s">
        <v>1641</v>
      </c>
    </row>
    <row r="178" spans="2:6">
      <c r="B178" t="s">
        <v>883</v>
      </c>
      <c r="C178">
        <v>1</v>
      </c>
      <c r="D178" t="s">
        <v>79</v>
      </c>
      <c r="E178" t="s">
        <v>1416</v>
      </c>
      <c r="F178" t="s">
        <v>1642</v>
      </c>
    </row>
    <row r="179" spans="2:6">
      <c r="B179" t="s">
        <v>884</v>
      </c>
      <c r="C179">
        <v>10</v>
      </c>
      <c r="D179" t="s">
        <v>1431</v>
      </c>
      <c r="E179" t="s">
        <v>1413</v>
      </c>
      <c r="F179" t="s">
        <v>1643</v>
      </c>
    </row>
    <row r="180" spans="2:6">
      <c r="B180" t="s">
        <v>885</v>
      </c>
      <c r="C180">
        <v>9</v>
      </c>
      <c r="D180" t="s">
        <v>1429</v>
      </c>
      <c r="E180" t="s">
        <v>1416</v>
      </c>
      <c r="F180" t="s">
        <v>1644</v>
      </c>
    </row>
    <row r="181" spans="2:6">
      <c r="B181" t="s">
        <v>886</v>
      </c>
      <c r="C181">
        <v>1</v>
      </c>
      <c r="D181" t="s">
        <v>79</v>
      </c>
      <c r="E181" t="s">
        <v>1419</v>
      </c>
      <c r="F181" t="s">
        <v>1645</v>
      </c>
    </row>
    <row r="182" spans="2:6">
      <c r="B182" t="s">
        <v>887</v>
      </c>
      <c r="C182">
        <v>12</v>
      </c>
      <c r="D182" t="s">
        <v>1435</v>
      </c>
      <c r="E182" t="s">
        <v>1416</v>
      </c>
      <c r="F182" t="s">
        <v>1646</v>
      </c>
    </row>
    <row r="183" spans="2:6">
      <c r="B183" t="s">
        <v>888</v>
      </c>
      <c r="C183">
        <v>6</v>
      </c>
      <c r="D183" t="s">
        <v>1423</v>
      </c>
      <c r="E183" t="s">
        <v>1416</v>
      </c>
      <c r="F183" t="s">
        <v>1647</v>
      </c>
    </row>
    <row r="184" spans="2:6">
      <c r="B184" t="s">
        <v>889</v>
      </c>
      <c r="C184">
        <v>15</v>
      </c>
      <c r="D184" t="s">
        <v>1542</v>
      </c>
      <c r="E184" t="s">
        <v>1416</v>
      </c>
      <c r="F184" t="s">
        <v>1648</v>
      </c>
    </row>
    <row r="185" spans="2:6">
      <c r="B185" t="s">
        <v>890</v>
      </c>
      <c r="C185">
        <v>8</v>
      </c>
      <c r="D185" t="s">
        <v>1427</v>
      </c>
      <c r="E185" t="s">
        <v>1416</v>
      </c>
      <c r="F185" t="s">
        <v>1649</v>
      </c>
    </row>
    <row r="186" spans="2:6">
      <c r="B186" t="s">
        <v>891</v>
      </c>
      <c r="C186">
        <v>3</v>
      </c>
      <c r="D186" t="s">
        <v>1417</v>
      </c>
      <c r="E186" t="s">
        <v>1419</v>
      </c>
      <c r="F186" t="s">
        <v>1650</v>
      </c>
    </row>
    <row r="187" spans="2:6">
      <c r="B187" t="s">
        <v>892</v>
      </c>
      <c r="C187">
        <v>9</v>
      </c>
      <c r="D187" t="s">
        <v>1429</v>
      </c>
      <c r="E187" t="s">
        <v>1416</v>
      </c>
      <c r="F187" t="s">
        <v>1651</v>
      </c>
    </row>
    <row r="188" spans="2:6">
      <c r="B188" t="s">
        <v>893</v>
      </c>
      <c r="C188">
        <v>15</v>
      </c>
      <c r="D188" t="s">
        <v>1542</v>
      </c>
      <c r="E188" t="s">
        <v>1413</v>
      </c>
      <c r="F188" t="s">
        <v>1652</v>
      </c>
    </row>
    <row r="189" spans="2:6">
      <c r="B189" t="s">
        <v>894</v>
      </c>
      <c r="C189">
        <v>8</v>
      </c>
      <c r="D189" t="s">
        <v>1427</v>
      </c>
      <c r="E189" t="s">
        <v>1419</v>
      </c>
      <c r="F189" t="s">
        <v>1653</v>
      </c>
    </row>
    <row r="190" spans="2:6">
      <c r="B190" t="s">
        <v>895</v>
      </c>
      <c r="C190">
        <v>6</v>
      </c>
      <c r="D190" t="s">
        <v>1423</v>
      </c>
      <c r="E190" t="s">
        <v>1419</v>
      </c>
      <c r="F190" t="s">
        <v>1654</v>
      </c>
    </row>
    <row r="191" spans="2:6">
      <c r="B191" t="s">
        <v>896</v>
      </c>
      <c r="C191">
        <v>3</v>
      </c>
      <c r="D191" t="s">
        <v>1417</v>
      </c>
      <c r="E191" t="s">
        <v>1416</v>
      </c>
      <c r="F191" t="s">
        <v>1655</v>
      </c>
    </row>
    <row r="192" spans="2:6">
      <c r="B192" t="s">
        <v>897</v>
      </c>
      <c r="C192">
        <v>5</v>
      </c>
      <c r="D192" t="s">
        <v>1421</v>
      </c>
      <c r="E192" t="s">
        <v>1419</v>
      </c>
      <c r="F192" t="s">
        <v>1656</v>
      </c>
    </row>
    <row r="193" spans="2:6">
      <c r="B193" t="s">
        <v>898</v>
      </c>
      <c r="C193">
        <v>9</v>
      </c>
      <c r="D193" t="s">
        <v>1429</v>
      </c>
      <c r="E193" t="s">
        <v>1413</v>
      </c>
      <c r="F193" t="s">
        <v>1657</v>
      </c>
    </row>
    <row r="194" spans="2:6">
      <c r="B194" t="s">
        <v>899</v>
      </c>
      <c r="C194">
        <v>10</v>
      </c>
      <c r="D194" t="s">
        <v>1431</v>
      </c>
      <c r="E194" t="s">
        <v>1413</v>
      </c>
      <c r="F194" t="s">
        <v>1658</v>
      </c>
    </row>
    <row r="195" spans="2:6">
      <c r="B195" t="s">
        <v>900</v>
      </c>
      <c r="C195">
        <v>6</v>
      </c>
      <c r="D195" t="s">
        <v>1423</v>
      </c>
      <c r="E195" t="s">
        <v>1416</v>
      </c>
      <c r="F195" t="s">
        <v>1659</v>
      </c>
    </row>
    <row r="196" spans="2:6">
      <c r="B196" t="s">
        <v>901</v>
      </c>
      <c r="C196">
        <v>6</v>
      </c>
      <c r="D196" t="s">
        <v>1423</v>
      </c>
      <c r="E196" t="s">
        <v>1419</v>
      </c>
      <c r="F196" t="s">
        <v>1660</v>
      </c>
    </row>
    <row r="197" spans="2:6">
      <c r="B197" t="s">
        <v>902</v>
      </c>
      <c r="C197">
        <v>13</v>
      </c>
      <c r="D197" t="s">
        <v>1437</v>
      </c>
      <c r="E197" t="s">
        <v>1413</v>
      </c>
      <c r="F197" t="s">
        <v>1661</v>
      </c>
    </row>
    <row r="198" spans="2:6">
      <c r="B198" t="s">
        <v>903</v>
      </c>
      <c r="C198">
        <v>10</v>
      </c>
      <c r="D198" t="s">
        <v>1431</v>
      </c>
      <c r="E198" t="s">
        <v>1413</v>
      </c>
      <c r="F198" t="s">
        <v>1662</v>
      </c>
    </row>
    <row r="199" spans="2:6">
      <c r="B199" t="s">
        <v>904</v>
      </c>
      <c r="C199">
        <v>10</v>
      </c>
      <c r="D199" t="s">
        <v>1431</v>
      </c>
      <c r="E199" t="s">
        <v>1413</v>
      </c>
      <c r="F199" t="s">
        <v>1663</v>
      </c>
    </row>
    <row r="200" spans="2:6">
      <c r="B200" t="s">
        <v>905</v>
      </c>
      <c r="C200">
        <v>12</v>
      </c>
      <c r="D200" t="s">
        <v>1435</v>
      </c>
      <c r="E200" t="s">
        <v>1416</v>
      </c>
      <c r="F200" t="s">
        <v>1664</v>
      </c>
    </row>
    <row r="201" spans="2:6">
      <c r="B201" t="s">
        <v>906</v>
      </c>
      <c r="C201">
        <v>1</v>
      </c>
      <c r="D201" t="s">
        <v>79</v>
      </c>
      <c r="E201" t="s">
        <v>1416</v>
      </c>
      <c r="F201" t="s">
        <v>1665</v>
      </c>
    </row>
    <row r="202" spans="2:6">
      <c r="B202" t="s">
        <v>907</v>
      </c>
      <c r="C202">
        <v>15</v>
      </c>
      <c r="D202" t="s">
        <v>1542</v>
      </c>
      <c r="E202" t="s">
        <v>1413</v>
      </c>
      <c r="F202" t="s">
        <v>1666</v>
      </c>
    </row>
    <row r="203" spans="2:6">
      <c r="B203" t="s">
        <v>908</v>
      </c>
      <c r="C203">
        <v>10</v>
      </c>
      <c r="D203" t="s">
        <v>1431</v>
      </c>
      <c r="E203" t="s">
        <v>1416</v>
      </c>
      <c r="F203" t="s">
        <v>1667</v>
      </c>
    </row>
    <row r="204" spans="2:6">
      <c r="B204" t="s">
        <v>909</v>
      </c>
      <c r="C204">
        <v>3</v>
      </c>
      <c r="D204" t="s">
        <v>1417</v>
      </c>
      <c r="E204" t="s">
        <v>1413</v>
      </c>
      <c r="F204" t="s">
        <v>1668</v>
      </c>
    </row>
    <row r="205" spans="2:6">
      <c r="B205" t="s">
        <v>910</v>
      </c>
      <c r="C205">
        <v>2</v>
      </c>
      <c r="D205" t="s">
        <v>1414</v>
      </c>
      <c r="E205" t="s">
        <v>1416</v>
      </c>
      <c r="F205" t="s">
        <v>1669</v>
      </c>
    </row>
    <row r="206" spans="2:6">
      <c r="B206" t="s">
        <v>911</v>
      </c>
      <c r="C206">
        <v>12</v>
      </c>
      <c r="D206" t="s">
        <v>1435</v>
      </c>
      <c r="E206" t="s">
        <v>1416</v>
      </c>
      <c r="F206" t="s">
        <v>1670</v>
      </c>
    </row>
    <row r="207" spans="2:6">
      <c r="B207" t="s">
        <v>912</v>
      </c>
      <c r="C207">
        <v>1</v>
      </c>
      <c r="D207" t="s">
        <v>79</v>
      </c>
      <c r="E207" t="s">
        <v>1419</v>
      </c>
      <c r="F207" t="s">
        <v>1671</v>
      </c>
    </row>
    <row r="208" spans="2:6">
      <c r="B208" t="s">
        <v>913</v>
      </c>
      <c r="C208">
        <v>5</v>
      </c>
      <c r="D208" t="s">
        <v>1421</v>
      </c>
      <c r="E208" t="s">
        <v>1416</v>
      </c>
      <c r="F208" t="s">
        <v>1672</v>
      </c>
    </row>
    <row r="209" spans="2:6">
      <c r="B209" t="s">
        <v>914</v>
      </c>
      <c r="C209">
        <v>7</v>
      </c>
      <c r="D209" t="s">
        <v>1425</v>
      </c>
      <c r="E209" t="s">
        <v>1413</v>
      </c>
      <c r="F209" t="s">
        <v>1673</v>
      </c>
    </row>
    <row r="210" spans="2:6">
      <c r="B210" t="s">
        <v>915</v>
      </c>
      <c r="C210">
        <v>6</v>
      </c>
      <c r="D210" t="s">
        <v>1423</v>
      </c>
      <c r="E210" t="s">
        <v>1419</v>
      </c>
      <c r="F210" t="s">
        <v>1674</v>
      </c>
    </row>
    <row r="211" spans="2:6">
      <c r="B211" t="s">
        <v>916</v>
      </c>
      <c r="C211">
        <v>15</v>
      </c>
      <c r="D211" t="s">
        <v>1542</v>
      </c>
      <c r="E211" t="s">
        <v>1416</v>
      </c>
      <c r="F211" t="s">
        <v>1675</v>
      </c>
    </row>
    <row r="212" spans="2:6">
      <c r="B212" t="s">
        <v>917</v>
      </c>
      <c r="C212">
        <v>1</v>
      </c>
      <c r="D212" t="s">
        <v>79</v>
      </c>
      <c r="E212" t="s">
        <v>1413</v>
      </c>
      <c r="F212" t="s">
        <v>1676</v>
      </c>
    </row>
    <row r="213" spans="2:6">
      <c r="B213" t="s">
        <v>918</v>
      </c>
      <c r="C213">
        <v>15</v>
      </c>
      <c r="D213" t="s">
        <v>1542</v>
      </c>
      <c r="E213" t="s">
        <v>1416</v>
      </c>
      <c r="F213" t="s">
        <v>1677</v>
      </c>
    </row>
    <row r="214" spans="2:6">
      <c r="B214" t="s">
        <v>919</v>
      </c>
      <c r="C214">
        <v>15</v>
      </c>
      <c r="D214" t="s">
        <v>1542</v>
      </c>
      <c r="E214" t="s">
        <v>1416</v>
      </c>
      <c r="F214" t="s">
        <v>1678</v>
      </c>
    </row>
    <row r="215" spans="2:6">
      <c r="B215" t="s">
        <v>920</v>
      </c>
      <c r="C215">
        <v>10</v>
      </c>
      <c r="D215" t="s">
        <v>1431</v>
      </c>
      <c r="E215" t="s">
        <v>1416</v>
      </c>
      <c r="F215" t="s">
        <v>1679</v>
      </c>
    </row>
    <row r="216" spans="2:6">
      <c r="B216" t="s">
        <v>921</v>
      </c>
      <c r="C216">
        <v>1</v>
      </c>
      <c r="D216" t="s">
        <v>79</v>
      </c>
      <c r="E216" t="s">
        <v>1413</v>
      </c>
      <c r="F216" t="s">
        <v>1680</v>
      </c>
    </row>
    <row r="217" spans="2:6">
      <c r="B217" t="s">
        <v>922</v>
      </c>
      <c r="C217">
        <v>6</v>
      </c>
      <c r="D217" t="s">
        <v>1423</v>
      </c>
      <c r="E217" t="s">
        <v>1419</v>
      </c>
      <c r="F217" t="s">
        <v>1681</v>
      </c>
    </row>
    <row r="218" spans="2:6">
      <c r="B218" t="s">
        <v>923</v>
      </c>
      <c r="C218">
        <v>2</v>
      </c>
      <c r="D218" t="s">
        <v>1414</v>
      </c>
      <c r="E218" t="s">
        <v>1416</v>
      </c>
      <c r="F218" t="s">
        <v>1682</v>
      </c>
    </row>
    <row r="219" spans="2:6">
      <c r="B219" t="s">
        <v>924</v>
      </c>
      <c r="C219">
        <v>5</v>
      </c>
      <c r="D219" t="s">
        <v>1421</v>
      </c>
      <c r="E219" t="s">
        <v>1416</v>
      </c>
      <c r="F219" t="s">
        <v>1683</v>
      </c>
    </row>
    <row r="220" spans="2:6">
      <c r="B220" t="s">
        <v>925</v>
      </c>
      <c r="C220">
        <v>3</v>
      </c>
      <c r="D220" t="s">
        <v>1417</v>
      </c>
      <c r="E220" t="s">
        <v>1416</v>
      </c>
      <c r="F220" t="s">
        <v>1684</v>
      </c>
    </row>
    <row r="221" spans="2:6">
      <c r="B221" t="s">
        <v>926</v>
      </c>
      <c r="C221">
        <v>10</v>
      </c>
      <c r="D221" t="s">
        <v>1431</v>
      </c>
      <c r="E221" t="s">
        <v>1416</v>
      </c>
      <c r="F221" t="s">
        <v>1685</v>
      </c>
    </row>
    <row r="222" spans="2:6">
      <c r="B222" t="s">
        <v>927</v>
      </c>
      <c r="C222">
        <v>3</v>
      </c>
      <c r="D222" t="s">
        <v>1417</v>
      </c>
      <c r="E222" t="s">
        <v>1413</v>
      </c>
      <c r="F222" t="s">
        <v>1686</v>
      </c>
    </row>
    <row r="223" spans="2:6">
      <c r="B223" t="s">
        <v>928</v>
      </c>
      <c r="C223">
        <v>1</v>
      </c>
      <c r="D223" t="s">
        <v>79</v>
      </c>
      <c r="E223" t="s">
        <v>1413</v>
      </c>
      <c r="F223" t="s">
        <v>1687</v>
      </c>
    </row>
    <row r="224" spans="2:6">
      <c r="B224" t="s">
        <v>929</v>
      </c>
      <c r="C224">
        <v>14</v>
      </c>
      <c r="D224" t="s">
        <v>1439</v>
      </c>
      <c r="E224" t="s">
        <v>1416</v>
      </c>
      <c r="F224" t="s">
        <v>1688</v>
      </c>
    </row>
    <row r="225" spans="2:6">
      <c r="B225" t="s">
        <v>930</v>
      </c>
      <c r="C225">
        <v>13</v>
      </c>
      <c r="D225" t="s">
        <v>1437</v>
      </c>
      <c r="E225" t="s">
        <v>1413</v>
      </c>
      <c r="F225" t="s">
        <v>1689</v>
      </c>
    </row>
    <row r="226" spans="2:6">
      <c r="B226" t="s">
        <v>931</v>
      </c>
      <c r="C226">
        <v>15</v>
      </c>
      <c r="D226" t="s">
        <v>1542</v>
      </c>
      <c r="E226" t="s">
        <v>1413</v>
      </c>
      <c r="F226" t="s">
        <v>1690</v>
      </c>
    </row>
    <row r="227" spans="2:6">
      <c r="B227" t="s">
        <v>932</v>
      </c>
      <c r="C227">
        <v>13</v>
      </c>
      <c r="D227" t="s">
        <v>1437</v>
      </c>
      <c r="E227" t="s">
        <v>1413</v>
      </c>
      <c r="F227" t="s">
        <v>1691</v>
      </c>
    </row>
    <row r="228" spans="2:6">
      <c r="B228" t="s">
        <v>933</v>
      </c>
      <c r="C228">
        <v>1</v>
      </c>
      <c r="D228" t="s">
        <v>79</v>
      </c>
      <c r="E228" t="s">
        <v>1416</v>
      </c>
      <c r="F228" t="s">
        <v>1692</v>
      </c>
    </row>
    <row r="229" spans="2:6">
      <c r="B229" t="s">
        <v>934</v>
      </c>
      <c r="C229">
        <v>8</v>
      </c>
      <c r="D229" t="s">
        <v>1427</v>
      </c>
      <c r="E229" t="s">
        <v>1416</v>
      </c>
      <c r="F229" t="s">
        <v>1693</v>
      </c>
    </row>
    <row r="230" spans="2:6">
      <c r="B230" t="s">
        <v>935</v>
      </c>
      <c r="C230">
        <v>12</v>
      </c>
      <c r="D230" t="s">
        <v>1435</v>
      </c>
      <c r="E230" t="s">
        <v>1413</v>
      </c>
      <c r="F230" t="s">
        <v>1694</v>
      </c>
    </row>
    <row r="231" spans="2:6">
      <c r="B231" t="s">
        <v>936</v>
      </c>
      <c r="C231">
        <v>15</v>
      </c>
      <c r="D231" t="s">
        <v>1542</v>
      </c>
      <c r="E231" t="s">
        <v>1413</v>
      </c>
      <c r="F231" t="s">
        <v>1695</v>
      </c>
    </row>
    <row r="232" spans="2:6">
      <c r="B232" t="s">
        <v>937</v>
      </c>
      <c r="C232">
        <v>9</v>
      </c>
      <c r="D232" t="s">
        <v>1429</v>
      </c>
      <c r="E232" t="s">
        <v>1416</v>
      </c>
      <c r="F232" t="s">
        <v>1696</v>
      </c>
    </row>
    <row r="233" spans="2:6">
      <c r="B233" t="s">
        <v>938</v>
      </c>
      <c r="C233">
        <v>12</v>
      </c>
      <c r="D233" t="s">
        <v>1435</v>
      </c>
      <c r="E233" t="s">
        <v>1413</v>
      </c>
      <c r="F233" t="s">
        <v>1697</v>
      </c>
    </row>
    <row r="234" spans="2:6">
      <c r="B234" t="s">
        <v>939</v>
      </c>
      <c r="C234">
        <v>8</v>
      </c>
      <c r="D234" t="s">
        <v>1427</v>
      </c>
      <c r="E234" t="s">
        <v>1416</v>
      </c>
      <c r="F234" t="s">
        <v>1698</v>
      </c>
    </row>
    <row r="235" spans="2:6">
      <c r="B235" t="s">
        <v>940</v>
      </c>
      <c r="C235">
        <v>5</v>
      </c>
      <c r="D235" t="s">
        <v>1421</v>
      </c>
      <c r="E235" t="s">
        <v>1416</v>
      </c>
      <c r="F235" t="s">
        <v>1699</v>
      </c>
    </row>
    <row r="236" spans="2:6">
      <c r="B236" t="s">
        <v>941</v>
      </c>
      <c r="C236">
        <v>5</v>
      </c>
      <c r="D236" t="s">
        <v>1421</v>
      </c>
      <c r="E236" t="s">
        <v>1419</v>
      </c>
      <c r="F236" t="s">
        <v>1700</v>
      </c>
    </row>
    <row r="237" spans="2:6">
      <c r="B237" t="s">
        <v>942</v>
      </c>
      <c r="C237">
        <v>15</v>
      </c>
      <c r="D237" t="s">
        <v>1542</v>
      </c>
      <c r="E237" t="s">
        <v>1416</v>
      </c>
      <c r="F237" t="s">
        <v>1701</v>
      </c>
    </row>
    <row r="238" spans="2:6">
      <c r="B238" t="s">
        <v>943</v>
      </c>
      <c r="C238">
        <v>10</v>
      </c>
      <c r="D238" t="s">
        <v>1431</v>
      </c>
      <c r="E238" t="s">
        <v>1413</v>
      </c>
      <c r="F238" t="s">
        <v>1702</v>
      </c>
    </row>
    <row r="239" spans="2:6">
      <c r="B239" t="s">
        <v>944</v>
      </c>
      <c r="C239">
        <v>3</v>
      </c>
      <c r="D239" t="s">
        <v>1417</v>
      </c>
      <c r="E239" t="s">
        <v>1416</v>
      </c>
      <c r="F239" t="s">
        <v>1703</v>
      </c>
    </row>
    <row r="240" spans="2:6">
      <c r="B240" t="s">
        <v>945</v>
      </c>
      <c r="C240">
        <v>8</v>
      </c>
      <c r="D240" t="s">
        <v>1427</v>
      </c>
      <c r="E240" t="s">
        <v>1419</v>
      </c>
      <c r="F240" t="s">
        <v>1704</v>
      </c>
    </row>
    <row r="241" spans="2:6">
      <c r="B241" t="s">
        <v>946</v>
      </c>
      <c r="C241">
        <v>6</v>
      </c>
      <c r="D241" t="s">
        <v>1423</v>
      </c>
      <c r="E241" t="s">
        <v>1416</v>
      </c>
      <c r="F241" t="s">
        <v>1705</v>
      </c>
    </row>
    <row r="242" spans="2:6">
      <c r="B242" t="s">
        <v>947</v>
      </c>
      <c r="C242">
        <v>1</v>
      </c>
      <c r="D242" t="s">
        <v>79</v>
      </c>
      <c r="E242" t="s">
        <v>1416</v>
      </c>
      <c r="F242" t="s">
        <v>1706</v>
      </c>
    </row>
    <row r="243" spans="2:6">
      <c r="B243" t="s">
        <v>948</v>
      </c>
      <c r="C243">
        <v>5</v>
      </c>
      <c r="D243" t="s">
        <v>1421</v>
      </c>
      <c r="E243" t="s">
        <v>1416</v>
      </c>
      <c r="F243" t="s">
        <v>1707</v>
      </c>
    </row>
    <row r="244" spans="2:6">
      <c r="B244" t="s">
        <v>949</v>
      </c>
      <c r="C244">
        <v>10</v>
      </c>
      <c r="D244" t="s">
        <v>1431</v>
      </c>
      <c r="E244" t="s">
        <v>1419</v>
      </c>
      <c r="F244" t="s">
        <v>1708</v>
      </c>
    </row>
    <row r="245" spans="2:6">
      <c r="B245" t="s">
        <v>950</v>
      </c>
      <c r="C245">
        <v>8</v>
      </c>
      <c r="D245" t="s">
        <v>1427</v>
      </c>
      <c r="E245" t="s">
        <v>1416</v>
      </c>
      <c r="F245" t="s">
        <v>1709</v>
      </c>
    </row>
    <row r="246" spans="2:6">
      <c r="B246" t="s">
        <v>951</v>
      </c>
      <c r="C246">
        <v>13</v>
      </c>
      <c r="D246" t="s">
        <v>1437</v>
      </c>
      <c r="E246" t="s">
        <v>1416</v>
      </c>
      <c r="F246" t="s">
        <v>1710</v>
      </c>
    </row>
    <row r="247" spans="2:6">
      <c r="B247" t="s">
        <v>952</v>
      </c>
      <c r="C247">
        <v>15</v>
      </c>
      <c r="D247" t="s">
        <v>1542</v>
      </c>
      <c r="E247" t="s">
        <v>1413</v>
      </c>
      <c r="F247" t="s">
        <v>1711</v>
      </c>
    </row>
    <row r="248" spans="2:6">
      <c r="B248" t="s">
        <v>953</v>
      </c>
      <c r="C248">
        <v>10</v>
      </c>
      <c r="D248" t="s">
        <v>1431</v>
      </c>
      <c r="E248" t="s">
        <v>1413</v>
      </c>
      <c r="F248" t="s">
        <v>1712</v>
      </c>
    </row>
    <row r="249" spans="2:6">
      <c r="B249" t="s">
        <v>954</v>
      </c>
      <c r="C249">
        <v>1</v>
      </c>
      <c r="D249" t="s">
        <v>79</v>
      </c>
      <c r="E249" t="s">
        <v>1416</v>
      </c>
      <c r="F249" t="s">
        <v>1713</v>
      </c>
    </row>
    <row r="250" spans="2:6">
      <c r="B250" t="s">
        <v>955</v>
      </c>
      <c r="C250">
        <v>10</v>
      </c>
      <c r="D250" t="s">
        <v>1431</v>
      </c>
      <c r="E250" t="s">
        <v>1413</v>
      </c>
      <c r="F250" t="s">
        <v>1714</v>
      </c>
    </row>
    <row r="251" spans="2:6">
      <c r="B251" t="s">
        <v>956</v>
      </c>
      <c r="C251">
        <v>13</v>
      </c>
      <c r="D251" t="s">
        <v>1437</v>
      </c>
      <c r="E251" t="s">
        <v>1413</v>
      </c>
      <c r="F251" t="s">
        <v>1715</v>
      </c>
    </row>
    <row r="252" spans="2:6">
      <c r="B252" t="s">
        <v>957</v>
      </c>
      <c r="C252">
        <v>9</v>
      </c>
      <c r="D252" t="s">
        <v>1429</v>
      </c>
      <c r="E252" t="s">
        <v>1416</v>
      </c>
      <c r="F252" t="s">
        <v>1716</v>
      </c>
    </row>
    <row r="253" spans="2:6">
      <c r="B253" t="s">
        <v>958</v>
      </c>
      <c r="C253">
        <v>15</v>
      </c>
      <c r="D253" t="s">
        <v>1542</v>
      </c>
      <c r="E253" t="s">
        <v>1413</v>
      </c>
      <c r="F253" t="s">
        <v>1717</v>
      </c>
    </row>
    <row r="254" spans="2:6">
      <c r="B254" t="s">
        <v>959</v>
      </c>
      <c r="C254">
        <v>8</v>
      </c>
      <c r="D254" t="s">
        <v>1427</v>
      </c>
      <c r="E254" t="s">
        <v>1419</v>
      </c>
      <c r="F254" t="s">
        <v>1718</v>
      </c>
    </row>
    <row r="255" spans="2:6">
      <c r="B255" t="s">
        <v>960</v>
      </c>
      <c r="C255">
        <v>5</v>
      </c>
      <c r="D255" t="s">
        <v>1421</v>
      </c>
      <c r="E255" t="s">
        <v>1416</v>
      </c>
      <c r="F255" t="s">
        <v>1719</v>
      </c>
    </row>
    <row r="256" spans="2:6">
      <c r="B256" t="s">
        <v>961</v>
      </c>
      <c r="C256">
        <v>8</v>
      </c>
      <c r="D256" t="s">
        <v>1427</v>
      </c>
      <c r="E256" t="s">
        <v>1416</v>
      </c>
      <c r="F256" t="s">
        <v>1720</v>
      </c>
    </row>
    <row r="257" spans="2:6">
      <c r="B257" t="s">
        <v>962</v>
      </c>
      <c r="C257">
        <v>1</v>
      </c>
      <c r="D257" t="s">
        <v>79</v>
      </c>
      <c r="E257" t="s">
        <v>1416</v>
      </c>
      <c r="F257" t="s">
        <v>1721</v>
      </c>
    </row>
    <row r="258" spans="2:6">
      <c r="B258" t="s">
        <v>963</v>
      </c>
      <c r="C258">
        <v>12</v>
      </c>
      <c r="D258" t="s">
        <v>1435</v>
      </c>
      <c r="E258" t="s">
        <v>1413</v>
      </c>
      <c r="F258" t="s">
        <v>1722</v>
      </c>
    </row>
    <row r="259" spans="2:6">
      <c r="B259" t="s">
        <v>964</v>
      </c>
      <c r="C259">
        <v>5</v>
      </c>
      <c r="D259" t="s">
        <v>1421</v>
      </c>
      <c r="E259" t="s">
        <v>1416</v>
      </c>
      <c r="F259" t="s">
        <v>1723</v>
      </c>
    </row>
    <row r="260" spans="2:6">
      <c r="B260" t="s">
        <v>965</v>
      </c>
      <c r="C260">
        <v>6</v>
      </c>
      <c r="D260" t="s">
        <v>1423</v>
      </c>
      <c r="E260" t="s">
        <v>1416</v>
      </c>
      <c r="F260" t="s">
        <v>1724</v>
      </c>
    </row>
    <row r="261" spans="2:6">
      <c r="B261" t="s">
        <v>966</v>
      </c>
      <c r="C261">
        <v>10</v>
      </c>
      <c r="D261" t="s">
        <v>1431</v>
      </c>
      <c r="E261" t="s">
        <v>1416</v>
      </c>
      <c r="F261" t="s">
        <v>1725</v>
      </c>
    </row>
    <row r="262" spans="2:6">
      <c r="B262" t="s">
        <v>967</v>
      </c>
      <c r="C262">
        <v>2</v>
      </c>
      <c r="D262" t="s">
        <v>1414</v>
      </c>
      <c r="E262" t="s">
        <v>1416</v>
      </c>
      <c r="F262" t="s">
        <v>1726</v>
      </c>
    </row>
    <row r="263" spans="2:6">
      <c r="B263" t="s">
        <v>968</v>
      </c>
      <c r="C263">
        <v>1</v>
      </c>
      <c r="D263" t="s">
        <v>79</v>
      </c>
      <c r="E263" t="s">
        <v>1416</v>
      </c>
      <c r="F263" t="s">
        <v>1727</v>
      </c>
    </row>
    <row r="264" spans="2:6">
      <c r="B264" t="s">
        <v>969</v>
      </c>
      <c r="C264">
        <v>15</v>
      </c>
      <c r="D264" t="s">
        <v>1542</v>
      </c>
      <c r="E264" t="s">
        <v>1413</v>
      </c>
      <c r="F264" t="s">
        <v>1728</v>
      </c>
    </row>
    <row r="265" spans="2:6">
      <c r="B265" t="s">
        <v>970</v>
      </c>
      <c r="C265">
        <v>4</v>
      </c>
      <c r="D265" t="s">
        <v>85</v>
      </c>
      <c r="E265" t="s">
        <v>1416</v>
      </c>
      <c r="F265" t="s">
        <v>1729</v>
      </c>
    </row>
    <row r="266" spans="2:6">
      <c r="B266" t="s">
        <v>971</v>
      </c>
      <c r="C266">
        <v>3</v>
      </c>
      <c r="D266" t="s">
        <v>1417</v>
      </c>
      <c r="E266" t="s">
        <v>1413</v>
      </c>
      <c r="F266" t="s">
        <v>1730</v>
      </c>
    </row>
    <row r="267" spans="2:6">
      <c r="B267" t="s">
        <v>972</v>
      </c>
      <c r="C267">
        <v>4</v>
      </c>
      <c r="D267" t="s">
        <v>85</v>
      </c>
      <c r="E267" t="s">
        <v>1416</v>
      </c>
      <c r="F267" t="s">
        <v>1731</v>
      </c>
    </row>
    <row r="268" spans="2:6">
      <c r="B268" t="s">
        <v>973</v>
      </c>
      <c r="C268">
        <v>12</v>
      </c>
      <c r="D268" t="s">
        <v>1435</v>
      </c>
      <c r="E268" t="s">
        <v>1416</v>
      </c>
      <c r="F268" t="s">
        <v>1732</v>
      </c>
    </row>
    <row r="269" spans="2:6">
      <c r="B269" t="s">
        <v>974</v>
      </c>
      <c r="C269">
        <v>4</v>
      </c>
      <c r="D269" t="s">
        <v>85</v>
      </c>
      <c r="E269" t="s">
        <v>1416</v>
      </c>
      <c r="F269" t="s">
        <v>1733</v>
      </c>
    </row>
    <row r="270" spans="2:6">
      <c r="B270" t="s">
        <v>975</v>
      </c>
      <c r="C270">
        <v>7</v>
      </c>
      <c r="D270" t="s">
        <v>1425</v>
      </c>
      <c r="E270" t="s">
        <v>1416</v>
      </c>
      <c r="F270" t="s">
        <v>1734</v>
      </c>
    </row>
    <row r="271" spans="2:6">
      <c r="B271" t="s">
        <v>976</v>
      </c>
      <c r="C271">
        <v>13</v>
      </c>
      <c r="D271" t="s">
        <v>1437</v>
      </c>
      <c r="E271" t="s">
        <v>1413</v>
      </c>
      <c r="F271" t="s">
        <v>1735</v>
      </c>
    </row>
    <row r="272" spans="2:6">
      <c r="B272" t="s">
        <v>977</v>
      </c>
      <c r="C272">
        <v>1</v>
      </c>
      <c r="D272" t="s">
        <v>79</v>
      </c>
      <c r="E272" t="s">
        <v>1413</v>
      </c>
      <c r="F272" t="s">
        <v>1736</v>
      </c>
    </row>
    <row r="273" spans="2:6">
      <c r="B273" t="s">
        <v>978</v>
      </c>
      <c r="C273">
        <v>1</v>
      </c>
      <c r="D273" t="s">
        <v>79</v>
      </c>
      <c r="E273" t="s">
        <v>1416</v>
      </c>
      <c r="F273" t="s">
        <v>1737</v>
      </c>
    </row>
    <row r="274" spans="2:6">
      <c r="B274" s="23" t="s">
        <v>228</v>
      </c>
      <c r="C274">
        <v>6</v>
      </c>
      <c r="D274" t="s">
        <v>1423</v>
      </c>
      <c r="E274" t="s">
        <v>1416</v>
      </c>
      <c r="F274" t="s">
        <v>1738</v>
      </c>
    </row>
    <row r="275" spans="2:6">
      <c r="B275" t="s">
        <v>229</v>
      </c>
      <c r="C275">
        <v>15</v>
      </c>
      <c r="D275" t="s">
        <v>1542</v>
      </c>
      <c r="E275" t="s">
        <v>1416</v>
      </c>
      <c r="F275" t="s">
        <v>1739</v>
      </c>
    </row>
    <row r="276" spans="2:6">
      <c r="B276" t="s">
        <v>230</v>
      </c>
      <c r="C276">
        <v>9</v>
      </c>
      <c r="D276" t="s">
        <v>1429</v>
      </c>
      <c r="E276" t="s">
        <v>1413</v>
      </c>
      <c r="F276" t="s">
        <v>1740</v>
      </c>
    </row>
    <row r="277" spans="2:6">
      <c r="B277" t="s">
        <v>231</v>
      </c>
      <c r="C277">
        <v>12</v>
      </c>
      <c r="D277" t="s">
        <v>1435</v>
      </c>
      <c r="E277" t="s">
        <v>1413</v>
      </c>
      <c r="F277" t="s">
        <v>1741</v>
      </c>
    </row>
    <row r="278" spans="2:6">
      <c r="B278" t="s">
        <v>232</v>
      </c>
      <c r="C278">
        <v>4</v>
      </c>
      <c r="D278" t="s">
        <v>85</v>
      </c>
      <c r="E278" t="s">
        <v>1416</v>
      </c>
      <c r="F278" t="s">
        <v>1742</v>
      </c>
    </row>
    <row r="279" spans="2:6">
      <c r="B279" t="s">
        <v>233</v>
      </c>
      <c r="C279">
        <v>13</v>
      </c>
      <c r="D279" t="s">
        <v>1437</v>
      </c>
      <c r="E279" t="s">
        <v>1413</v>
      </c>
      <c r="F279" t="s">
        <v>1743</v>
      </c>
    </row>
    <row r="280" spans="2:6">
      <c r="B280" t="s">
        <v>234</v>
      </c>
      <c r="C280">
        <v>2</v>
      </c>
      <c r="D280" t="s">
        <v>1414</v>
      </c>
      <c r="E280" t="s">
        <v>1413</v>
      </c>
      <c r="F280" t="s">
        <v>1744</v>
      </c>
    </row>
    <row r="281" spans="2:6">
      <c r="B281" t="s">
        <v>235</v>
      </c>
      <c r="C281">
        <v>13</v>
      </c>
      <c r="D281" t="s">
        <v>1437</v>
      </c>
      <c r="E281" t="s">
        <v>1413</v>
      </c>
      <c r="F281" t="s">
        <v>1745</v>
      </c>
    </row>
    <row r="282" spans="2:6">
      <c r="B282" t="s">
        <v>236</v>
      </c>
      <c r="C282">
        <v>12</v>
      </c>
      <c r="D282" t="s">
        <v>1435</v>
      </c>
      <c r="E282" t="s">
        <v>1413</v>
      </c>
      <c r="F282" t="s">
        <v>1746</v>
      </c>
    </row>
    <row r="283" spans="2:6">
      <c r="B283" t="s">
        <v>237</v>
      </c>
      <c r="C283">
        <v>9</v>
      </c>
      <c r="D283" t="s">
        <v>1429</v>
      </c>
      <c r="E283" t="s">
        <v>1413</v>
      </c>
      <c r="F283" t="s">
        <v>1747</v>
      </c>
    </row>
    <row r="284" spans="2:6">
      <c r="B284" t="s">
        <v>238</v>
      </c>
      <c r="C284">
        <v>3</v>
      </c>
      <c r="D284" t="s">
        <v>1417</v>
      </c>
      <c r="E284" t="s">
        <v>1416</v>
      </c>
      <c r="F284" t="s">
        <v>1748</v>
      </c>
    </row>
    <row r="285" spans="2:6">
      <c r="B285" t="s">
        <v>239</v>
      </c>
      <c r="C285">
        <v>9</v>
      </c>
      <c r="D285" t="s">
        <v>1429</v>
      </c>
      <c r="E285" t="s">
        <v>1413</v>
      </c>
      <c r="F285" t="s">
        <v>1749</v>
      </c>
    </row>
    <row r="286" spans="2:6">
      <c r="B286" t="s">
        <v>240</v>
      </c>
      <c r="C286">
        <v>13</v>
      </c>
      <c r="D286" t="s">
        <v>1437</v>
      </c>
      <c r="E286" t="s">
        <v>1413</v>
      </c>
      <c r="F286" t="s">
        <v>1750</v>
      </c>
    </row>
    <row r="287" spans="2:6">
      <c r="B287" t="s">
        <v>241</v>
      </c>
      <c r="C287">
        <v>12</v>
      </c>
      <c r="D287" t="s">
        <v>1435</v>
      </c>
      <c r="E287" t="s">
        <v>1413</v>
      </c>
      <c r="F287" t="s">
        <v>1751</v>
      </c>
    </row>
    <row r="288" spans="2:6">
      <c r="B288" t="s">
        <v>242</v>
      </c>
      <c r="C288">
        <v>3</v>
      </c>
      <c r="D288" t="s">
        <v>1417</v>
      </c>
      <c r="E288" t="s">
        <v>1416</v>
      </c>
      <c r="F288" t="s">
        <v>1752</v>
      </c>
    </row>
    <row r="289" spans="2:6">
      <c r="B289" t="s">
        <v>243</v>
      </c>
      <c r="C289">
        <v>12</v>
      </c>
      <c r="D289" t="s">
        <v>1435</v>
      </c>
      <c r="E289" t="s">
        <v>1413</v>
      </c>
      <c r="F289" t="s">
        <v>1753</v>
      </c>
    </row>
    <row r="290" spans="2:6">
      <c r="B290" t="s">
        <v>244</v>
      </c>
      <c r="C290">
        <v>13</v>
      </c>
      <c r="D290" t="s">
        <v>1437</v>
      </c>
      <c r="E290" t="s">
        <v>1413</v>
      </c>
      <c r="F290" t="s">
        <v>1754</v>
      </c>
    </row>
    <row r="291" spans="2:6">
      <c r="B291" t="s">
        <v>245</v>
      </c>
      <c r="C291">
        <v>12</v>
      </c>
      <c r="D291" t="s">
        <v>1435</v>
      </c>
      <c r="E291" t="s">
        <v>1416</v>
      </c>
      <c r="F291" t="s">
        <v>1755</v>
      </c>
    </row>
    <row r="292" spans="2:6">
      <c r="B292" t="s">
        <v>246</v>
      </c>
      <c r="C292">
        <v>9</v>
      </c>
      <c r="D292" t="s">
        <v>1429</v>
      </c>
      <c r="E292" t="s">
        <v>1413</v>
      </c>
      <c r="F292" t="s">
        <v>1756</v>
      </c>
    </row>
    <row r="293" spans="2:6">
      <c r="B293" t="s">
        <v>247</v>
      </c>
      <c r="C293">
        <v>12</v>
      </c>
      <c r="D293" t="s">
        <v>1435</v>
      </c>
      <c r="E293" t="s">
        <v>1413</v>
      </c>
      <c r="F293" t="s">
        <v>1757</v>
      </c>
    </row>
    <row r="294" spans="2:6">
      <c r="B294" t="s">
        <v>248</v>
      </c>
      <c r="C294">
        <v>5</v>
      </c>
      <c r="D294" t="s">
        <v>1421</v>
      </c>
      <c r="E294" t="s">
        <v>1416</v>
      </c>
      <c r="F294" t="s">
        <v>1758</v>
      </c>
    </row>
    <row r="295" spans="2:6">
      <c r="B295" t="s">
        <v>249</v>
      </c>
      <c r="C295">
        <v>12</v>
      </c>
      <c r="D295" t="s">
        <v>1435</v>
      </c>
      <c r="E295" t="s">
        <v>1413</v>
      </c>
      <c r="F295" t="s">
        <v>1759</v>
      </c>
    </row>
    <row r="296" spans="2:6">
      <c r="B296" t="s">
        <v>250</v>
      </c>
      <c r="C296">
        <v>2</v>
      </c>
      <c r="D296" t="s">
        <v>1414</v>
      </c>
      <c r="E296" t="s">
        <v>1416</v>
      </c>
      <c r="F296" t="s">
        <v>1760</v>
      </c>
    </row>
    <row r="297" spans="2:6">
      <c r="B297" t="s">
        <v>251</v>
      </c>
      <c r="C297">
        <v>12</v>
      </c>
      <c r="D297" t="s">
        <v>1435</v>
      </c>
      <c r="E297" t="s">
        <v>1413</v>
      </c>
      <c r="F297" t="s">
        <v>1761</v>
      </c>
    </row>
    <row r="298" spans="2:6">
      <c r="B298" t="s">
        <v>252</v>
      </c>
      <c r="C298">
        <v>9</v>
      </c>
      <c r="D298" t="s">
        <v>1429</v>
      </c>
      <c r="E298" t="s">
        <v>1413</v>
      </c>
      <c r="F298" t="s">
        <v>1762</v>
      </c>
    </row>
    <row r="299" spans="2:6">
      <c r="B299" t="s">
        <v>253</v>
      </c>
      <c r="C299">
        <v>9</v>
      </c>
      <c r="D299" t="s">
        <v>1429</v>
      </c>
      <c r="E299" t="s">
        <v>1413</v>
      </c>
      <c r="F299" t="s">
        <v>1763</v>
      </c>
    </row>
    <row r="300" spans="2:6">
      <c r="B300" t="s">
        <v>254</v>
      </c>
      <c r="C300">
        <v>13</v>
      </c>
      <c r="D300" t="s">
        <v>1437</v>
      </c>
      <c r="E300" t="s">
        <v>1413</v>
      </c>
      <c r="F300" t="s">
        <v>1764</v>
      </c>
    </row>
    <row r="301" spans="2:6">
      <c r="B301" t="s">
        <v>255</v>
      </c>
      <c r="C301">
        <v>11</v>
      </c>
      <c r="D301" t="s">
        <v>1433</v>
      </c>
      <c r="E301" t="s">
        <v>1416</v>
      </c>
      <c r="F301" t="s">
        <v>1765</v>
      </c>
    </row>
    <row r="302" spans="2:6">
      <c r="B302" t="s">
        <v>256</v>
      </c>
      <c r="C302">
        <v>10</v>
      </c>
      <c r="D302" t="s">
        <v>1431</v>
      </c>
      <c r="E302" t="s">
        <v>1416</v>
      </c>
      <c r="F302" t="s">
        <v>1766</v>
      </c>
    </row>
    <row r="303" spans="2:6">
      <c r="B303" t="s">
        <v>257</v>
      </c>
      <c r="C303">
        <v>9</v>
      </c>
      <c r="D303" t="s">
        <v>1429</v>
      </c>
      <c r="E303" t="s">
        <v>1413</v>
      </c>
      <c r="F303" t="s">
        <v>1767</v>
      </c>
    </row>
    <row r="304" spans="2:6">
      <c r="B304" t="s">
        <v>258</v>
      </c>
      <c r="C304">
        <v>9</v>
      </c>
      <c r="D304" t="s">
        <v>1429</v>
      </c>
      <c r="E304" t="s">
        <v>1413</v>
      </c>
      <c r="F304" t="s">
        <v>1768</v>
      </c>
    </row>
    <row r="305" spans="2:6">
      <c r="B305" t="s">
        <v>259</v>
      </c>
      <c r="C305">
        <v>12</v>
      </c>
      <c r="D305" t="s">
        <v>1435</v>
      </c>
      <c r="E305" t="s">
        <v>1416</v>
      </c>
      <c r="F305" t="s">
        <v>1769</v>
      </c>
    </row>
    <row r="306" spans="2:6">
      <c r="B306" t="s">
        <v>260</v>
      </c>
      <c r="C306">
        <v>13</v>
      </c>
      <c r="D306" t="s">
        <v>1437</v>
      </c>
      <c r="E306" t="s">
        <v>1413</v>
      </c>
      <c r="F306" t="s">
        <v>1770</v>
      </c>
    </row>
    <row r="307" spans="2:6">
      <c r="B307" t="s">
        <v>261</v>
      </c>
      <c r="C307">
        <v>12</v>
      </c>
      <c r="D307" t="s">
        <v>1435</v>
      </c>
      <c r="E307" t="s">
        <v>1416</v>
      </c>
      <c r="F307" t="s">
        <v>1771</v>
      </c>
    </row>
    <row r="308" spans="2:6">
      <c r="B308" t="s">
        <v>262</v>
      </c>
      <c r="C308">
        <v>12</v>
      </c>
      <c r="D308" t="s">
        <v>1435</v>
      </c>
      <c r="E308" t="s">
        <v>1413</v>
      </c>
      <c r="F308" t="s">
        <v>1772</v>
      </c>
    </row>
    <row r="309" spans="2:6">
      <c r="B309" t="s">
        <v>263</v>
      </c>
      <c r="C309">
        <v>12</v>
      </c>
      <c r="D309" t="s">
        <v>1435</v>
      </c>
      <c r="E309" t="s">
        <v>1413</v>
      </c>
      <c r="F309" t="s">
        <v>1772</v>
      </c>
    </row>
    <row r="310" spans="2:6">
      <c r="B310" t="s">
        <v>264</v>
      </c>
      <c r="C310">
        <v>1</v>
      </c>
      <c r="D310" t="s">
        <v>79</v>
      </c>
      <c r="E310" t="s">
        <v>1416</v>
      </c>
      <c r="F310" t="s">
        <v>1773</v>
      </c>
    </row>
    <row r="311" spans="2:6">
      <c r="B311" t="s">
        <v>265</v>
      </c>
      <c r="C311">
        <v>9</v>
      </c>
      <c r="D311" t="s">
        <v>1429</v>
      </c>
      <c r="E311" t="s">
        <v>1413</v>
      </c>
      <c r="F311" t="s">
        <v>1774</v>
      </c>
    </row>
    <row r="312" spans="2:6">
      <c r="B312" t="s">
        <v>266</v>
      </c>
      <c r="C312">
        <v>12</v>
      </c>
      <c r="D312" t="s">
        <v>1435</v>
      </c>
      <c r="E312" t="s">
        <v>1413</v>
      </c>
      <c r="F312" t="s">
        <v>1775</v>
      </c>
    </row>
    <row r="313" spans="2:6">
      <c r="B313" t="s">
        <v>267</v>
      </c>
      <c r="C313">
        <v>11</v>
      </c>
      <c r="D313" t="s">
        <v>1433</v>
      </c>
      <c r="E313" t="s">
        <v>1413</v>
      </c>
      <c r="F313" t="s">
        <v>1776</v>
      </c>
    </row>
    <row r="314" spans="2:6">
      <c r="B314" t="s">
        <v>268</v>
      </c>
      <c r="C314">
        <v>9</v>
      </c>
      <c r="D314" t="s">
        <v>1429</v>
      </c>
      <c r="E314" t="s">
        <v>1413</v>
      </c>
      <c r="F314" t="s">
        <v>1777</v>
      </c>
    </row>
    <row r="315" spans="2:6">
      <c r="B315" t="s">
        <v>269</v>
      </c>
      <c r="C315">
        <v>15</v>
      </c>
      <c r="D315" t="s">
        <v>1542</v>
      </c>
      <c r="E315" t="s">
        <v>1413</v>
      </c>
      <c r="F315" t="s">
        <v>1778</v>
      </c>
    </row>
    <row r="316" spans="2:6">
      <c r="B316" t="s">
        <v>270</v>
      </c>
      <c r="C316">
        <v>15</v>
      </c>
      <c r="D316" t="s">
        <v>1542</v>
      </c>
      <c r="E316" t="s">
        <v>1413</v>
      </c>
      <c r="F316" t="s">
        <v>1779</v>
      </c>
    </row>
    <row r="317" spans="2:6">
      <c r="B317" t="s">
        <v>271</v>
      </c>
      <c r="C317">
        <v>8</v>
      </c>
      <c r="D317" t="s">
        <v>1427</v>
      </c>
      <c r="E317" t="s">
        <v>1416</v>
      </c>
      <c r="F317" t="s">
        <v>1780</v>
      </c>
    </row>
    <row r="318" spans="2:6">
      <c r="B318" t="s">
        <v>272</v>
      </c>
      <c r="C318">
        <v>7</v>
      </c>
      <c r="D318" t="s">
        <v>1425</v>
      </c>
      <c r="E318" t="s">
        <v>1416</v>
      </c>
      <c r="F318" t="s">
        <v>1781</v>
      </c>
    </row>
    <row r="319" spans="2:6">
      <c r="B319" t="s">
        <v>273</v>
      </c>
      <c r="C319">
        <v>12</v>
      </c>
      <c r="D319" t="s">
        <v>1435</v>
      </c>
      <c r="E319" t="s">
        <v>1416</v>
      </c>
      <c r="F319" t="s">
        <v>1782</v>
      </c>
    </row>
    <row r="320" spans="2:6">
      <c r="B320" t="s">
        <v>274</v>
      </c>
      <c r="C320">
        <v>9</v>
      </c>
      <c r="D320" t="s">
        <v>1429</v>
      </c>
      <c r="E320" t="s">
        <v>1413</v>
      </c>
      <c r="F320" t="s">
        <v>1783</v>
      </c>
    </row>
    <row r="321" spans="2:6">
      <c r="B321" t="s">
        <v>275</v>
      </c>
      <c r="C321">
        <v>12</v>
      </c>
      <c r="D321" t="s">
        <v>1435</v>
      </c>
      <c r="E321" t="s">
        <v>1413</v>
      </c>
      <c r="F321" t="s">
        <v>1761</v>
      </c>
    </row>
    <row r="322" spans="2:6">
      <c r="B322" t="s">
        <v>276</v>
      </c>
      <c r="C322">
        <v>12</v>
      </c>
      <c r="D322" t="s">
        <v>1435</v>
      </c>
      <c r="E322" t="s">
        <v>1413</v>
      </c>
      <c r="F322" t="s">
        <v>1784</v>
      </c>
    </row>
    <row r="323" spans="2:6">
      <c r="B323" t="s">
        <v>277</v>
      </c>
      <c r="C323">
        <v>12</v>
      </c>
      <c r="D323" t="s">
        <v>1435</v>
      </c>
      <c r="E323" t="s">
        <v>1416</v>
      </c>
      <c r="F323" t="s">
        <v>1785</v>
      </c>
    </row>
    <row r="324" spans="2:6">
      <c r="B324" t="s">
        <v>779</v>
      </c>
      <c r="C324">
        <v>11</v>
      </c>
      <c r="D324" t="s">
        <v>1433</v>
      </c>
      <c r="E324" t="s">
        <v>1416</v>
      </c>
      <c r="F324" t="s">
        <v>1786</v>
      </c>
    </row>
    <row r="325" spans="2:6">
      <c r="B325" t="s">
        <v>780</v>
      </c>
      <c r="C325">
        <v>12</v>
      </c>
      <c r="D325" t="s">
        <v>1435</v>
      </c>
      <c r="E325" t="s">
        <v>1413</v>
      </c>
      <c r="F325" t="s">
        <v>1787</v>
      </c>
    </row>
    <row r="326" spans="2:6">
      <c r="B326" t="s">
        <v>781</v>
      </c>
      <c r="C326">
        <v>1</v>
      </c>
      <c r="D326" t="s">
        <v>79</v>
      </c>
      <c r="E326" t="s">
        <v>1416</v>
      </c>
      <c r="F326" t="s">
        <v>1788</v>
      </c>
    </row>
    <row r="327" spans="2:6">
      <c r="B327" t="s">
        <v>782</v>
      </c>
      <c r="C327">
        <v>15</v>
      </c>
      <c r="D327" t="s">
        <v>1542</v>
      </c>
      <c r="E327" t="s">
        <v>1413</v>
      </c>
      <c r="F327" t="s">
        <v>1789</v>
      </c>
    </row>
    <row r="328" spans="2:6">
      <c r="B328" t="s">
        <v>783</v>
      </c>
      <c r="C328">
        <v>5</v>
      </c>
      <c r="D328" t="s">
        <v>1421</v>
      </c>
      <c r="E328" t="s">
        <v>1419</v>
      </c>
      <c r="F328" t="s">
        <v>1790</v>
      </c>
    </row>
    <row r="329" spans="2:6">
      <c r="B329" t="s">
        <v>784</v>
      </c>
      <c r="C329">
        <v>7</v>
      </c>
      <c r="D329" t="s">
        <v>1425</v>
      </c>
      <c r="E329" t="s">
        <v>1413</v>
      </c>
      <c r="F329" t="s">
        <v>1791</v>
      </c>
    </row>
    <row r="330" spans="2:6">
      <c r="B330" t="s">
        <v>785</v>
      </c>
      <c r="C330">
        <v>6</v>
      </c>
      <c r="D330" t="s">
        <v>1423</v>
      </c>
      <c r="E330" t="s">
        <v>1419</v>
      </c>
      <c r="F330" t="s">
        <v>1792</v>
      </c>
    </row>
    <row r="331" spans="2:6">
      <c r="B331" t="s">
        <v>786</v>
      </c>
      <c r="C331">
        <v>4</v>
      </c>
      <c r="D331" t="s">
        <v>85</v>
      </c>
      <c r="E331" t="s">
        <v>1413</v>
      </c>
      <c r="F331" t="s">
        <v>1793</v>
      </c>
    </row>
    <row r="332" spans="2:6">
      <c r="B332" t="s">
        <v>787</v>
      </c>
      <c r="C332">
        <v>6</v>
      </c>
      <c r="D332" t="s">
        <v>1423</v>
      </c>
      <c r="E332" t="s">
        <v>1416</v>
      </c>
      <c r="F332" t="s">
        <v>1794</v>
      </c>
    </row>
    <row r="333" spans="2:6">
      <c r="B333" t="s">
        <v>788</v>
      </c>
      <c r="C333">
        <v>3</v>
      </c>
      <c r="D333" t="s">
        <v>1417</v>
      </c>
      <c r="E333" t="s">
        <v>1416</v>
      </c>
      <c r="F333" t="s">
        <v>1795</v>
      </c>
    </row>
    <row r="334" spans="2:6">
      <c r="B334" t="s">
        <v>789</v>
      </c>
      <c r="C334">
        <v>12</v>
      </c>
      <c r="D334" t="s">
        <v>1435</v>
      </c>
      <c r="E334" t="s">
        <v>1416</v>
      </c>
      <c r="F334" t="s">
        <v>1796</v>
      </c>
    </row>
    <row r="335" spans="2:6">
      <c r="B335" t="s">
        <v>790</v>
      </c>
      <c r="C335">
        <v>15</v>
      </c>
      <c r="D335" t="s">
        <v>1542</v>
      </c>
      <c r="E335" t="s">
        <v>1413</v>
      </c>
      <c r="F335" t="s">
        <v>1797</v>
      </c>
    </row>
    <row r="336" spans="2:6">
      <c r="B336" t="s">
        <v>791</v>
      </c>
      <c r="C336">
        <v>10</v>
      </c>
      <c r="D336" t="s">
        <v>1431</v>
      </c>
      <c r="E336" t="s">
        <v>1416</v>
      </c>
      <c r="F336" t="s">
        <v>1798</v>
      </c>
    </row>
    <row r="337" spans="2:6">
      <c r="B337" t="s">
        <v>792</v>
      </c>
      <c r="C337">
        <v>11</v>
      </c>
      <c r="D337" t="s">
        <v>1433</v>
      </c>
      <c r="E337" t="s">
        <v>1413</v>
      </c>
      <c r="F337" t="s">
        <v>1799</v>
      </c>
    </row>
    <row r="338" spans="2:6">
      <c r="B338" t="s">
        <v>793</v>
      </c>
      <c r="C338">
        <v>9</v>
      </c>
      <c r="D338" t="s">
        <v>1429</v>
      </c>
      <c r="E338" t="s">
        <v>1416</v>
      </c>
      <c r="F338" t="s">
        <v>1800</v>
      </c>
    </row>
    <row r="339" spans="2:6">
      <c r="B339" t="s">
        <v>794</v>
      </c>
      <c r="C339">
        <v>2</v>
      </c>
      <c r="D339" t="s">
        <v>1414</v>
      </c>
      <c r="E339" t="s">
        <v>1413</v>
      </c>
      <c r="F339" t="s">
        <v>1634</v>
      </c>
    </row>
    <row r="340" spans="2:6">
      <c r="B340" t="s">
        <v>795</v>
      </c>
      <c r="C340">
        <v>6</v>
      </c>
      <c r="D340" t="s">
        <v>1423</v>
      </c>
      <c r="E340" t="s">
        <v>1416</v>
      </c>
      <c r="F340" t="s">
        <v>1801</v>
      </c>
    </row>
    <row r="341" spans="2:6">
      <c r="B341" t="s">
        <v>796</v>
      </c>
      <c r="C341">
        <v>13</v>
      </c>
      <c r="D341" t="s">
        <v>1437</v>
      </c>
      <c r="E341" t="s">
        <v>1413</v>
      </c>
      <c r="F341" t="s">
        <v>1802</v>
      </c>
    </row>
    <row r="342" spans="2:6">
      <c r="B342" t="s">
        <v>797</v>
      </c>
      <c r="C342">
        <v>15</v>
      </c>
      <c r="D342" t="s">
        <v>1542</v>
      </c>
      <c r="E342" t="s">
        <v>1413</v>
      </c>
      <c r="F342" t="s">
        <v>1797</v>
      </c>
    </row>
    <row r="343" spans="2:6">
      <c r="B343" t="s">
        <v>798</v>
      </c>
      <c r="C343">
        <v>15</v>
      </c>
      <c r="D343" t="s">
        <v>1542</v>
      </c>
      <c r="E343" t="s">
        <v>1413</v>
      </c>
      <c r="F343" t="s">
        <v>1797</v>
      </c>
    </row>
    <row r="344" spans="2:6">
      <c r="B344" t="s">
        <v>799</v>
      </c>
      <c r="C344">
        <v>9</v>
      </c>
      <c r="D344" t="s">
        <v>1429</v>
      </c>
      <c r="E344" t="s">
        <v>1419</v>
      </c>
      <c r="F344" t="s">
        <v>1803</v>
      </c>
    </row>
    <row r="345" spans="2:6">
      <c r="B345" t="s">
        <v>800</v>
      </c>
      <c r="C345">
        <v>8</v>
      </c>
      <c r="D345" t="s">
        <v>1427</v>
      </c>
      <c r="E345" t="s">
        <v>1416</v>
      </c>
      <c r="F345" t="s">
        <v>1804</v>
      </c>
    </row>
    <row r="346" spans="2:6">
      <c r="B346" t="s">
        <v>801</v>
      </c>
      <c r="C346">
        <v>3</v>
      </c>
      <c r="D346" t="s">
        <v>1417</v>
      </c>
      <c r="E346" t="s">
        <v>1416</v>
      </c>
      <c r="F346" t="s">
        <v>1805</v>
      </c>
    </row>
    <row r="347" spans="2:6">
      <c r="B347" t="s">
        <v>802</v>
      </c>
      <c r="C347">
        <v>3</v>
      </c>
      <c r="D347" t="s">
        <v>1417</v>
      </c>
      <c r="E347" t="s">
        <v>1413</v>
      </c>
      <c r="F347" t="s">
        <v>1806</v>
      </c>
    </row>
    <row r="348" spans="2:6">
      <c r="B348" t="s">
        <v>803</v>
      </c>
      <c r="C348">
        <v>8</v>
      </c>
      <c r="D348" t="s">
        <v>1427</v>
      </c>
      <c r="E348" t="s">
        <v>1416</v>
      </c>
      <c r="F348" t="s">
        <v>1807</v>
      </c>
    </row>
    <row r="349" spans="2:6">
      <c r="B349" t="s">
        <v>804</v>
      </c>
      <c r="C349">
        <v>15</v>
      </c>
      <c r="D349" t="s">
        <v>1542</v>
      </c>
      <c r="E349" t="s">
        <v>1413</v>
      </c>
      <c r="F349" t="s">
        <v>1808</v>
      </c>
    </row>
    <row r="350" spans="2:6">
      <c r="B350" t="s">
        <v>805</v>
      </c>
      <c r="C350">
        <v>15</v>
      </c>
      <c r="D350" t="s">
        <v>1542</v>
      </c>
      <c r="E350" t="s">
        <v>1413</v>
      </c>
      <c r="F350" t="s">
        <v>1809</v>
      </c>
    </row>
    <row r="351" spans="2:6">
      <c r="B351" t="s">
        <v>806</v>
      </c>
      <c r="C351">
        <v>3</v>
      </c>
      <c r="D351" t="s">
        <v>1417</v>
      </c>
      <c r="E351" t="s">
        <v>1413</v>
      </c>
      <c r="F351" t="s">
        <v>1810</v>
      </c>
    </row>
    <row r="352" spans="2:6">
      <c r="B352" t="s">
        <v>807</v>
      </c>
      <c r="C352">
        <v>13</v>
      </c>
      <c r="D352" t="s">
        <v>1437</v>
      </c>
      <c r="E352" t="s">
        <v>1413</v>
      </c>
      <c r="F352" t="s">
        <v>1811</v>
      </c>
    </row>
    <row r="353" spans="2:6">
      <c r="B353" t="s">
        <v>808</v>
      </c>
      <c r="C353">
        <v>3</v>
      </c>
      <c r="D353" t="s">
        <v>1417</v>
      </c>
      <c r="E353" t="s">
        <v>1413</v>
      </c>
      <c r="F353" t="s">
        <v>1812</v>
      </c>
    </row>
    <row r="354" spans="2:6">
      <c r="B354" t="s">
        <v>809</v>
      </c>
      <c r="C354">
        <v>10</v>
      </c>
      <c r="D354" t="s">
        <v>1431</v>
      </c>
      <c r="E354" t="s">
        <v>1416</v>
      </c>
      <c r="F354" t="s">
        <v>1813</v>
      </c>
    </row>
    <row r="355" spans="2:6">
      <c r="B355" t="s">
        <v>810</v>
      </c>
      <c r="C355">
        <v>9</v>
      </c>
      <c r="D355" t="s">
        <v>1429</v>
      </c>
      <c r="E355" t="s">
        <v>1416</v>
      </c>
      <c r="F355" t="s">
        <v>1814</v>
      </c>
    </row>
    <row r="356" spans="2:6">
      <c r="B356" t="s">
        <v>811</v>
      </c>
      <c r="C356">
        <v>12</v>
      </c>
      <c r="D356" t="s">
        <v>1435</v>
      </c>
      <c r="E356" t="s">
        <v>1419</v>
      </c>
      <c r="F356" t="s">
        <v>1815</v>
      </c>
    </row>
    <row r="357" spans="2:6">
      <c r="B357" t="s">
        <v>812</v>
      </c>
      <c r="C357">
        <v>9</v>
      </c>
      <c r="D357" t="s">
        <v>1429</v>
      </c>
      <c r="E357" t="s">
        <v>1413</v>
      </c>
      <c r="F357" t="s">
        <v>1816</v>
      </c>
    </row>
    <row r="358" spans="2:6">
      <c r="B358" t="s">
        <v>813</v>
      </c>
      <c r="C358">
        <v>15</v>
      </c>
      <c r="D358" t="s">
        <v>1542</v>
      </c>
      <c r="E358" t="s">
        <v>1416</v>
      </c>
      <c r="F358" t="s">
        <v>1817</v>
      </c>
    </row>
    <row r="359" spans="2:6">
      <c r="B359" t="s">
        <v>814</v>
      </c>
      <c r="C359">
        <v>1</v>
      </c>
      <c r="D359" t="s">
        <v>79</v>
      </c>
      <c r="E359" t="s">
        <v>1416</v>
      </c>
      <c r="F359" t="s">
        <v>1818</v>
      </c>
    </row>
    <row r="360" spans="2:6">
      <c r="B360" t="s">
        <v>815</v>
      </c>
      <c r="C360">
        <v>2</v>
      </c>
      <c r="D360" t="s">
        <v>1414</v>
      </c>
      <c r="E360" t="s">
        <v>1416</v>
      </c>
      <c r="F360" t="s">
        <v>1819</v>
      </c>
    </row>
    <row r="361" spans="2:6">
      <c r="B361" t="s">
        <v>816</v>
      </c>
      <c r="C361">
        <v>7</v>
      </c>
      <c r="D361" t="s">
        <v>1425</v>
      </c>
      <c r="E361" t="s">
        <v>1413</v>
      </c>
      <c r="F361" t="s">
        <v>1820</v>
      </c>
    </row>
    <row r="362" spans="2:6">
      <c r="B362" t="s">
        <v>817</v>
      </c>
      <c r="C362">
        <v>3</v>
      </c>
      <c r="D362" t="s">
        <v>1417</v>
      </c>
      <c r="E362" t="s">
        <v>1416</v>
      </c>
      <c r="F362" t="s">
        <v>1821</v>
      </c>
    </row>
    <row r="363" spans="2:6">
      <c r="B363" t="s">
        <v>818</v>
      </c>
      <c r="C363">
        <v>7</v>
      </c>
      <c r="D363" t="s">
        <v>1425</v>
      </c>
      <c r="E363" t="s">
        <v>1419</v>
      </c>
      <c r="F363" t="s">
        <v>1822</v>
      </c>
    </row>
    <row r="364" spans="2:6">
      <c r="B364" t="s">
        <v>819</v>
      </c>
      <c r="C364">
        <v>12</v>
      </c>
      <c r="D364" t="s">
        <v>1435</v>
      </c>
      <c r="E364" t="s">
        <v>1416</v>
      </c>
      <c r="F364" t="s">
        <v>1823</v>
      </c>
    </row>
    <row r="365" spans="2:6">
      <c r="B365" t="s">
        <v>820</v>
      </c>
      <c r="C365">
        <v>14</v>
      </c>
      <c r="D365" t="s">
        <v>1439</v>
      </c>
      <c r="E365" t="s">
        <v>1413</v>
      </c>
      <c r="F365" t="s">
        <v>1824</v>
      </c>
    </row>
    <row r="366" spans="2:6">
      <c r="B366" t="s">
        <v>821</v>
      </c>
      <c r="C366">
        <v>12</v>
      </c>
      <c r="D366" t="s">
        <v>1435</v>
      </c>
      <c r="E366" t="s">
        <v>1419</v>
      </c>
      <c r="F366" t="s">
        <v>1825</v>
      </c>
    </row>
    <row r="367" spans="2:6">
      <c r="B367" t="s">
        <v>822</v>
      </c>
      <c r="C367">
        <v>15</v>
      </c>
      <c r="D367" t="s">
        <v>1542</v>
      </c>
      <c r="E367" t="s">
        <v>1413</v>
      </c>
      <c r="F367" t="s">
        <v>1826</v>
      </c>
    </row>
    <row r="368" spans="2:6">
      <c r="B368" t="s">
        <v>823</v>
      </c>
      <c r="C368">
        <v>15</v>
      </c>
      <c r="D368" t="s">
        <v>1542</v>
      </c>
      <c r="E368" t="s">
        <v>1416</v>
      </c>
      <c r="F368" t="s">
        <v>1827</v>
      </c>
    </row>
    <row r="369" spans="2:6">
      <c r="B369" t="s">
        <v>824</v>
      </c>
      <c r="C369">
        <v>5</v>
      </c>
      <c r="D369" t="s">
        <v>1421</v>
      </c>
      <c r="E369" t="s">
        <v>1416</v>
      </c>
      <c r="F369" t="s">
        <v>1828</v>
      </c>
    </row>
    <row r="370" spans="2:6">
      <c r="B370" t="s">
        <v>825</v>
      </c>
      <c r="C370">
        <v>9</v>
      </c>
      <c r="D370" t="s">
        <v>1429</v>
      </c>
      <c r="E370" t="s">
        <v>1419</v>
      </c>
      <c r="F370" t="s">
        <v>1829</v>
      </c>
    </row>
    <row r="371" spans="2:6">
      <c r="B371" t="s">
        <v>826</v>
      </c>
      <c r="C371">
        <v>1</v>
      </c>
      <c r="D371" t="s">
        <v>79</v>
      </c>
      <c r="E371" t="s">
        <v>1419</v>
      </c>
      <c r="F371" t="s">
        <v>1830</v>
      </c>
    </row>
    <row r="372" spans="2:6">
      <c r="B372" t="s">
        <v>827</v>
      </c>
      <c r="C372">
        <v>15</v>
      </c>
      <c r="D372" t="s">
        <v>1542</v>
      </c>
      <c r="E372" t="s">
        <v>1413</v>
      </c>
      <c r="F372" t="s">
        <v>1831</v>
      </c>
    </row>
    <row r="373" spans="2:6">
      <c r="B373" t="s">
        <v>828</v>
      </c>
      <c r="C373">
        <v>11</v>
      </c>
      <c r="D373" t="s">
        <v>1433</v>
      </c>
      <c r="E373" t="s">
        <v>1413</v>
      </c>
      <c r="F373" t="s">
        <v>1832</v>
      </c>
    </row>
    <row r="374" spans="2:6">
      <c r="B374" t="s">
        <v>829</v>
      </c>
      <c r="C374">
        <v>3</v>
      </c>
      <c r="D374" t="s">
        <v>1417</v>
      </c>
      <c r="E374" t="s">
        <v>1413</v>
      </c>
      <c r="F374" t="s">
        <v>1833</v>
      </c>
    </row>
    <row r="375" spans="2:6">
      <c r="B375" t="s">
        <v>830</v>
      </c>
      <c r="C375">
        <v>7</v>
      </c>
      <c r="D375" t="s">
        <v>1425</v>
      </c>
      <c r="E375" t="s">
        <v>1413</v>
      </c>
      <c r="F375" t="s">
        <v>1834</v>
      </c>
    </row>
    <row r="376" spans="2:6">
      <c r="B376" t="s">
        <v>831</v>
      </c>
      <c r="C376">
        <v>10</v>
      </c>
      <c r="D376" t="s">
        <v>1431</v>
      </c>
      <c r="E376" t="s">
        <v>1413</v>
      </c>
      <c r="F376" t="s">
        <v>1835</v>
      </c>
    </row>
    <row r="377" spans="2:6">
      <c r="B377" t="s">
        <v>832</v>
      </c>
      <c r="C377">
        <v>3</v>
      </c>
      <c r="D377" t="s">
        <v>1417</v>
      </c>
      <c r="E377" t="s">
        <v>1416</v>
      </c>
      <c r="F377" t="s">
        <v>1836</v>
      </c>
    </row>
    <row r="378" spans="2:6">
      <c r="B378" t="s">
        <v>833</v>
      </c>
      <c r="C378">
        <v>10</v>
      </c>
      <c r="D378" t="s">
        <v>1431</v>
      </c>
      <c r="E378" t="s">
        <v>1413</v>
      </c>
      <c r="F378" t="s">
        <v>1837</v>
      </c>
    </row>
    <row r="379" spans="2:6">
      <c r="B379" t="s">
        <v>834</v>
      </c>
      <c r="C379">
        <v>6</v>
      </c>
      <c r="D379" t="s">
        <v>1423</v>
      </c>
      <c r="E379" t="s">
        <v>1419</v>
      </c>
      <c r="F379" t="s">
        <v>1838</v>
      </c>
    </row>
    <row r="380" spans="2:6">
      <c r="B380" t="s">
        <v>835</v>
      </c>
      <c r="C380">
        <v>6</v>
      </c>
      <c r="D380" t="s">
        <v>1423</v>
      </c>
      <c r="E380" t="s">
        <v>1416</v>
      </c>
      <c r="F380" t="s">
        <v>1839</v>
      </c>
    </row>
    <row r="381" spans="2:6">
      <c r="B381" t="s">
        <v>836</v>
      </c>
      <c r="C381">
        <v>7</v>
      </c>
      <c r="D381" t="s">
        <v>1425</v>
      </c>
      <c r="E381" t="s">
        <v>1419</v>
      </c>
      <c r="F381" t="s">
        <v>1840</v>
      </c>
    </row>
    <row r="382" spans="2:6">
      <c r="B382" t="s">
        <v>837</v>
      </c>
      <c r="C382">
        <v>14</v>
      </c>
      <c r="D382" t="s">
        <v>1439</v>
      </c>
      <c r="E382" t="s">
        <v>1416</v>
      </c>
      <c r="F382" t="s">
        <v>1841</v>
      </c>
    </row>
    <row r="383" spans="2:6">
      <c r="B383" t="s">
        <v>838</v>
      </c>
      <c r="C383">
        <v>5</v>
      </c>
      <c r="D383" t="s">
        <v>1421</v>
      </c>
      <c r="E383" t="s">
        <v>1413</v>
      </c>
      <c r="F383" t="s">
        <v>1842</v>
      </c>
    </row>
    <row r="384" spans="2:6">
      <c r="B384" t="s">
        <v>839</v>
      </c>
      <c r="C384">
        <v>2</v>
      </c>
      <c r="D384" t="s">
        <v>1414</v>
      </c>
      <c r="E384" t="s">
        <v>1416</v>
      </c>
      <c r="F384" t="s">
        <v>1843</v>
      </c>
    </row>
    <row r="385" spans="2:6">
      <c r="B385" t="s">
        <v>840</v>
      </c>
      <c r="C385">
        <v>15</v>
      </c>
      <c r="D385" t="s">
        <v>1542</v>
      </c>
      <c r="E385" t="s">
        <v>1413</v>
      </c>
      <c r="F385" t="s">
        <v>1844</v>
      </c>
    </row>
    <row r="386" spans="2:6">
      <c r="B386" t="s">
        <v>841</v>
      </c>
      <c r="C386">
        <v>15</v>
      </c>
      <c r="D386" t="s">
        <v>1542</v>
      </c>
      <c r="E386" t="s">
        <v>1416</v>
      </c>
      <c r="F386" t="s">
        <v>1845</v>
      </c>
    </row>
    <row r="387" spans="2:6">
      <c r="B387" t="s">
        <v>842</v>
      </c>
      <c r="C387">
        <v>15</v>
      </c>
      <c r="D387" t="s">
        <v>1542</v>
      </c>
      <c r="E387" t="s">
        <v>1413</v>
      </c>
      <c r="F387" t="s">
        <v>1494</v>
      </c>
    </row>
    <row r="388" spans="2:6">
      <c r="B388" t="s">
        <v>843</v>
      </c>
      <c r="C388">
        <v>7</v>
      </c>
      <c r="D388" t="s">
        <v>1425</v>
      </c>
      <c r="E388" t="s">
        <v>1413</v>
      </c>
      <c r="F388" t="s">
        <v>1846</v>
      </c>
    </row>
    <row r="389" spans="2:6">
      <c r="B389" t="s">
        <v>844</v>
      </c>
      <c r="C389">
        <v>9</v>
      </c>
      <c r="D389" t="s">
        <v>1429</v>
      </c>
      <c r="E389" t="s">
        <v>1416</v>
      </c>
      <c r="F389" t="s">
        <v>1847</v>
      </c>
    </row>
    <row r="390" spans="2:6">
      <c r="B390" t="s">
        <v>845</v>
      </c>
      <c r="C390">
        <v>15</v>
      </c>
      <c r="D390" t="s">
        <v>1542</v>
      </c>
      <c r="E390" t="s">
        <v>1413</v>
      </c>
      <c r="F390" t="s">
        <v>1575</v>
      </c>
    </row>
    <row r="391" spans="2:6">
      <c r="B391" t="s">
        <v>846</v>
      </c>
      <c r="C391">
        <v>15</v>
      </c>
      <c r="D391" t="s">
        <v>1542</v>
      </c>
      <c r="E391" t="s">
        <v>1416</v>
      </c>
      <c r="F391" t="s">
        <v>1848</v>
      </c>
    </row>
    <row r="392" spans="2:6">
      <c r="B392" t="s">
        <v>847</v>
      </c>
      <c r="C392">
        <v>7</v>
      </c>
      <c r="D392" t="s">
        <v>1425</v>
      </c>
      <c r="E392" t="s">
        <v>1419</v>
      </c>
      <c r="F392" t="s">
        <v>1849</v>
      </c>
    </row>
    <row r="393" spans="2:6">
      <c r="B393" t="s">
        <v>848</v>
      </c>
      <c r="C393">
        <v>12</v>
      </c>
      <c r="D393" t="s">
        <v>1435</v>
      </c>
      <c r="E393" t="s">
        <v>1413</v>
      </c>
      <c r="F393" t="s">
        <v>1850</v>
      </c>
    </row>
    <row r="394" spans="2:6">
      <c r="B394" t="s">
        <v>849</v>
      </c>
      <c r="C394">
        <v>6</v>
      </c>
      <c r="D394" t="s">
        <v>1423</v>
      </c>
      <c r="E394" t="s">
        <v>1416</v>
      </c>
      <c r="F394" t="s">
        <v>1851</v>
      </c>
    </row>
    <row r="395" spans="2:6">
      <c r="B395" t="s">
        <v>850</v>
      </c>
      <c r="C395">
        <v>15</v>
      </c>
      <c r="D395" t="s">
        <v>1542</v>
      </c>
      <c r="E395" t="s">
        <v>1413</v>
      </c>
      <c r="F395" t="s">
        <v>1852</v>
      </c>
    </row>
    <row r="396" spans="2:6">
      <c r="B396" t="s">
        <v>851</v>
      </c>
      <c r="C396">
        <v>5</v>
      </c>
      <c r="D396" t="s">
        <v>1421</v>
      </c>
      <c r="E396" t="s">
        <v>1416</v>
      </c>
      <c r="F396" t="s">
        <v>1853</v>
      </c>
    </row>
    <row r="397" spans="2:6">
      <c r="B397" t="s">
        <v>852</v>
      </c>
      <c r="C397">
        <v>1</v>
      </c>
      <c r="D397" t="s">
        <v>79</v>
      </c>
      <c r="E397" t="s">
        <v>1416</v>
      </c>
      <c r="F397" t="s">
        <v>1854</v>
      </c>
    </row>
    <row r="398" spans="2:6">
      <c r="B398" t="s">
        <v>853</v>
      </c>
      <c r="C398">
        <v>9</v>
      </c>
      <c r="D398" t="s">
        <v>1429</v>
      </c>
      <c r="E398" t="s">
        <v>1413</v>
      </c>
      <c r="F398" t="s">
        <v>1576</v>
      </c>
    </row>
    <row r="399" spans="2:6">
      <c r="B399" t="s">
        <v>854</v>
      </c>
      <c r="C399">
        <v>6</v>
      </c>
      <c r="D399" t="s">
        <v>1423</v>
      </c>
      <c r="E399" t="s">
        <v>1416</v>
      </c>
      <c r="F399" t="s">
        <v>1855</v>
      </c>
    </row>
    <row r="400" spans="2:6">
      <c r="B400" t="s">
        <v>855</v>
      </c>
      <c r="C400">
        <v>3</v>
      </c>
      <c r="D400" t="s">
        <v>1417</v>
      </c>
      <c r="E400" t="s">
        <v>1413</v>
      </c>
      <c r="F400" t="s">
        <v>1856</v>
      </c>
    </row>
    <row r="401" spans="2:6">
      <c r="B401" t="s">
        <v>856</v>
      </c>
      <c r="C401">
        <v>12</v>
      </c>
      <c r="D401" t="s">
        <v>1435</v>
      </c>
      <c r="E401" t="s">
        <v>1413</v>
      </c>
      <c r="F401" t="s">
        <v>1857</v>
      </c>
    </row>
    <row r="402" spans="2:6">
      <c r="B402" t="s">
        <v>857</v>
      </c>
      <c r="C402">
        <v>11</v>
      </c>
      <c r="D402" t="s">
        <v>1433</v>
      </c>
      <c r="E402" t="s">
        <v>1416</v>
      </c>
      <c r="F402" t="s">
        <v>1858</v>
      </c>
    </row>
    <row r="403" spans="2:6">
      <c r="B403" t="s">
        <v>858</v>
      </c>
      <c r="C403">
        <v>12</v>
      </c>
      <c r="D403" t="s">
        <v>1435</v>
      </c>
      <c r="E403" t="s">
        <v>1413</v>
      </c>
      <c r="F403" t="s">
        <v>1694</v>
      </c>
    </row>
    <row r="404" spans="2:6">
      <c r="B404" t="s">
        <v>859</v>
      </c>
      <c r="C404">
        <v>4</v>
      </c>
      <c r="D404" t="s">
        <v>85</v>
      </c>
      <c r="E404" t="s">
        <v>1416</v>
      </c>
      <c r="F404" t="s">
        <v>1859</v>
      </c>
    </row>
    <row r="405" spans="2:6">
      <c r="B405" t="s">
        <v>860</v>
      </c>
      <c r="C405">
        <v>15</v>
      </c>
      <c r="D405" t="s">
        <v>1542</v>
      </c>
      <c r="E405" t="s">
        <v>1413</v>
      </c>
      <c r="F405" t="s">
        <v>1860</v>
      </c>
    </row>
    <row r="406" spans="2:6">
      <c r="B406" t="s">
        <v>861</v>
      </c>
      <c r="C406">
        <v>6</v>
      </c>
      <c r="D406" t="s">
        <v>1423</v>
      </c>
      <c r="E406" t="s">
        <v>1416</v>
      </c>
      <c r="F406" t="s">
        <v>1861</v>
      </c>
    </row>
    <row r="407" spans="2:6">
      <c r="B407" t="s">
        <v>862</v>
      </c>
      <c r="C407">
        <v>15</v>
      </c>
      <c r="D407" t="s">
        <v>1542</v>
      </c>
      <c r="E407" t="s">
        <v>1416</v>
      </c>
      <c r="F407" t="s">
        <v>1862</v>
      </c>
    </row>
    <row r="408" spans="2:6">
      <c r="B408" t="s">
        <v>863</v>
      </c>
      <c r="C408">
        <v>1</v>
      </c>
      <c r="D408" t="s">
        <v>79</v>
      </c>
      <c r="E408" t="s">
        <v>1416</v>
      </c>
      <c r="F408" t="s">
        <v>1863</v>
      </c>
    </row>
    <row r="409" spans="2:6">
      <c r="B409" t="s">
        <v>864</v>
      </c>
      <c r="C409">
        <v>12</v>
      </c>
      <c r="D409" t="s">
        <v>1435</v>
      </c>
      <c r="E409" t="s">
        <v>1413</v>
      </c>
      <c r="F409" t="s">
        <v>1864</v>
      </c>
    </row>
    <row r="410" spans="2:6">
      <c r="B410" t="s">
        <v>865</v>
      </c>
      <c r="C410">
        <v>6</v>
      </c>
      <c r="D410" t="s">
        <v>1423</v>
      </c>
      <c r="E410" t="s">
        <v>1416</v>
      </c>
      <c r="F410" t="s">
        <v>1865</v>
      </c>
    </row>
    <row r="411" spans="2:6">
      <c r="B411" t="s">
        <v>866</v>
      </c>
      <c r="C411">
        <v>2</v>
      </c>
      <c r="D411" t="s">
        <v>1414</v>
      </c>
      <c r="E411" t="s">
        <v>1416</v>
      </c>
      <c r="F411" t="s">
        <v>1866</v>
      </c>
    </row>
    <row r="412" spans="2:6">
      <c r="B412" t="s">
        <v>867</v>
      </c>
      <c r="C412">
        <v>1</v>
      </c>
      <c r="D412" t="s">
        <v>79</v>
      </c>
      <c r="E412" t="s">
        <v>1416</v>
      </c>
      <c r="F412" t="s">
        <v>1867</v>
      </c>
    </row>
    <row r="413" spans="2:6">
      <c r="B413" t="s">
        <v>868</v>
      </c>
      <c r="C413">
        <v>1</v>
      </c>
      <c r="D413" t="s">
        <v>79</v>
      </c>
      <c r="E413" t="s">
        <v>1416</v>
      </c>
      <c r="F413" t="s">
        <v>1868</v>
      </c>
    </row>
    <row r="414" spans="2:6">
      <c r="B414" t="s">
        <v>869</v>
      </c>
      <c r="C414">
        <v>3</v>
      </c>
      <c r="D414" t="s">
        <v>1417</v>
      </c>
      <c r="E414" t="s">
        <v>1416</v>
      </c>
      <c r="F414" t="s">
        <v>1869</v>
      </c>
    </row>
    <row r="415" spans="2:6">
      <c r="B415" t="s">
        <v>870</v>
      </c>
      <c r="C415">
        <v>15</v>
      </c>
      <c r="D415" t="s">
        <v>1542</v>
      </c>
      <c r="E415" t="s">
        <v>1413</v>
      </c>
      <c r="F415" t="s">
        <v>1870</v>
      </c>
    </row>
    <row r="416" spans="2:6">
      <c r="B416" t="s">
        <v>871</v>
      </c>
      <c r="C416">
        <v>9</v>
      </c>
      <c r="D416" t="s">
        <v>1429</v>
      </c>
      <c r="E416" t="s">
        <v>1416</v>
      </c>
      <c r="F416" t="s">
        <v>1871</v>
      </c>
    </row>
    <row r="417" spans="2:6">
      <c r="B417" t="s">
        <v>872</v>
      </c>
      <c r="C417">
        <v>2</v>
      </c>
      <c r="D417" t="s">
        <v>1414</v>
      </c>
      <c r="E417" t="s">
        <v>1419</v>
      </c>
      <c r="F417" t="s">
        <v>1872</v>
      </c>
    </row>
    <row r="418" spans="2:6">
      <c r="B418" t="s">
        <v>873</v>
      </c>
      <c r="C418">
        <v>6</v>
      </c>
      <c r="D418" t="s">
        <v>1423</v>
      </c>
      <c r="E418" t="s">
        <v>1416</v>
      </c>
      <c r="F418" t="s">
        <v>1873</v>
      </c>
    </row>
    <row r="419" spans="2:6">
      <c r="B419" t="s">
        <v>874</v>
      </c>
      <c r="C419">
        <v>3</v>
      </c>
      <c r="D419" t="s">
        <v>1417</v>
      </c>
      <c r="E419" t="s">
        <v>1416</v>
      </c>
      <c r="F419" t="s">
        <v>1874</v>
      </c>
    </row>
    <row r="420" spans="2:6">
      <c r="B420" t="s">
        <v>875</v>
      </c>
      <c r="C420">
        <v>12</v>
      </c>
      <c r="D420" t="s">
        <v>1435</v>
      </c>
      <c r="E420" t="s">
        <v>1416</v>
      </c>
      <c r="F420" t="s">
        <v>1875</v>
      </c>
    </row>
    <row r="421" spans="2:6">
      <c r="B421" t="s">
        <v>876</v>
      </c>
      <c r="C421">
        <v>15</v>
      </c>
      <c r="D421" t="s">
        <v>1542</v>
      </c>
      <c r="E421" t="s">
        <v>1413</v>
      </c>
      <c r="F421" t="s">
        <v>1876</v>
      </c>
    </row>
    <row r="422" spans="2:6">
      <c r="B422" t="s">
        <v>877</v>
      </c>
      <c r="C422">
        <v>2</v>
      </c>
      <c r="D422" t="s">
        <v>1414</v>
      </c>
      <c r="E422" t="s">
        <v>1416</v>
      </c>
      <c r="F422" t="s">
        <v>1877</v>
      </c>
    </row>
    <row r="423" spans="2:6">
      <c r="B423" t="s">
        <v>878</v>
      </c>
      <c r="C423">
        <v>6</v>
      </c>
      <c r="D423" t="s">
        <v>1423</v>
      </c>
      <c r="E423" t="s">
        <v>1413</v>
      </c>
      <c r="F423" t="s">
        <v>1878</v>
      </c>
    </row>
    <row r="424" spans="2:6">
      <c r="B424" t="s">
        <v>278</v>
      </c>
      <c r="C424">
        <v>10</v>
      </c>
      <c r="D424" t="s">
        <v>1431</v>
      </c>
      <c r="E424" t="s">
        <v>1413</v>
      </c>
      <c r="F424" t="s">
        <v>1879</v>
      </c>
    </row>
    <row r="425" spans="2:6">
      <c r="B425" t="s">
        <v>279</v>
      </c>
      <c r="C425">
        <v>13</v>
      </c>
      <c r="D425" t="s">
        <v>1437</v>
      </c>
      <c r="E425" t="s">
        <v>1413</v>
      </c>
      <c r="F425" t="s">
        <v>1880</v>
      </c>
    </row>
    <row r="426" spans="2:6">
      <c r="B426" t="s">
        <v>280</v>
      </c>
      <c r="C426">
        <v>9</v>
      </c>
      <c r="D426" t="s">
        <v>1429</v>
      </c>
      <c r="E426" t="s">
        <v>1413</v>
      </c>
      <c r="F426" t="s">
        <v>1881</v>
      </c>
    </row>
    <row r="427" spans="2:6">
      <c r="B427" t="s">
        <v>281</v>
      </c>
      <c r="C427">
        <v>9</v>
      </c>
      <c r="D427" t="s">
        <v>1429</v>
      </c>
      <c r="E427" t="s">
        <v>1413</v>
      </c>
      <c r="F427" t="s">
        <v>1882</v>
      </c>
    </row>
    <row r="428" spans="2:6">
      <c r="B428" t="s">
        <v>282</v>
      </c>
      <c r="C428">
        <v>12</v>
      </c>
      <c r="D428" t="s">
        <v>1435</v>
      </c>
      <c r="E428" t="s">
        <v>1413</v>
      </c>
      <c r="F428" t="s">
        <v>1883</v>
      </c>
    </row>
    <row r="429" spans="2:6">
      <c r="B429" t="s">
        <v>283</v>
      </c>
      <c r="C429">
        <v>2</v>
      </c>
      <c r="D429" t="s">
        <v>1414</v>
      </c>
      <c r="E429" t="s">
        <v>1413</v>
      </c>
      <c r="F429" t="s">
        <v>1884</v>
      </c>
    </row>
    <row r="430" spans="2:6">
      <c r="B430" t="s">
        <v>284</v>
      </c>
      <c r="C430">
        <v>9</v>
      </c>
      <c r="D430" t="s">
        <v>1429</v>
      </c>
      <c r="E430" t="s">
        <v>1416</v>
      </c>
      <c r="F430" t="s">
        <v>1885</v>
      </c>
    </row>
    <row r="431" spans="2:6">
      <c r="B431" t="s">
        <v>285</v>
      </c>
      <c r="C431">
        <v>3</v>
      </c>
      <c r="D431" t="s">
        <v>1417</v>
      </c>
      <c r="E431" t="s">
        <v>1416</v>
      </c>
      <c r="F431" t="s">
        <v>1886</v>
      </c>
    </row>
    <row r="432" spans="2:6">
      <c r="B432" t="s">
        <v>286</v>
      </c>
      <c r="C432">
        <v>12</v>
      </c>
      <c r="D432" t="s">
        <v>1435</v>
      </c>
      <c r="E432" t="s">
        <v>1416</v>
      </c>
      <c r="F432" t="s">
        <v>1887</v>
      </c>
    </row>
    <row r="433" spans="2:6">
      <c r="B433" t="s">
        <v>287</v>
      </c>
      <c r="C433">
        <v>10</v>
      </c>
      <c r="D433" t="s">
        <v>1431</v>
      </c>
      <c r="E433" t="s">
        <v>1413</v>
      </c>
      <c r="F433" t="s">
        <v>1888</v>
      </c>
    </row>
    <row r="434" spans="2:6">
      <c r="B434" t="s">
        <v>288</v>
      </c>
      <c r="C434">
        <v>1</v>
      </c>
      <c r="D434" t="s">
        <v>79</v>
      </c>
      <c r="E434" t="s">
        <v>1416</v>
      </c>
      <c r="F434" t="s">
        <v>1889</v>
      </c>
    </row>
    <row r="435" spans="2:6">
      <c r="B435" t="s">
        <v>289</v>
      </c>
      <c r="C435">
        <v>12</v>
      </c>
      <c r="D435" t="s">
        <v>1435</v>
      </c>
      <c r="E435" t="s">
        <v>1413</v>
      </c>
      <c r="F435" t="s">
        <v>1890</v>
      </c>
    </row>
    <row r="436" spans="2:6">
      <c r="B436" t="s">
        <v>290</v>
      </c>
      <c r="C436">
        <v>7</v>
      </c>
      <c r="D436" t="s">
        <v>1425</v>
      </c>
      <c r="E436" t="s">
        <v>1416</v>
      </c>
      <c r="F436" t="s">
        <v>1891</v>
      </c>
    </row>
    <row r="437" spans="2:6">
      <c r="B437" t="s">
        <v>291</v>
      </c>
      <c r="C437">
        <v>13</v>
      </c>
      <c r="D437" t="s">
        <v>1437</v>
      </c>
      <c r="E437" t="s">
        <v>1413</v>
      </c>
      <c r="F437" t="s">
        <v>1892</v>
      </c>
    </row>
    <row r="438" spans="2:6">
      <c r="B438" t="s">
        <v>292</v>
      </c>
      <c r="C438">
        <v>9</v>
      </c>
      <c r="D438" t="s">
        <v>1429</v>
      </c>
      <c r="E438" t="s">
        <v>1416</v>
      </c>
      <c r="F438" t="s">
        <v>1893</v>
      </c>
    </row>
    <row r="439" spans="2:6">
      <c r="B439" t="s">
        <v>293</v>
      </c>
      <c r="C439">
        <v>13</v>
      </c>
      <c r="D439" t="s">
        <v>1437</v>
      </c>
      <c r="E439" t="s">
        <v>1413</v>
      </c>
      <c r="F439" t="s">
        <v>1894</v>
      </c>
    </row>
    <row r="440" spans="2:6">
      <c r="B440" t="s">
        <v>294</v>
      </c>
      <c r="C440">
        <v>15</v>
      </c>
      <c r="D440" t="s">
        <v>1542</v>
      </c>
      <c r="E440" t="s">
        <v>1413</v>
      </c>
      <c r="F440" t="s">
        <v>1895</v>
      </c>
    </row>
    <row r="441" spans="2:6">
      <c r="B441" t="s">
        <v>295</v>
      </c>
      <c r="C441">
        <v>12</v>
      </c>
      <c r="D441" t="s">
        <v>1435</v>
      </c>
      <c r="E441" t="s">
        <v>1416</v>
      </c>
      <c r="F441" t="s">
        <v>1896</v>
      </c>
    </row>
    <row r="442" spans="2:6">
      <c r="B442" t="s">
        <v>296</v>
      </c>
      <c r="C442">
        <v>11</v>
      </c>
      <c r="D442" t="s">
        <v>1433</v>
      </c>
      <c r="E442" t="s">
        <v>1413</v>
      </c>
      <c r="F442" t="s">
        <v>1897</v>
      </c>
    </row>
    <row r="443" spans="2:6">
      <c r="B443" t="s">
        <v>297</v>
      </c>
      <c r="C443">
        <v>15</v>
      </c>
      <c r="D443" t="s">
        <v>1542</v>
      </c>
      <c r="E443" t="s">
        <v>1413</v>
      </c>
      <c r="F443" t="s">
        <v>1898</v>
      </c>
    </row>
    <row r="444" spans="2:6">
      <c r="B444" t="s">
        <v>298</v>
      </c>
      <c r="C444">
        <v>12</v>
      </c>
      <c r="D444" t="s">
        <v>1435</v>
      </c>
      <c r="E444" t="s">
        <v>1413</v>
      </c>
      <c r="F444" t="s">
        <v>1899</v>
      </c>
    </row>
    <row r="445" spans="2:6">
      <c r="B445" t="s">
        <v>299</v>
      </c>
      <c r="C445">
        <v>2</v>
      </c>
      <c r="D445" t="s">
        <v>1414</v>
      </c>
      <c r="E445" t="s">
        <v>1416</v>
      </c>
      <c r="F445" t="s">
        <v>1900</v>
      </c>
    </row>
    <row r="446" spans="2:6">
      <c r="B446" t="s">
        <v>300</v>
      </c>
      <c r="C446">
        <v>12</v>
      </c>
      <c r="D446" t="s">
        <v>1435</v>
      </c>
      <c r="E446" t="s">
        <v>1416</v>
      </c>
      <c r="F446" t="s">
        <v>1901</v>
      </c>
    </row>
    <row r="447" spans="2:6">
      <c r="B447" t="s">
        <v>301</v>
      </c>
      <c r="C447">
        <v>2</v>
      </c>
      <c r="D447" t="s">
        <v>1414</v>
      </c>
      <c r="E447" t="s">
        <v>1416</v>
      </c>
      <c r="F447" t="s">
        <v>1902</v>
      </c>
    </row>
    <row r="448" spans="2:6">
      <c r="B448" t="s">
        <v>302</v>
      </c>
      <c r="C448">
        <v>9</v>
      </c>
      <c r="D448" t="s">
        <v>1429</v>
      </c>
      <c r="E448" t="s">
        <v>1416</v>
      </c>
      <c r="F448" t="s">
        <v>1903</v>
      </c>
    </row>
    <row r="449" spans="2:6">
      <c r="B449" t="s">
        <v>303</v>
      </c>
      <c r="C449">
        <v>12</v>
      </c>
      <c r="D449" t="s">
        <v>1435</v>
      </c>
      <c r="E449" t="s">
        <v>1413</v>
      </c>
      <c r="F449" t="s">
        <v>1904</v>
      </c>
    </row>
    <row r="450" spans="2:6">
      <c r="B450" t="s">
        <v>304</v>
      </c>
      <c r="C450">
        <v>9</v>
      </c>
      <c r="D450" t="s">
        <v>1429</v>
      </c>
      <c r="E450" t="s">
        <v>1416</v>
      </c>
      <c r="F450" t="s">
        <v>1905</v>
      </c>
    </row>
    <row r="451" spans="2:6">
      <c r="B451" t="s">
        <v>305</v>
      </c>
      <c r="C451">
        <v>3</v>
      </c>
      <c r="D451" t="s">
        <v>1417</v>
      </c>
      <c r="E451" t="s">
        <v>1416</v>
      </c>
      <c r="F451" t="s">
        <v>1906</v>
      </c>
    </row>
    <row r="452" spans="2:6">
      <c r="B452" t="s">
        <v>306</v>
      </c>
      <c r="C452">
        <v>12</v>
      </c>
      <c r="D452" t="s">
        <v>1435</v>
      </c>
      <c r="E452" t="s">
        <v>1416</v>
      </c>
      <c r="F452" t="s">
        <v>1907</v>
      </c>
    </row>
    <row r="453" spans="2:6">
      <c r="B453" t="s">
        <v>307</v>
      </c>
      <c r="C453">
        <v>12</v>
      </c>
      <c r="D453" t="s">
        <v>1435</v>
      </c>
      <c r="E453" t="s">
        <v>1413</v>
      </c>
      <c r="F453" t="s">
        <v>1908</v>
      </c>
    </row>
    <row r="454" spans="2:6">
      <c r="B454" t="s">
        <v>308</v>
      </c>
      <c r="C454">
        <v>1</v>
      </c>
      <c r="D454" t="s">
        <v>79</v>
      </c>
      <c r="E454" t="s">
        <v>1416</v>
      </c>
      <c r="F454" t="s">
        <v>1909</v>
      </c>
    </row>
    <row r="455" spans="2:6">
      <c r="B455" t="s">
        <v>309</v>
      </c>
      <c r="C455">
        <v>13</v>
      </c>
      <c r="D455" t="s">
        <v>1437</v>
      </c>
      <c r="E455" t="s">
        <v>1413</v>
      </c>
      <c r="F455" t="s">
        <v>1880</v>
      </c>
    </row>
    <row r="456" spans="2:6">
      <c r="B456" t="s">
        <v>310</v>
      </c>
      <c r="C456">
        <v>13</v>
      </c>
      <c r="D456" t="s">
        <v>1437</v>
      </c>
      <c r="E456" t="s">
        <v>1413</v>
      </c>
      <c r="F456" t="s">
        <v>1880</v>
      </c>
    </row>
    <row r="457" spans="2:6">
      <c r="B457" t="s">
        <v>311</v>
      </c>
      <c r="C457">
        <v>12</v>
      </c>
      <c r="D457" t="s">
        <v>1435</v>
      </c>
      <c r="E457" t="s">
        <v>1413</v>
      </c>
      <c r="F457" t="s">
        <v>1910</v>
      </c>
    </row>
    <row r="458" spans="2:6">
      <c r="B458" t="s">
        <v>312</v>
      </c>
      <c r="C458">
        <v>13</v>
      </c>
      <c r="D458" t="s">
        <v>1437</v>
      </c>
      <c r="E458" t="s">
        <v>1413</v>
      </c>
      <c r="F458" t="s">
        <v>1911</v>
      </c>
    </row>
    <row r="459" spans="2:6">
      <c r="B459" t="s">
        <v>313</v>
      </c>
      <c r="C459">
        <v>6</v>
      </c>
      <c r="D459" t="s">
        <v>1423</v>
      </c>
      <c r="E459" t="s">
        <v>1416</v>
      </c>
      <c r="F459" t="s">
        <v>1912</v>
      </c>
    </row>
    <row r="460" spans="2:6">
      <c r="B460" t="s">
        <v>314</v>
      </c>
      <c r="C460">
        <v>1</v>
      </c>
      <c r="D460" t="s">
        <v>79</v>
      </c>
      <c r="E460" t="s">
        <v>1416</v>
      </c>
      <c r="F460" t="s">
        <v>1913</v>
      </c>
    </row>
    <row r="461" spans="2:6">
      <c r="B461" t="s">
        <v>315</v>
      </c>
      <c r="C461">
        <v>7</v>
      </c>
      <c r="D461" t="s">
        <v>1425</v>
      </c>
      <c r="E461" t="s">
        <v>1416</v>
      </c>
      <c r="F461" t="s">
        <v>1914</v>
      </c>
    </row>
    <row r="462" spans="2:6">
      <c r="B462" t="s">
        <v>316</v>
      </c>
      <c r="C462">
        <v>3</v>
      </c>
      <c r="D462" t="s">
        <v>1417</v>
      </c>
      <c r="E462" t="s">
        <v>1416</v>
      </c>
      <c r="F462" t="s">
        <v>1915</v>
      </c>
    </row>
    <row r="463" spans="2:6">
      <c r="B463" t="s">
        <v>317</v>
      </c>
      <c r="C463">
        <v>6</v>
      </c>
      <c r="D463" t="s">
        <v>1423</v>
      </c>
      <c r="E463" t="s">
        <v>1419</v>
      </c>
      <c r="F463" t="s">
        <v>1916</v>
      </c>
    </row>
    <row r="464" spans="2:6">
      <c r="B464" t="s">
        <v>318</v>
      </c>
      <c r="C464">
        <v>13</v>
      </c>
      <c r="D464" t="s">
        <v>1437</v>
      </c>
      <c r="E464" t="s">
        <v>1413</v>
      </c>
      <c r="F464" t="s">
        <v>1917</v>
      </c>
    </row>
    <row r="465" spans="2:6">
      <c r="B465" t="s">
        <v>319</v>
      </c>
      <c r="C465">
        <v>13</v>
      </c>
      <c r="D465" t="s">
        <v>1437</v>
      </c>
      <c r="E465" t="s">
        <v>1413</v>
      </c>
      <c r="F465" t="s">
        <v>1880</v>
      </c>
    </row>
    <row r="466" spans="2:6">
      <c r="B466" t="s">
        <v>320</v>
      </c>
      <c r="C466">
        <v>13</v>
      </c>
      <c r="D466" t="s">
        <v>1437</v>
      </c>
      <c r="E466" t="s">
        <v>1413</v>
      </c>
      <c r="F466" t="s">
        <v>1880</v>
      </c>
    </row>
    <row r="467" spans="2:6">
      <c r="B467" t="s">
        <v>321</v>
      </c>
      <c r="C467">
        <v>9</v>
      </c>
      <c r="D467" t="s">
        <v>1429</v>
      </c>
      <c r="E467" t="s">
        <v>1416</v>
      </c>
      <c r="F467" t="s">
        <v>1918</v>
      </c>
    </row>
    <row r="468" spans="2:6">
      <c r="B468" t="s">
        <v>322</v>
      </c>
      <c r="C468">
        <v>13</v>
      </c>
      <c r="D468" t="s">
        <v>1437</v>
      </c>
      <c r="E468" t="s">
        <v>1413</v>
      </c>
      <c r="F468" t="s">
        <v>1880</v>
      </c>
    </row>
    <row r="469" spans="2:6">
      <c r="B469" t="s">
        <v>323</v>
      </c>
      <c r="C469">
        <v>13</v>
      </c>
      <c r="D469" t="s">
        <v>1437</v>
      </c>
      <c r="E469" t="s">
        <v>1413</v>
      </c>
      <c r="F469" t="s">
        <v>1919</v>
      </c>
    </row>
    <row r="470" spans="2:6">
      <c r="B470" t="s">
        <v>324</v>
      </c>
      <c r="C470">
        <v>9</v>
      </c>
      <c r="D470" t="s">
        <v>1429</v>
      </c>
      <c r="E470" t="s">
        <v>1413</v>
      </c>
      <c r="F470" t="s">
        <v>1783</v>
      </c>
    </row>
    <row r="471" spans="2:6">
      <c r="B471" t="s">
        <v>325</v>
      </c>
      <c r="C471">
        <v>12</v>
      </c>
      <c r="D471" t="s">
        <v>1435</v>
      </c>
      <c r="E471" t="s">
        <v>1413</v>
      </c>
      <c r="F471" t="s">
        <v>1920</v>
      </c>
    </row>
    <row r="472" spans="2:6">
      <c r="B472" t="s">
        <v>326</v>
      </c>
      <c r="C472">
        <v>13</v>
      </c>
      <c r="D472" t="s">
        <v>1437</v>
      </c>
      <c r="E472" t="s">
        <v>1413</v>
      </c>
      <c r="F472" t="s">
        <v>1880</v>
      </c>
    </row>
    <row r="473" spans="2:6">
      <c r="B473" t="s">
        <v>327</v>
      </c>
      <c r="C473">
        <v>1</v>
      </c>
      <c r="D473" t="s">
        <v>79</v>
      </c>
      <c r="E473" t="s">
        <v>1413</v>
      </c>
      <c r="F473" t="s">
        <v>1921</v>
      </c>
    </row>
    <row r="474" spans="2:6">
      <c r="B474" t="s">
        <v>328</v>
      </c>
      <c r="C474">
        <v>1</v>
      </c>
      <c r="D474" t="s">
        <v>79</v>
      </c>
      <c r="E474" t="s">
        <v>1416</v>
      </c>
      <c r="F474" t="s">
        <v>1922</v>
      </c>
    </row>
    <row r="475" spans="2:6">
      <c r="B475" t="s">
        <v>329</v>
      </c>
      <c r="C475">
        <v>13</v>
      </c>
      <c r="D475" t="s">
        <v>1437</v>
      </c>
      <c r="E475" t="s">
        <v>1413</v>
      </c>
      <c r="F475" t="s">
        <v>1880</v>
      </c>
    </row>
    <row r="476" spans="2:6">
      <c r="B476" t="s">
        <v>330</v>
      </c>
      <c r="C476">
        <v>13</v>
      </c>
      <c r="D476" t="s">
        <v>1437</v>
      </c>
      <c r="E476" t="s">
        <v>1416</v>
      </c>
      <c r="F476" t="s">
        <v>1923</v>
      </c>
    </row>
    <row r="477" spans="2:6">
      <c r="B477" t="s">
        <v>331</v>
      </c>
      <c r="C477">
        <v>10</v>
      </c>
      <c r="D477" t="s">
        <v>1431</v>
      </c>
      <c r="E477" t="s">
        <v>1416</v>
      </c>
      <c r="F477" t="s">
        <v>1924</v>
      </c>
    </row>
    <row r="478" spans="2:6">
      <c r="B478" t="s">
        <v>332</v>
      </c>
      <c r="C478">
        <v>3</v>
      </c>
      <c r="D478" t="s">
        <v>1417</v>
      </c>
      <c r="E478" t="s">
        <v>1416</v>
      </c>
      <c r="F478" t="s">
        <v>1925</v>
      </c>
    </row>
    <row r="479" spans="2:6">
      <c r="B479" t="s">
        <v>333</v>
      </c>
      <c r="C479">
        <v>1</v>
      </c>
      <c r="D479" t="s">
        <v>79</v>
      </c>
      <c r="E479" t="s">
        <v>1416</v>
      </c>
      <c r="F479" t="s">
        <v>1926</v>
      </c>
    </row>
    <row r="480" spans="2:6">
      <c r="B480" t="s">
        <v>334</v>
      </c>
      <c r="C480">
        <v>12</v>
      </c>
      <c r="D480" t="s">
        <v>1435</v>
      </c>
      <c r="E480" t="s">
        <v>1413</v>
      </c>
      <c r="F480" t="s">
        <v>1927</v>
      </c>
    </row>
    <row r="481" spans="2:6">
      <c r="B481" t="s">
        <v>335</v>
      </c>
      <c r="C481">
        <v>15</v>
      </c>
      <c r="D481" t="s">
        <v>1542</v>
      </c>
      <c r="E481" t="s">
        <v>1413</v>
      </c>
      <c r="F481" t="s">
        <v>1928</v>
      </c>
    </row>
    <row r="482" spans="2:6">
      <c r="B482" t="s">
        <v>336</v>
      </c>
      <c r="C482">
        <v>9</v>
      </c>
      <c r="D482" t="s">
        <v>1429</v>
      </c>
      <c r="E482" t="s">
        <v>1416</v>
      </c>
      <c r="F482" t="s">
        <v>1929</v>
      </c>
    </row>
    <row r="483" spans="2:6">
      <c r="B483" t="s">
        <v>337</v>
      </c>
      <c r="C483">
        <v>9</v>
      </c>
      <c r="D483" t="s">
        <v>1429</v>
      </c>
      <c r="E483" t="s">
        <v>1416</v>
      </c>
      <c r="F483" t="s">
        <v>1929</v>
      </c>
    </row>
    <row r="484" spans="2:6">
      <c r="B484" t="s">
        <v>338</v>
      </c>
      <c r="C484">
        <v>12</v>
      </c>
      <c r="D484" t="s">
        <v>1435</v>
      </c>
      <c r="E484" t="s">
        <v>1413</v>
      </c>
      <c r="F484" t="s">
        <v>1930</v>
      </c>
    </row>
    <row r="485" spans="2:6">
      <c r="B485" t="s">
        <v>677</v>
      </c>
      <c r="C485">
        <v>12</v>
      </c>
      <c r="D485" t="s">
        <v>1435</v>
      </c>
      <c r="E485" t="s">
        <v>1419</v>
      </c>
      <c r="F485" t="s">
        <v>1931</v>
      </c>
    </row>
    <row r="486" spans="2:6">
      <c r="B486" t="s">
        <v>678</v>
      </c>
      <c r="C486">
        <v>1</v>
      </c>
      <c r="D486" t="s">
        <v>79</v>
      </c>
      <c r="E486" t="s">
        <v>1419</v>
      </c>
      <c r="F486" t="s">
        <v>1932</v>
      </c>
    </row>
    <row r="487" spans="2:6">
      <c r="B487" t="s">
        <v>679</v>
      </c>
      <c r="C487">
        <v>3</v>
      </c>
      <c r="D487" t="s">
        <v>1417</v>
      </c>
      <c r="E487" t="s">
        <v>1416</v>
      </c>
      <c r="F487" t="s">
        <v>1933</v>
      </c>
    </row>
    <row r="488" spans="2:6">
      <c r="B488" t="s">
        <v>680</v>
      </c>
      <c r="C488">
        <v>8</v>
      </c>
      <c r="D488" t="s">
        <v>1427</v>
      </c>
      <c r="E488" t="s">
        <v>1419</v>
      </c>
      <c r="F488" t="s">
        <v>1934</v>
      </c>
    </row>
    <row r="489" spans="2:6">
      <c r="B489" t="s">
        <v>681</v>
      </c>
      <c r="C489">
        <v>2</v>
      </c>
      <c r="D489" t="s">
        <v>1414</v>
      </c>
      <c r="E489" t="s">
        <v>1416</v>
      </c>
      <c r="F489" t="s">
        <v>1935</v>
      </c>
    </row>
    <row r="490" spans="2:6">
      <c r="B490" t="s">
        <v>682</v>
      </c>
      <c r="C490">
        <v>4</v>
      </c>
      <c r="D490" t="s">
        <v>85</v>
      </c>
      <c r="E490" t="s">
        <v>1416</v>
      </c>
      <c r="F490" t="s">
        <v>1936</v>
      </c>
    </row>
    <row r="491" spans="2:6">
      <c r="B491" t="s">
        <v>683</v>
      </c>
      <c r="C491">
        <v>12</v>
      </c>
      <c r="D491" t="s">
        <v>1435</v>
      </c>
      <c r="E491" t="s">
        <v>1413</v>
      </c>
      <c r="F491" t="s">
        <v>1937</v>
      </c>
    </row>
    <row r="492" spans="2:6">
      <c r="B492" t="s">
        <v>684</v>
      </c>
      <c r="C492">
        <v>4</v>
      </c>
      <c r="D492" t="s">
        <v>85</v>
      </c>
      <c r="E492" t="s">
        <v>1416</v>
      </c>
      <c r="F492" t="s">
        <v>1938</v>
      </c>
    </row>
    <row r="493" spans="2:6">
      <c r="B493" t="s">
        <v>685</v>
      </c>
      <c r="C493">
        <v>5</v>
      </c>
      <c r="D493" t="s">
        <v>1421</v>
      </c>
      <c r="E493" t="s">
        <v>1413</v>
      </c>
      <c r="F493" t="s">
        <v>1939</v>
      </c>
    </row>
    <row r="494" spans="2:6">
      <c r="B494" t="s">
        <v>686</v>
      </c>
      <c r="C494">
        <v>12</v>
      </c>
      <c r="D494" t="s">
        <v>1435</v>
      </c>
      <c r="E494" t="s">
        <v>1413</v>
      </c>
      <c r="F494" t="s">
        <v>1940</v>
      </c>
    </row>
    <row r="495" spans="2:6">
      <c r="B495" t="s">
        <v>687</v>
      </c>
      <c r="C495">
        <v>12</v>
      </c>
      <c r="D495" t="s">
        <v>1435</v>
      </c>
      <c r="E495" t="s">
        <v>1419</v>
      </c>
      <c r="F495" t="s">
        <v>1941</v>
      </c>
    </row>
    <row r="496" spans="2:6">
      <c r="B496" t="s">
        <v>688</v>
      </c>
      <c r="C496">
        <v>10</v>
      </c>
      <c r="D496" t="s">
        <v>1431</v>
      </c>
      <c r="E496" t="s">
        <v>1413</v>
      </c>
      <c r="F496" t="s">
        <v>1942</v>
      </c>
    </row>
    <row r="497" spans="2:6">
      <c r="B497" t="s">
        <v>689</v>
      </c>
      <c r="C497">
        <v>13</v>
      </c>
      <c r="D497" t="s">
        <v>1437</v>
      </c>
      <c r="E497" t="s">
        <v>1416</v>
      </c>
      <c r="F497" t="s">
        <v>1943</v>
      </c>
    </row>
    <row r="498" spans="2:6">
      <c r="B498" t="s">
        <v>691</v>
      </c>
      <c r="C498">
        <v>8</v>
      </c>
      <c r="D498" t="s">
        <v>1427</v>
      </c>
      <c r="E498" t="s">
        <v>1416</v>
      </c>
      <c r="F498" t="s">
        <v>1944</v>
      </c>
    </row>
    <row r="499" spans="2:6">
      <c r="B499" t="s">
        <v>692</v>
      </c>
      <c r="C499">
        <v>2</v>
      </c>
      <c r="D499" t="s">
        <v>1414</v>
      </c>
      <c r="E499" t="s">
        <v>1416</v>
      </c>
      <c r="F499" t="s">
        <v>1945</v>
      </c>
    </row>
    <row r="500" spans="2:6">
      <c r="B500" t="s">
        <v>693</v>
      </c>
      <c r="C500">
        <v>9</v>
      </c>
      <c r="D500" t="s">
        <v>1429</v>
      </c>
      <c r="E500" t="s">
        <v>1413</v>
      </c>
      <c r="F500" t="s">
        <v>1946</v>
      </c>
    </row>
    <row r="501" spans="2:6">
      <c r="B501" t="s">
        <v>694</v>
      </c>
      <c r="C501">
        <v>10</v>
      </c>
      <c r="D501" t="s">
        <v>1431</v>
      </c>
      <c r="E501" t="s">
        <v>1416</v>
      </c>
      <c r="F501" t="s">
        <v>1947</v>
      </c>
    </row>
    <row r="502" spans="2:6">
      <c r="B502" t="s">
        <v>695</v>
      </c>
      <c r="C502">
        <v>1</v>
      </c>
      <c r="D502" t="s">
        <v>79</v>
      </c>
      <c r="E502" t="s">
        <v>1413</v>
      </c>
      <c r="F502" t="s">
        <v>1948</v>
      </c>
    </row>
    <row r="503" spans="2:6">
      <c r="B503" t="s">
        <v>696</v>
      </c>
      <c r="C503">
        <v>6</v>
      </c>
      <c r="D503" t="s">
        <v>1423</v>
      </c>
      <c r="E503" t="s">
        <v>1416</v>
      </c>
      <c r="F503" t="s">
        <v>1949</v>
      </c>
    </row>
    <row r="504" spans="2:6">
      <c r="B504" t="s">
        <v>697</v>
      </c>
      <c r="C504">
        <v>1</v>
      </c>
      <c r="D504" t="s">
        <v>79</v>
      </c>
      <c r="E504" t="s">
        <v>1419</v>
      </c>
      <c r="F504" t="s">
        <v>1950</v>
      </c>
    </row>
    <row r="505" spans="2:6">
      <c r="B505" t="s">
        <v>698</v>
      </c>
      <c r="C505">
        <v>7</v>
      </c>
      <c r="D505" t="s">
        <v>1425</v>
      </c>
      <c r="E505" t="s">
        <v>1419</v>
      </c>
      <c r="F505" t="s">
        <v>1951</v>
      </c>
    </row>
    <row r="506" spans="2:6">
      <c r="B506" t="s">
        <v>700</v>
      </c>
      <c r="C506">
        <v>8</v>
      </c>
      <c r="D506" t="s">
        <v>1427</v>
      </c>
      <c r="E506" t="s">
        <v>1416</v>
      </c>
      <c r="F506" t="s">
        <v>1952</v>
      </c>
    </row>
    <row r="507" spans="2:6">
      <c r="B507" t="s">
        <v>701</v>
      </c>
      <c r="C507">
        <v>5</v>
      </c>
      <c r="D507" t="s">
        <v>1421</v>
      </c>
      <c r="E507" t="s">
        <v>1416</v>
      </c>
      <c r="F507" t="s">
        <v>1953</v>
      </c>
    </row>
    <row r="508" spans="2:6">
      <c r="B508" t="s">
        <v>702</v>
      </c>
      <c r="C508">
        <v>3</v>
      </c>
      <c r="D508" t="s">
        <v>1417</v>
      </c>
      <c r="E508" t="s">
        <v>1416</v>
      </c>
      <c r="F508" t="s">
        <v>1954</v>
      </c>
    </row>
    <row r="509" spans="2:6">
      <c r="B509" t="s">
        <v>703</v>
      </c>
      <c r="C509">
        <v>9</v>
      </c>
      <c r="D509" t="s">
        <v>1429</v>
      </c>
      <c r="E509" t="s">
        <v>1419</v>
      </c>
      <c r="F509" t="s">
        <v>1955</v>
      </c>
    </row>
    <row r="510" spans="2:6">
      <c r="B510" t="s">
        <v>704</v>
      </c>
      <c r="C510">
        <v>5</v>
      </c>
      <c r="D510" t="s">
        <v>1421</v>
      </c>
      <c r="E510" t="s">
        <v>1416</v>
      </c>
      <c r="F510" t="s">
        <v>1956</v>
      </c>
    </row>
    <row r="511" spans="2:6">
      <c r="B511" t="s">
        <v>705</v>
      </c>
      <c r="C511">
        <v>1</v>
      </c>
      <c r="D511" t="s">
        <v>79</v>
      </c>
      <c r="E511" t="s">
        <v>1416</v>
      </c>
      <c r="F511" t="s">
        <v>1957</v>
      </c>
    </row>
    <row r="512" spans="2:6">
      <c r="B512" t="s">
        <v>706</v>
      </c>
      <c r="C512">
        <v>12</v>
      </c>
      <c r="D512" t="s">
        <v>1435</v>
      </c>
      <c r="E512" t="s">
        <v>1416</v>
      </c>
      <c r="F512" t="s">
        <v>1958</v>
      </c>
    </row>
    <row r="513" spans="2:6">
      <c r="B513" t="s">
        <v>707</v>
      </c>
      <c r="C513">
        <v>6</v>
      </c>
      <c r="D513" t="s">
        <v>1423</v>
      </c>
      <c r="E513" t="s">
        <v>1416</v>
      </c>
      <c r="F513" t="s">
        <v>1959</v>
      </c>
    </row>
    <row r="514" spans="2:6">
      <c r="B514" t="s">
        <v>708</v>
      </c>
      <c r="C514">
        <v>9</v>
      </c>
      <c r="D514" t="s">
        <v>1429</v>
      </c>
      <c r="E514" t="s">
        <v>1416</v>
      </c>
      <c r="F514" t="s">
        <v>1960</v>
      </c>
    </row>
    <row r="515" spans="2:6">
      <c r="B515" t="s">
        <v>709</v>
      </c>
      <c r="C515">
        <v>8</v>
      </c>
      <c r="D515" t="s">
        <v>1427</v>
      </c>
      <c r="E515" t="s">
        <v>1419</v>
      </c>
      <c r="F515" t="s">
        <v>1961</v>
      </c>
    </row>
    <row r="516" spans="2:6">
      <c r="B516" t="s">
        <v>710</v>
      </c>
      <c r="C516">
        <v>9</v>
      </c>
      <c r="D516" t="s">
        <v>1429</v>
      </c>
      <c r="E516" t="s">
        <v>1416</v>
      </c>
      <c r="F516" t="s">
        <v>1962</v>
      </c>
    </row>
    <row r="517" spans="2:6">
      <c r="B517" t="s">
        <v>712</v>
      </c>
      <c r="C517">
        <v>12</v>
      </c>
      <c r="D517" t="s">
        <v>1435</v>
      </c>
      <c r="E517" t="s">
        <v>1413</v>
      </c>
      <c r="F517" t="s">
        <v>1963</v>
      </c>
    </row>
    <row r="518" spans="2:6">
      <c r="B518" t="s">
        <v>713</v>
      </c>
      <c r="C518">
        <v>9</v>
      </c>
      <c r="D518" t="s">
        <v>1429</v>
      </c>
      <c r="E518" t="s">
        <v>1416</v>
      </c>
      <c r="F518" t="s">
        <v>1964</v>
      </c>
    </row>
    <row r="519" spans="2:6">
      <c r="B519" t="s">
        <v>714</v>
      </c>
      <c r="C519">
        <v>2</v>
      </c>
      <c r="D519" t="s">
        <v>1414</v>
      </c>
      <c r="E519" t="s">
        <v>1416</v>
      </c>
      <c r="F519" t="s">
        <v>1965</v>
      </c>
    </row>
    <row r="520" spans="2:6">
      <c r="B520" t="s">
        <v>715</v>
      </c>
      <c r="C520">
        <v>11</v>
      </c>
      <c r="D520" t="s">
        <v>1433</v>
      </c>
      <c r="E520" t="s">
        <v>1413</v>
      </c>
      <c r="F520" t="s">
        <v>1966</v>
      </c>
    </row>
    <row r="521" spans="2:6">
      <c r="B521" t="s">
        <v>716</v>
      </c>
      <c r="C521">
        <v>1</v>
      </c>
      <c r="D521" t="s">
        <v>79</v>
      </c>
      <c r="E521" t="s">
        <v>1416</v>
      </c>
      <c r="F521" t="s">
        <v>1967</v>
      </c>
    </row>
    <row r="522" spans="2:6">
      <c r="B522" t="s">
        <v>717</v>
      </c>
      <c r="C522">
        <v>3</v>
      </c>
      <c r="D522" t="s">
        <v>1417</v>
      </c>
      <c r="E522" t="s">
        <v>1416</v>
      </c>
      <c r="F522" t="s">
        <v>1968</v>
      </c>
    </row>
    <row r="523" spans="2:6">
      <c r="B523" t="s">
        <v>718</v>
      </c>
      <c r="C523">
        <v>6</v>
      </c>
      <c r="D523" t="s">
        <v>1423</v>
      </c>
      <c r="E523" t="s">
        <v>1416</v>
      </c>
      <c r="F523" t="s">
        <v>1969</v>
      </c>
    </row>
    <row r="524" spans="2:6">
      <c r="B524" t="s">
        <v>719</v>
      </c>
      <c r="C524">
        <v>6</v>
      </c>
      <c r="D524" t="s">
        <v>1423</v>
      </c>
      <c r="E524" t="s">
        <v>1419</v>
      </c>
      <c r="F524" t="s">
        <v>1970</v>
      </c>
    </row>
    <row r="525" spans="2:6">
      <c r="B525" t="s">
        <v>720</v>
      </c>
      <c r="C525">
        <v>10</v>
      </c>
      <c r="D525" t="s">
        <v>1431</v>
      </c>
      <c r="E525" t="s">
        <v>1413</v>
      </c>
      <c r="F525" t="s">
        <v>1971</v>
      </c>
    </row>
    <row r="526" spans="2:6">
      <c r="B526" t="s">
        <v>721</v>
      </c>
      <c r="C526">
        <v>12</v>
      </c>
      <c r="D526" t="s">
        <v>1435</v>
      </c>
      <c r="E526" t="s">
        <v>1416</v>
      </c>
      <c r="F526" t="s">
        <v>1972</v>
      </c>
    </row>
    <row r="527" spans="2:6">
      <c r="B527" t="s">
        <v>722</v>
      </c>
      <c r="C527">
        <v>7</v>
      </c>
      <c r="D527" t="s">
        <v>1425</v>
      </c>
      <c r="E527" t="s">
        <v>1416</v>
      </c>
      <c r="F527" t="s">
        <v>1973</v>
      </c>
    </row>
    <row r="528" spans="2:6">
      <c r="B528" t="s">
        <v>723</v>
      </c>
      <c r="C528">
        <v>1</v>
      </c>
      <c r="D528" t="s">
        <v>79</v>
      </c>
      <c r="E528" t="s">
        <v>1416</v>
      </c>
      <c r="F528" t="s">
        <v>1974</v>
      </c>
    </row>
    <row r="529" spans="2:6">
      <c r="B529" t="s">
        <v>724</v>
      </c>
      <c r="C529">
        <v>5</v>
      </c>
      <c r="D529" t="s">
        <v>1421</v>
      </c>
      <c r="E529" t="s">
        <v>1416</v>
      </c>
      <c r="F529" t="s">
        <v>1975</v>
      </c>
    </row>
    <row r="530" spans="2:6">
      <c r="B530" t="s">
        <v>725</v>
      </c>
      <c r="C530">
        <v>3</v>
      </c>
      <c r="D530" t="s">
        <v>1417</v>
      </c>
      <c r="E530" t="s">
        <v>1416</v>
      </c>
      <c r="F530" t="s">
        <v>1976</v>
      </c>
    </row>
    <row r="531" spans="2:6">
      <c r="B531" t="s">
        <v>726</v>
      </c>
      <c r="C531">
        <v>6</v>
      </c>
      <c r="D531" t="s">
        <v>1423</v>
      </c>
      <c r="E531" t="s">
        <v>1413</v>
      </c>
      <c r="F531" t="s">
        <v>1977</v>
      </c>
    </row>
    <row r="532" spans="2:6">
      <c r="B532" t="s">
        <v>727</v>
      </c>
      <c r="C532">
        <v>12</v>
      </c>
      <c r="D532" t="s">
        <v>1435</v>
      </c>
      <c r="E532" t="s">
        <v>1413</v>
      </c>
      <c r="F532" t="s">
        <v>1978</v>
      </c>
    </row>
    <row r="533" spans="2:6">
      <c r="B533" t="s">
        <v>728</v>
      </c>
      <c r="C533">
        <v>13</v>
      </c>
      <c r="D533" t="s">
        <v>1437</v>
      </c>
      <c r="E533" t="s">
        <v>1416</v>
      </c>
      <c r="F533" t="s">
        <v>1979</v>
      </c>
    </row>
    <row r="534" spans="2:6">
      <c r="B534" t="s">
        <v>729</v>
      </c>
      <c r="C534">
        <v>4</v>
      </c>
      <c r="D534" t="s">
        <v>85</v>
      </c>
      <c r="E534" t="s">
        <v>1416</v>
      </c>
      <c r="F534" t="s">
        <v>1980</v>
      </c>
    </row>
    <row r="535" spans="2:6">
      <c r="B535" t="s">
        <v>730</v>
      </c>
      <c r="C535">
        <v>9</v>
      </c>
      <c r="D535" t="s">
        <v>1429</v>
      </c>
      <c r="E535" t="s">
        <v>1416</v>
      </c>
      <c r="F535" t="s">
        <v>1981</v>
      </c>
    </row>
    <row r="536" spans="2:6">
      <c r="B536" t="s">
        <v>731</v>
      </c>
      <c r="C536">
        <v>2</v>
      </c>
      <c r="D536" t="s">
        <v>1414</v>
      </c>
      <c r="E536" t="s">
        <v>1416</v>
      </c>
      <c r="F536" t="s">
        <v>1982</v>
      </c>
    </row>
    <row r="537" spans="2:6">
      <c r="B537" t="s">
        <v>732</v>
      </c>
      <c r="C537">
        <v>14</v>
      </c>
      <c r="D537" t="s">
        <v>1439</v>
      </c>
      <c r="E537" t="s">
        <v>1416</v>
      </c>
      <c r="F537" t="s">
        <v>1983</v>
      </c>
    </row>
    <row r="538" spans="2:6">
      <c r="B538" t="s">
        <v>733</v>
      </c>
      <c r="C538">
        <v>12</v>
      </c>
      <c r="D538" t="s">
        <v>1435</v>
      </c>
      <c r="E538" t="s">
        <v>1413</v>
      </c>
      <c r="F538" t="s">
        <v>1984</v>
      </c>
    </row>
    <row r="539" spans="2:6">
      <c r="B539" t="s">
        <v>734</v>
      </c>
      <c r="C539">
        <v>12</v>
      </c>
      <c r="D539" t="s">
        <v>1435</v>
      </c>
      <c r="E539" t="s">
        <v>1416</v>
      </c>
      <c r="F539" t="s">
        <v>1985</v>
      </c>
    </row>
    <row r="540" spans="2:6">
      <c r="B540" t="s">
        <v>735</v>
      </c>
      <c r="C540">
        <v>3</v>
      </c>
      <c r="D540" t="s">
        <v>1417</v>
      </c>
      <c r="E540" t="s">
        <v>1416</v>
      </c>
      <c r="F540" t="s">
        <v>1986</v>
      </c>
    </row>
    <row r="541" spans="2:6">
      <c r="B541" t="s">
        <v>736</v>
      </c>
      <c r="C541">
        <v>5</v>
      </c>
      <c r="D541" t="s">
        <v>1421</v>
      </c>
      <c r="E541" t="s">
        <v>1413</v>
      </c>
      <c r="F541" t="s">
        <v>1987</v>
      </c>
    </row>
    <row r="542" spans="2:6">
      <c r="B542">
        <v>22</v>
      </c>
      <c r="C542">
        <v>1</v>
      </c>
      <c r="D542" t="s">
        <v>79</v>
      </c>
      <c r="E542" t="s">
        <v>1413</v>
      </c>
      <c r="F542" t="s">
        <v>1988</v>
      </c>
    </row>
    <row r="543" spans="2:6">
      <c r="B543" t="s">
        <v>737</v>
      </c>
      <c r="C543">
        <v>12</v>
      </c>
      <c r="D543" t="s">
        <v>1435</v>
      </c>
      <c r="E543" t="s">
        <v>1413</v>
      </c>
      <c r="F543" t="s">
        <v>1989</v>
      </c>
    </row>
    <row r="544" spans="2:6">
      <c r="B544" t="s">
        <v>738</v>
      </c>
      <c r="C544">
        <v>12</v>
      </c>
      <c r="D544" t="s">
        <v>1435</v>
      </c>
      <c r="E544" t="s">
        <v>1413</v>
      </c>
      <c r="F544" t="s">
        <v>1990</v>
      </c>
    </row>
    <row r="545" spans="2:6">
      <c r="B545" t="s">
        <v>739</v>
      </c>
      <c r="C545">
        <v>9</v>
      </c>
      <c r="D545" t="s">
        <v>1429</v>
      </c>
      <c r="E545" t="s">
        <v>1413</v>
      </c>
      <c r="F545" t="s">
        <v>1991</v>
      </c>
    </row>
    <row r="546" spans="2:6">
      <c r="B546" t="s">
        <v>740</v>
      </c>
      <c r="C546">
        <v>1</v>
      </c>
      <c r="D546" t="s">
        <v>79</v>
      </c>
      <c r="E546" t="s">
        <v>1416</v>
      </c>
      <c r="F546" t="s">
        <v>1992</v>
      </c>
    </row>
    <row r="547" spans="2:6">
      <c r="B547" t="s">
        <v>741</v>
      </c>
      <c r="C547">
        <v>5</v>
      </c>
      <c r="D547" t="s">
        <v>1421</v>
      </c>
      <c r="E547" t="s">
        <v>1416</v>
      </c>
      <c r="F547" t="s">
        <v>1993</v>
      </c>
    </row>
    <row r="548" spans="2:6">
      <c r="B548" t="s">
        <v>742</v>
      </c>
      <c r="C548">
        <v>1</v>
      </c>
      <c r="D548" t="s">
        <v>79</v>
      </c>
      <c r="E548" t="s">
        <v>1416</v>
      </c>
      <c r="F548" t="s">
        <v>1994</v>
      </c>
    </row>
    <row r="549" spans="2:6">
      <c r="B549" t="s">
        <v>743</v>
      </c>
      <c r="C549">
        <v>3</v>
      </c>
      <c r="D549" t="s">
        <v>1417</v>
      </c>
      <c r="E549" t="s">
        <v>1416</v>
      </c>
      <c r="F549" t="s">
        <v>1995</v>
      </c>
    </row>
    <row r="550" spans="2:6">
      <c r="B550" t="s">
        <v>744</v>
      </c>
      <c r="C550">
        <v>1</v>
      </c>
      <c r="D550" t="s">
        <v>79</v>
      </c>
      <c r="E550" t="s">
        <v>1416</v>
      </c>
      <c r="F550" t="s">
        <v>1996</v>
      </c>
    </row>
    <row r="551" spans="2:6">
      <c r="B551" t="s">
        <v>745</v>
      </c>
      <c r="C551">
        <v>13</v>
      </c>
      <c r="D551" t="s">
        <v>1437</v>
      </c>
      <c r="E551" t="s">
        <v>1413</v>
      </c>
      <c r="F551" t="s">
        <v>1997</v>
      </c>
    </row>
    <row r="552" spans="2:6">
      <c r="B552" t="s">
        <v>746</v>
      </c>
      <c r="C552">
        <v>10</v>
      </c>
      <c r="D552" t="s">
        <v>1431</v>
      </c>
      <c r="E552" t="s">
        <v>1413</v>
      </c>
      <c r="F552" t="s">
        <v>1998</v>
      </c>
    </row>
    <row r="553" spans="2:6">
      <c r="B553" t="s">
        <v>747</v>
      </c>
      <c r="C553">
        <v>5</v>
      </c>
      <c r="D553" t="s">
        <v>1421</v>
      </c>
      <c r="E553" t="s">
        <v>1416</v>
      </c>
      <c r="F553" t="s">
        <v>1999</v>
      </c>
    </row>
    <row r="554" spans="2:6">
      <c r="B554" t="s">
        <v>748</v>
      </c>
      <c r="C554">
        <v>7</v>
      </c>
      <c r="D554" t="s">
        <v>1425</v>
      </c>
      <c r="E554" t="s">
        <v>1416</v>
      </c>
      <c r="F554" t="s">
        <v>2000</v>
      </c>
    </row>
    <row r="555" spans="2:6">
      <c r="B555" t="s">
        <v>749</v>
      </c>
      <c r="C555">
        <v>5</v>
      </c>
      <c r="D555" t="s">
        <v>1421</v>
      </c>
      <c r="E555" t="s">
        <v>1416</v>
      </c>
      <c r="F555" t="s">
        <v>2001</v>
      </c>
    </row>
    <row r="556" spans="2:6">
      <c r="B556" t="s">
        <v>750</v>
      </c>
      <c r="C556">
        <v>13</v>
      </c>
      <c r="D556" t="s">
        <v>1437</v>
      </c>
      <c r="E556" t="s">
        <v>1413</v>
      </c>
      <c r="F556" t="s">
        <v>2002</v>
      </c>
    </row>
    <row r="557" spans="2:6">
      <c r="B557" t="s">
        <v>751</v>
      </c>
      <c r="C557">
        <v>7</v>
      </c>
      <c r="D557" t="s">
        <v>1425</v>
      </c>
      <c r="E557" t="s">
        <v>1413</v>
      </c>
      <c r="F557" t="s">
        <v>2003</v>
      </c>
    </row>
    <row r="558" spans="2:6">
      <c r="B558" t="s">
        <v>752</v>
      </c>
      <c r="C558">
        <v>7</v>
      </c>
      <c r="D558" t="s">
        <v>1425</v>
      </c>
      <c r="E558" t="s">
        <v>1416</v>
      </c>
      <c r="F558" t="s">
        <v>2004</v>
      </c>
    </row>
    <row r="559" spans="2:6">
      <c r="B559" t="s">
        <v>753</v>
      </c>
      <c r="C559">
        <v>2</v>
      </c>
      <c r="D559" t="s">
        <v>1414</v>
      </c>
      <c r="E559" t="s">
        <v>1419</v>
      </c>
      <c r="F559" t="s">
        <v>2005</v>
      </c>
    </row>
    <row r="560" spans="2:6">
      <c r="B560" t="s">
        <v>754</v>
      </c>
      <c r="C560">
        <v>13</v>
      </c>
      <c r="D560" t="s">
        <v>1437</v>
      </c>
      <c r="E560" t="s">
        <v>1413</v>
      </c>
      <c r="F560" t="s">
        <v>2006</v>
      </c>
    </row>
    <row r="561" spans="2:6">
      <c r="B561" t="s">
        <v>755</v>
      </c>
      <c r="C561">
        <v>12</v>
      </c>
      <c r="D561" t="s">
        <v>1435</v>
      </c>
      <c r="E561" t="s">
        <v>1413</v>
      </c>
      <c r="F561" t="s">
        <v>2007</v>
      </c>
    </row>
    <row r="562" spans="2:6">
      <c r="B562" t="s">
        <v>756</v>
      </c>
      <c r="C562">
        <v>12</v>
      </c>
      <c r="D562" t="s">
        <v>1435</v>
      </c>
      <c r="E562" t="s">
        <v>1416</v>
      </c>
      <c r="F562" t="s">
        <v>2008</v>
      </c>
    </row>
    <row r="563" spans="2:6">
      <c r="B563" t="s">
        <v>757</v>
      </c>
      <c r="C563">
        <v>6</v>
      </c>
      <c r="D563" t="s">
        <v>1423</v>
      </c>
      <c r="E563" t="s">
        <v>1419</v>
      </c>
      <c r="F563" t="s">
        <v>2009</v>
      </c>
    </row>
    <row r="564" spans="2:6">
      <c r="B564" t="s">
        <v>758</v>
      </c>
      <c r="C564">
        <v>6</v>
      </c>
      <c r="D564" t="s">
        <v>1423</v>
      </c>
      <c r="E564" t="s">
        <v>1416</v>
      </c>
      <c r="F564" t="s">
        <v>2010</v>
      </c>
    </row>
    <row r="565" spans="2:6">
      <c r="B565" t="s">
        <v>759</v>
      </c>
      <c r="C565">
        <v>2</v>
      </c>
      <c r="D565" t="s">
        <v>1414</v>
      </c>
      <c r="E565" t="s">
        <v>1416</v>
      </c>
      <c r="F565" t="s">
        <v>2011</v>
      </c>
    </row>
    <row r="566" spans="2:6">
      <c r="B566" t="s">
        <v>760</v>
      </c>
      <c r="C566">
        <v>5</v>
      </c>
      <c r="D566" t="s">
        <v>1421</v>
      </c>
      <c r="E566" t="s">
        <v>1416</v>
      </c>
      <c r="F566" t="s">
        <v>2012</v>
      </c>
    </row>
    <row r="567" spans="2:6">
      <c r="B567" t="s">
        <v>761</v>
      </c>
      <c r="C567">
        <v>12</v>
      </c>
      <c r="D567" t="s">
        <v>1435</v>
      </c>
      <c r="E567" t="s">
        <v>1416</v>
      </c>
      <c r="F567" t="s">
        <v>2013</v>
      </c>
    </row>
    <row r="568" spans="2:6">
      <c r="B568" t="s">
        <v>762</v>
      </c>
      <c r="C568">
        <v>4</v>
      </c>
      <c r="D568" t="s">
        <v>85</v>
      </c>
      <c r="E568" t="s">
        <v>1413</v>
      </c>
      <c r="F568" t="s">
        <v>2014</v>
      </c>
    </row>
    <row r="569" spans="2:6">
      <c r="B569" t="s">
        <v>763</v>
      </c>
      <c r="C569">
        <v>3</v>
      </c>
      <c r="D569" t="s">
        <v>1417</v>
      </c>
      <c r="E569" t="s">
        <v>1416</v>
      </c>
      <c r="F569" t="s">
        <v>2015</v>
      </c>
    </row>
    <row r="570" spans="2:6">
      <c r="B570" t="s">
        <v>764</v>
      </c>
      <c r="C570">
        <v>10</v>
      </c>
      <c r="D570" t="s">
        <v>1431</v>
      </c>
      <c r="E570" t="s">
        <v>1419</v>
      </c>
      <c r="F570" t="s">
        <v>2016</v>
      </c>
    </row>
    <row r="571" spans="2:6">
      <c r="B571" t="s">
        <v>765</v>
      </c>
      <c r="C571">
        <v>4</v>
      </c>
      <c r="D571" t="s">
        <v>85</v>
      </c>
      <c r="E571" t="s">
        <v>1416</v>
      </c>
      <c r="F571" t="s">
        <v>2017</v>
      </c>
    </row>
    <row r="572" spans="2:6">
      <c r="B572" t="s">
        <v>766</v>
      </c>
      <c r="C572">
        <v>7</v>
      </c>
      <c r="D572" t="s">
        <v>1425</v>
      </c>
      <c r="E572" t="s">
        <v>1419</v>
      </c>
      <c r="F572" t="s">
        <v>2018</v>
      </c>
    </row>
    <row r="573" spans="2:6">
      <c r="B573" t="s">
        <v>767</v>
      </c>
      <c r="C573">
        <v>6</v>
      </c>
      <c r="D573" t="s">
        <v>1423</v>
      </c>
      <c r="E573" t="s">
        <v>1416</v>
      </c>
      <c r="F573" t="s">
        <v>2019</v>
      </c>
    </row>
    <row r="574" spans="2:6">
      <c r="B574" t="s">
        <v>768</v>
      </c>
      <c r="C574">
        <v>8</v>
      </c>
      <c r="D574" t="s">
        <v>1427</v>
      </c>
      <c r="E574" t="s">
        <v>1419</v>
      </c>
      <c r="F574" t="s">
        <v>2020</v>
      </c>
    </row>
    <row r="575" spans="2:6">
      <c r="B575" t="s">
        <v>769</v>
      </c>
      <c r="C575">
        <v>6</v>
      </c>
      <c r="D575" t="s">
        <v>1423</v>
      </c>
      <c r="E575" t="s">
        <v>1416</v>
      </c>
      <c r="F575" t="s">
        <v>2021</v>
      </c>
    </row>
    <row r="576" spans="2:6">
      <c r="B576" t="s">
        <v>770</v>
      </c>
      <c r="C576">
        <v>4</v>
      </c>
      <c r="D576" t="s">
        <v>85</v>
      </c>
      <c r="E576" t="s">
        <v>1416</v>
      </c>
      <c r="F576" t="s">
        <v>2022</v>
      </c>
    </row>
    <row r="577" spans="2:9">
      <c r="B577" t="s">
        <v>771</v>
      </c>
      <c r="C577">
        <v>4</v>
      </c>
      <c r="D577" t="s">
        <v>85</v>
      </c>
      <c r="E577" t="s">
        <v>1416</v>
      </c>
      <c r="F577" t="s">
        <v>2023</v>
      </c>
    </row>
    <row r="578" spans="2:9">
      <c r="B578" t="s">
        <v>772</v>
      </c>
      <c r="C578">
        <v>1</v>
      </c>
      <c r="D578" t="s">
        <v>79</v>
      </c>
      <c r="E578" t="s">
        <v>1416</v>
      </c>
      <c r="F578" t="s">
        <v>2024</v>
      </c>
    </row>
    <row r="579" spans="2:9">
      <c r="B579" t="s">
        <v>773</v>
      </c>
      <c r="C579">
        <v>9</v>
      </c>
      <c r="D579" t="s">
        <v>1429</v>
      </c>
      <c r="E579" t="s">
        <v>1419</v>
      </c>
    </row>
    <row r="580" spans="2:9">
      <c r="B580" t="s">
        <v>774</v>
      </c>
      <c r="C580">
        <v>9</v>
      </c>
      <c r="D580" t="s">
        <v>1429</v>
      </c>
      <c r="E580" t="s">
        <v>1413</v>
      </c>
      <c r="F580" t="s">
        <v>2025</v>
      </c>
      <c r="I580" t="s">
        <v>2026</v>
      </c>
    </row>
    <row r="581" spans="2:9">
      <c r="B581" t="s">
        <v>775</v>
      </c>
      <c r="C581">
        <v>10</v>
      </c>
      <c r="D581" t="s">
        <v>1431</v>
      </c>
      <c r="E581" t="s">
        <v>1413</v>
      </c>
      <c r="F581" t="s">
        <v>2027</v>
      </c>
    </row>
    <row r="582" spans="2:9">
      <c r="B582" t="s">
        <v>776</v>
      </c>
      <c r="C582">
        <v>4</v>
      </c>
      <c r="D582" t="s">
        <v>85</v>
      </c>
      <c r="E582" t="s">
        <v>1413</v>
      </c>
      <c r="F582" t="s">
        <v>2028</v>
      </c>
    </row>
    <row r="583" spans="2:9">
      <c r="B583" t="s">
        <v>777</v>
      </c>
      <c r="C583">
        <v>1</v>
      </c>
      <c r="D583" t="s">
        <v>79</v>
      </c>
      <c r="E583" t="s">
        <v>1419</v>
      </c>
      <c r="F583" t="s">
        <v>2029</v>
      </c>
    </row>
    <row r="584" spans="2:9">
      <c r="B584" t="s">
        <v>778</v>
      </c>
      <c r="C584">
        <v>14</v>
      </c>
      <c r="D584" t="s">
        <v>1439</v>
      </c>
      <c r="E584" t="s">
        <v>1413</v>
      </c>
      <c r="F584" t="s">
        <v>2030</v>
      </c>
    </row>
    <row r="585" spans="2:9">
      <c r="B585" s="24" t="s">
        <v>577</v>
      </c>
      <c r="C585" s="25">
        <v>12</v>
      </c>
      <c r="D585" s="25" t="s">
        <v>1435</v>
      </c>
      <c r="E585" t="s">
        <v>1416</v>
      </c>
      <c r="F585" s="25" t="s">
        <v>2031</v>
      </c>
    </row>
    <row r="586" spans="2:9">
      <c r="B586" s="24" t="s">
        <v>578</v>
      </c>
      <c r="C586" s="25">
        <v>10</v>
      </c>
      <c r="D586" s="25" t="s">
        <v>1431</v>
      </c>
      <c r="E586" t="s">
        <v>1413</v>
      </c>
      <c r="F586" s="25" t="s">
        <v>2032</v>
      </c>
    </row>
    <row r="587" spans="2:9">
      <c r="B587" s="24" t="s">
        <v>579</v>
      </c>
      <c r="C587" s="25">
        <v>12</v>
      </c>
      <c r="D587" s="25" t="s">
        <v>1435</v>
      </c>
      <c r="E587" t="s">
        <v>1413</v>
      </c>
      <c r="F587" s="25" t="s">
        <v>2033</v>
      </c>
    </row>
    <row r="588" spans="2:9">
      <c r="B588" s="24" t="s">
        <v>580</v>
      </c>
      <c r="C588" s="25">
        <v>3</v>
      </c>
      <c r="D588" s="25" t="s">
        <v>1417</v>
      </c>
      <c r="E588" t="s">
        <v>1416</v>
      </c>
      <c r="F588" s="25" t="s">
        <v>2034</v>
      </c>
    </row>
    <row r="589" spans="2:9">
      <c r="B589" s="24" t="s">
        <v>581</v>
      </c>
      <c r="C589" s="25">
        <v>8</v>
      </c>
      <c r="D589" s="25" t="s">
        <v>1427</v>
      </c>
      <c r="E589" t="s">
        <v>1416</v>
      </c>
      <c r="F589" s="25" t="s">
        <v>2035</v>
      </c>
    </row>
    <row r="590" spans="2:9">
      <c r="B590" s="24" t="s">
        <v>582</v>
      </c>
      <c r="C590" s="25">
        <v>6</v>
      </c>
      <c r="D590" s="25" t="s">
        <v>1423</v>
      </c>
      <c r="E590" t="s">
        <v>1416</v>
      </c>
      <c r="F590" s="25" t="s">
        <v>2036</v>
      </c>
    </row>
    <row r="591" spans="2:9">
      <c r="B591" s="24" t="s">
        <v>583</v>
      </c>
      <c r="C591" s="25">
        <v>12</v>
      </c>
      <c r="D591" s="25" t="s">
        <v>1435</v>
      </c>
      <c r="E591" t="s">
        <v>1413</v>
      </c>
      <c r="F591" s="25" t="s">
        <v>2037</v>
      </c>
    </row>
    <row r="592" spans="2:9">
      <c r="B592" s="24" t="s">
        <v>584</v>
      </c>
      <c r="C592" s="25">
        <v>12</v>
      </c>
      <c r="D592" s="25" t="s">
        <v>1435</v>
      </c>
      <c r="E592" t="s">
        <v>1413</v>
      </c>
      <c r="F592" s="25" t="s">
        <v>2038</v>
      </c>
    </row>
    <row r="593" spans="2:6">
      <c r="B593" s="24" t="s">
        <v>585</v>
      </c>
      <c r="C593" s="25">
        <v>7</v>
      </c>
      <c r="D593" s="25" t="s">
        <v>1425</v>
      </c>
      <c r="E593" t="s">
        <v>1413</v>
      </c>
      <c r="F593" s="25" t="s">
        <v>2039</v>
      </c>
    </row>
    <row r="594" spans="2:6">
      <c r="B594" s="24" t="s">
        <v>586</v>
      </c>
      <c r="C594" s="25">
        <v>1</v>
      </c>
      <c r="D594" s="25" t="s">
        <v>79</v>
      </c>
      <c r="E594" t="s">
        <v>1416</v>
      </c>
      <c r="F594" s="25" t="s">
        <v>2040</v>
      </c>
    </row>
    <row r="595" spans="2:6">
      <c r="B595" s="24" t="s">
        <v>587</v>
      </c>
      <c r="C595" s="25">
        <v>4</v>
      </c>
      <c r="D595" s="25" t="s">
        <v>85</v>
      </c>
      <c r="E595" t="s">
        <v>1416</v>
      </c>
      <c r="F595" s="25" t="s">
        <v>2041</v>
      </c>
    </row>
    <row r="596" spans="2:6">
      <c r="B596" s="24" t="s">
        <v>588</v>
      </c>
      <c r="C596" s="25">
        <v>13</v>
      </c>
      <c r="D596" s="25" t="s">
        <v>1437</v>
      </c>
      <c r="E596" t="s">
        <v>1413</v>
      </c>
      <c r="F596" s="25" t="s">
        <v>2042</v>
      </c>
    </row>
    <row r="597" spans="2:6">
      <c r="B597" s="24" t="s">
        <v>589</v>
      </c>
      <c r="C597" s="25">
        <v>1</v>
      </c>
      <c r="D597" s="25" t="s">
        <v>79</v>
      </c>
      <c r="E597" t="s">
        <v>1416</v>
      </c>
      <c r="F597" s="25" t="s">
        <v>2043</v>
      </c>
    </row>
    <row r="598" spans="2:6">
      <c r="B598" s="24" t="s">
        <v>590</v>
      </c>
      <c r="C598" s="25">
        <v>10</v>
      </c>
      <c r="D598" s="25" t="s">
        <v>1431</v>
      </c>
      <c r="E598" t="s">
        <v>1413</v>
      </c>
      <c r="F598" s="25" t="s">
        <v>2044</v>
      </c>
    </row>
    <row r="599" spans="2:6">
      <c r="B599" s="24" t="s">
        <v>591</v>
      </c>
      <c r="C599" s="25">
        <v>9</v>
      </c>
      <c r="D599" s="25" t="s">
        <v>1429</v>
      </c>
      <c r="E599" t="s">
        <v>1416</v>
      </c>
      <c r="F599" s="25" t="s">
        <v>2045</v>
      </c>
    </row>
    <row r="600" spans="2:6">
      <c r="B600" s="24" t="s">
        <v>592</v>
      </c>
      <c r="C600" s="25">
        <v>13</v>
      </c>
      <c r="D600" s="25" t="s">
        <v>1437</v>
      </c>
      <c r="E600" t="s">
        <v>1416</v>
      </c>
      <c r="F600" s="25" t="s">
        <v>2046</v>
      </c>
    </row>
    <row r="601" spans="2:6">
      <c r="B601" s="24" t="s">
        <v>593</v>
      </c>
      <c r="C601" s="25">
        <v>12</v>
      </c>
      <c r="D601" s="25" t="s">
        <v>1435</v>
      </c>
      <c r="E601" t="s">
        <v>1416</v>
      </c>
      <c r="F601" s="25" t="s">
        <v>2047</v>
      </c>
    </row>
    <row r="602" spans="2:6">
      <c r="B602" s="24" t="s">
        <v>594</v>
      </c>
      <c r="C602" s="25">
        <v>4</v>
      </c>
      <c r="D602" s="25" t="s">
        <v>85</v>
      </c>
      <c r="E602" t="s">
        <v>1416</v>
      </c>
      <c r="F602" s="25" t="s">
        <v>2048</v>
      </c>
    </row>
    <row r="603" spans="2:6">
      <c r="B603" s="24" t="s">
        <v>595</v>
      </c>
      <c r="C603" s="25">
        <v>9</v>
      </c>
      <c r="D603" s="25" t="s">
        <v>1429</v>
      </c>
      <c r="E603" t="s">
        <v>1416</v>
      </c>
      <c r="F603" s="25" t="s">
        <v>2049</v>
      </c>
    </row>
    <row r="604" spans="2:6">
      <c r="B604" s="24" t="s">
        <v>596</v>
      </c>
      <c r="C604" s="25">
        <v>9</v>
      </c>
      <c r="D604" s="25" t="s">
        <v>1429</v>
      </c>
      <c r="E604" t="s">
        <v>1413</v>
      </c>
      <c r="F604" s="25" t="s">
        <v>2050</v>
      </c>
    </row>
    <row r="605" spans="2:6">
      <c r="B605" s="24" t="s">
        <v>597</v>
      </c>
      <c r="C605" s="25">
        <v>1</v>
      </c>
      <c r="D605" s="25" t="s">
        <v>79</v>
      </c>
      <c r="E605" t="s">
        <v>1416</v>
      </c>
      <c r="F605" s="25" t="s">
        <v>2051</v>
      </c>
    </row>
    <row r="606" spans="2:6">
      <c r="B606" s="24" t="s">
        <v>598</v>
      </c>
      <c r="C606" s="25">
        <v>8</v>
      </c>
      <c r="D606" s="25" t="s">
        <v>1427</v>
      </c>
      <c r="E606" t="s">
        <v>1416</v>
      </c>
      <c r="F606" s="25" t="s">
        <v>2052</v>
      </c>
    </row>
    <row r="607" spans="2:6">
      <c r="B607" s="24" t="s">
        <v>599</v>
      </c>
      <c r="C607" s="25">
        <v>2</v>
      </c>
      <c r="D607" s="25" t="s">
        <v>1414</v>
      </c>
      <c r="E607" t="s">
        <v>1416</v>
      </c>
      <c r="F607" s="25" t="s">
        <v>2053</v>
      </c>
    </row>
    <row r="608" spans="2:6">
      <c r="B608" s="24" t="s">
        <v>600</v>
      </c>
      <c r="C608" s="25">
        <v>6</v>
      </c>
      <c r="D608" s="25" t="s">
        <v>1423</v>
      </c>
      <c r="E608" t="s">
        <v>1416</v>
      </c>
      <c r="F608" s="25" t="s">
        <v>2054</v>
      </c>
    </row>
    <row r="609" spans="2:6">
      <c r="B609" s="24" t="s">
        <v>601</v>
      </c>
      <c r="C609" s="25">
        <v>3</v>
      </c>
      <c r="D609" s="25" t="s">
        <v>1417</v>
      </c>
      <c r="E609" t="s">
        <v>1416</v>
      </c>
      <c r="F609" s="25" t="s">
        <v>2055</v>
      </c>
    </row>
    <row r="610" spans="2:6">
      <c r="B610" s="24" t="s">
        <v>602</v>
      </c>
      <c r="C610" s="25">
        <v>6</v>
      </c>
      <c r="D610" s="25" t="s">
        <v>1423</v>
      </c>
      <c r="E610" t="s">
        <v>1416</v>
      </c>
      <c r="F610" s="25" t="s">
        <v>2056</v>
      </c>
    </row>
    <row r="611" spans="2:6">
      <c r="B611" s="24" t="s">
        <v>603</v>
      </c>
      <c r="C611" s="25">
        <v>13</v>
      </c>
      <c r="D611" s="25" t="s">
        <v>1437</v>
      </c>
      <c r="E611" t="s">
        <v>1413</v>
      </c>
      <c r="F611" s="25" t="s">
        <v>2057</v>
      </c>
    </row>
    <row r="612" spans="2:6">
      <c r="B612" s="24" t="s">
        <v>604</v>
      </c>
      <c r="C612" s="25">
        <v>13</v>
      </c>
      <c r="D612" s="25" t="s">
        <v>1437</v>
      </c>
      <c r="E612" t="s">
        <v>1413</v>
      </c>
      <c r="F612" s="25" t="s">
        <v>2058</v>
      </c>
    </row>
    <row r="613" spans="2:6">
      <c r="B613" s="24" t="s">
        <v>605</v>
      </c>
      <c r="C613" s="25">
        <v>3</v>
      </c>
      <c r="D613" s="25" t="s">
        <v>1417</v>
      </c>
      <c r="E613" t="s">
        <v>1416</v>
      </c>
      <c r="F613" s="25" t="s">
        <v>2059</v>
      </c>
    </row>
    <row r="614" spans="2:6">
      <c r="B614" s="24" t="s">
        <v>606</v>
      </c>
      <c r="C614" s="25">
        <v>12</v>
      </c>
      <c r="D614" s="25" t="s">
        <v>1435</v>
      </c>
      <c r="E614" t="s">
        <v>1416</v>
      </c>
      <c r="F614" s="25" t="s">
        <v>2060</v>
      </c>
    </row>
    <row r="615" spans="2:6">
      <c r="B615" s="24" t="s">
        <v>607</v>
      </c>
      <c r="C615" s="25">
        <v>7</v>
      </c>
      <c r="D615" s="25" t="s">
        <v>1425</v>
      </c>
      <c r="E615" t="s">
        <v>1416</v>
      </c>
      <c r="F615" s="25" t="s">
        <v>2061</v>
      </c>
    </row>
    <row r="616" spans="2:6">
      <c r="B616" s="24" t="s">
        <v>608</v>
      </c>
      <c r="C616" s="25">
        <v>7</v>
      </c>
      <c r="D616" s="25" t="s">
        <v>1425</v>
      </c>
      <c r="E616" t="s">
        <v>1416</v>
      </c>
      <c r="F616" s="25" t="s">
        <v>2062</v>
      </c>
    </row>
    <row r="617" spans="2:6">
      <c r="B617" s="24" t="s">
        <v>609</v>
      </c>
      <c r="C617" s="25">
        <v>9</v>
      </c>
      <c r="D617" s="25" t="s">
        <v>1429</v>
      </c>
      <c r="E617" t="s">
        <v>1416</v>
      </c>
      <c r="F617" s="25" t="s">
        <v>2063</v>
      </c>
    </row>
    <row r="618" spans="2:6">
      <c r="B618" s="24" t="s">
        <v>610</v>
      </c>
      <c r="C618" s="25">
        <v>14</v>
      </c>
      <c r="D618" s="25" t="s">
        <v>1439</v>
      </c>
      <c r="E618" t="s">
        <v>1416</v>
      </c>
      <c r="F618" s="25" t="s">
        <v>2064</v>
      </c>
    </row>
    <row r="619" spans="2:6">
      <c r="B619" s="24" t="s">
        <v>611</v>
      </c>
      <c r="C619" s="25">
        <v>4</v>
      </c>
      <c r="D619" s="25" t="s">
        <v>85</v>
      </c>
      <c r="E619" t="s">
        <v>1416</v>
      </c>
      <c r="F619" s="25" t="s">
        <v>2065</v>
      </c>
    </row>
    <row r="620" spans="2:6">
      <c r="B620" s="24" t="s">
        <v>612</v>
      </c>
      <c r="C620" s="25">
        <v>5</v>
      </c>
      <c r="D620" s="25" t="s">
        <v>1421</v>
      </c>
      <c r="E620" t="s">
        <v>1413</v>
      </c>
      <c r="F620" s="25" t="s">
        <v>2066</v>
      </c>
    </row>
    <row r="621" spans="2:6">
      <c r="B621" s="24" t="s">
        <v>613</v>
      </c>
      <c r="C621" s="25">
        <v>6</v>
      </c>
      <c r="D621" s="25" t="s">
        <v>1423</v>
      </c>
      <c r="E621" t="s">
        <v>1413</v>
      </c>
      <c r="F621" s="25" t="s">
        <v>2067</v>
      </c>
    </row>
    <row r="622" spans="2:6">
      <c r="B622" s="24" t="s">
        <v>614</v>
      </c>
      <c r="C622" s="25">
        <v>12</v>
      </c>
      <c r="D622" s="25" t="s">
        <v>1435</v>
      </c>
      <c r="E622" t="s">
        <v>1416</v>
      </c>
      <c r="F622" s="25" t="s">
        <v>2068</v>
      </c>
    </row>
    <row r="623" spans="2:6">
      <c r="B623" s="24" t="s">
        <v>615</v>
      </c>
      <c r="C623" s="25">
        <v>13</v>
      </c>
      <c r="D623" s="25" t="s">
        <v>1437</v>
      </c>
      <c r="E623" t="s">
        <v>1413</v>
      </c>
      <c r="F623" s="25" t="s">
        <v>2069</v>
      </c>
    </row>
    <row r="624" spans="2:6">
      <c r="B624" s="24" t="s">
        <v>616</v>
      </c>
      <c r="C624" s="25">
        <v>13</v>
      </c>
      <c r="D624" s="25" t="s">
        <v>1437</v>
      </c>
      <c r="E624" t="s">
        <v>1416</v>
      </c>
      <c r="F624" s="25" t="s">
        <v>2070</v>
      </c>
    </row>
    <row r="625" spans="2:6">
      <c r="B625" s="24" t="s">
        <v>617</v>
      </c>
      <c r="C625" s="25">
        <v>12</v>
      </c>
      <c r="D625" s="25" t="s">
        <v>1435</v>
      </c>
      <c r="E625" t="s">
        <v>1413</v>
      </c>
      <c r="F625" s="25" t="s">
        <v>2071</v>
      </c>
    </row>
    <row r="626" spans="2:6">
      <c r="B626" s="24" t="s">
        <v>618</v>
      </c>
      <c r="C626" s="25">
        <v>9</v>
      </c>
      <c r="D626" s="25" t="s">
        <v>1429</v>
      </c>
      <c r="E626" t="s">
        <v>1416</v>
      </c>
      <c r="F626" s="25" t="s">
        <v>2072</v>
      </c>
    </row>
    <row r="627" spans="2:6">
      <c r="B627" s="24" t="s">
        <v>619</v>
      </c>
      <c r="C627" s="25">
        <v>1</v>
      </c>
      <c r="D627" s="25" t="s">
        <v>79</v>
      </c>
      <c r="E627" t="s">
        <v>1416</v>
      </c>
      <c r="F627" s="25" t="s">
        <v>2073</v>
      </c>
    </row>
    <row r="628" spans="2:6">
      <c r="B628" s="24" t="s">
        <v>620</v>
      </c>
      <c r="C628" s="25">
        <v>2</v>
      </c>
      <c r="D628" s="25" t="s">
        <v>1414</v>
      </c>
      <c r="E628" t="s">
        <v>1416</v>
      </c>
      <c r="F628" s="25" t="s">
        <v>2074</v>
      </c>
    </row>
    <row r="629" spans="2:6">
      <c r="B629" s="24" t="s">
        <v>621</v>
      </c>
      <c r="C629" s="25">
        <v>13</v>
      </c>
      <c r="D629" s="25" t="s">
        <v>1437</v>
      </c>
      <c r="E629" t="s">
        <v>1413</v>
      </c>
      <c r="F629" s="25" t="s">
        <v>2075</v>
      </c>
    </row>
    <row r="630" spans="2:6">
      <c r="B630" s="24" t="s">
        <v>622</v>
      </c>
      <c r="C630" s="25">
        <v>1</v>
      </c>
      <c r="D630" s="25" t="s">
        <v>79</v>
      </c>
      <c r="E630" t="s">
        <v>1413</v>
      </c>
      <c r="F630" s="25" t="s">
        <v>2076</v>
      </c>
    </row>
    <row r="631" spans="2:6">
      <c r="B631" s="24" t="s">
        <v>623</v>
      </c>
      <c r="C631" s="25">
        <v>12</v>
      </c>
      <c r="D631" s="25" t="s">
        <v>1435</v>
      </c>
      <c r="E631" t="s">
        <v>1413</v>
      </c>
      <c r="F631" s="25" t="s">
        <v>2077</v>
      </c>
    </row>
    <row r="632" spans="2:6">
      <c r="B632" s="24" t="s">
        <v>624</v>
      </c>
      <c r="C632" s="25">
        <v>13</v>
      </c>
      <c r="D632" s="25" t="s">
        <v>1437</v>
      </c>
      <c r="E632" t="s">
        <v>1413</v>
      </c>
      <c r="F632" s="25" t="s">
        <v>2078</v>
      </c>
    </row>
    <row r="633" spans="2:6">
      <c r="B633" s="24" t="s">
        <v>625</v>
      </c>
      <c r="C633" s="25">
        <v>11</v>
      </c>
      <c r="D633" s="25" t="s">
        <v>1433</v>
      </c>
      <c r="E633" t="s">
        <v>1413</v>
      </c>
      <c r="F633" s="25" t="s">
        <v>2079</v>
      </c>
    </row>
    <row r="634" spans="2:6">
      <c r="B634" s="24" t="s">
        <v>626</v>
      </c>
      <c r="C634" s="25">
        <v>6</v>
      </c>
      <c r="D634" s="25" t="s">
        <v>1423</v>
      </c>
      <c r="E634" t="s">
        <v>1413</v>
      </c>
      <c r="F634" s="25" t="s">
        <v>2080</v>
      </c>
    </row>
    <row r="635" spans="2:6">
      <c r="B635" s="24" t="s">
        <v>627</v>
      </c>
      <c r="C635" s="25">
        <v>9</v>
      </c>
      <c r="D635" s="25" t="s">
        <v>1429</v>
      </c>
      <c r="E635" t="s">
        <v>1416</v>
      </c>
      <c r="F635" s="25" t="s">
        <v>2081</v>
      </c>
    </row>
    <row r="636" spans="2:6">
      <c r="B636" s="24" t="s">
        <v>628</v>
      </c>
      <c r="C636" s="25">
        <v>8</v>
      </c>
      <c r="D636" s="25" t="s">
        <v>1427</v>
      </c>
      <c r="E636" t="s">
        <v>1416</v>
      </c>
      <c r="F636" s="25" t="s">
        <v>2082</v>
      </c>
    </row>
    <row r="637" spans="2:6">
      <c r="B637" s="24" t="s">
        <v>629</v>
      </c>
      <c r="C637" s="25">
        <v>2</v>
      </c>
      <c r="D637" s="25" t="s">
        <v>1414</v>
      </c>
      <c r="E637" t="s">
        <v>1413</v>
      </c>
      <c r="F637" s="25" t="s">
        <v>2083</v>
      </c>
    </row>
    <row r="638" spans="2:6">
      <c r="B638" s="24" t="s">
        <v>630</v>
      </c>
      <c r="C638" s="25">
        <v>3</v>
      </c>
      <c r="D638" s="25" t="s">
        <v>1417</v>
      </c>
      <c r="E638" t="s">
        <v>1416</v>
      </c>
      <c r="F638" s="25" t="s">
        <v>2084</v>
      </c>
    </row>
    <row r="639" spans="2:6">
      <c r="B639" s="24" t="s">
        <v>631</v>
      </c>
      <c r="C639" s="25">
        <v>10</v>
      </c>
      <c r="D639" s="25" t="s">
        <v>1431</v>
      </c>
      <c r="E639" t="s">
        <v>1416</v>
      </c>
      <c r="F639" s="25" t="s">
        <v>2085</v>
      </c>
    </row>
    <row r="640" spans="2:6">
      <c r="B640" s="24" t="s">
        <v>632</v>
      </c>
      <c r="C640" s="25">
        <v>6</v>
      </c>
      <c r="D640" s="25" t="s">
        <v>1423</v>
      </c>
      <c r="E640" t="s">
        <v>1416</v>
      </c>
      <c r="F640" s="25" t="s">
        <v>2086</v>
      </c>
    </row>
    <row r="641" spans="2:6">
      <c r="B641" s="24" t="s">
        <v>633</v>
      </c>
      <c r="C641" s="25">
        <v>9</v>
      </c>
      <c r="D641" s="25" t="s">
        <v>1429</v>
      </c>
      <c r="E641" t="s">
        <v>1416</v>
      </c>
      <c r="F641" s="25" t="s">
        <v>2087</v>
      </c>
    </row>
    <row r="642" spans="2:6">
      <c r="B642" s="24" t="s">
        <v>634</v>
      </c>
      <c r="C642" s="25">
        <v>12</v>
      </c>
      <c r="D642" s="25" t="s">
        <v>1435</v>
      </c>
      <c r="E642" t="s">
        <v>1413</v>
      </c>
      <c r="F642" s="25" t="s">
        <v>2088</v>
      </c>
    </row>
    <row r="643" spans="2:6">
      <c r="B643" s="24" t="s">
        <v>635</v>
      </c>
      <c r="C643" s="25">
        <v>2</v>
      </c>
      <c r="D643" s="25" t="s">
        <v>1414</v>
      </c>
      <c r="E643" t="s">
        <v>1416</v>
      </c>
      <c r="F643" s="25" t="s">
        <v>2089</v>
      </c>
    </row>
    <row r="644" spans="2:6">
      <c r="B644" s="24" t="s">
        <v>636</v>
      </c>
      <c r="C644" s="25">
        <v>4</v>
      </c>
      <c r="D644" s="25" t="s">
        <v>85</v>
      </c>
      <c r="E644" t="s">
        <v>1416</v>
      </c>
      <c r="F644" s="25" t="s">
        <v>2090</v>
      </c>
    </row>
    <row r="645" spans="2:6">
      <c r="B645" s="24" t="s">
        <v>637</v>
      </c>
      <c r="C645" s="25">
        <v>4</v>
      </c>
      <c r="D645" s="25" t="s">
        <v>85</v>
      </c>
      <c r="E645" t="s">
        <v>1416</v>
      </c>
      <c r="F645" s="25" t="s">
        <v>2091</v>
      </c>
    </row>
    <row r="646" spans="2:6">
      <c r="B646" s="24" t="s">
        <v>638</v>
      </c>
      <c r="C646" s="25">
        <v>6</v>
      </c>
      <c r="D646" s="25" t="s">
        <v>1423</v>
      </c>
      <c r="E646" t="s">
        <v>1416</v>
      </c>
      <c r="F646" s="25" t="s">
        <v>2092</v>
      </c>
    </row>
    <row r="647" spans="2:6">
      <c r="B647" s="24" t="s">
        <v>639</v>
      </c>
      <c r="C647" s="25">
        <v>5</v>
      </c>
      <c r="D647" s="25" t="s">
        <v>1421</v>
      </c>
      <c r="E647" t="s">
        <v>1416</v>
      </c>
      <c r="F647" s="25" t="s">
        <v>2093</v>
      </c>
    </row>
    <row r="648" spans="2:6">
      <c r="B648" s="24" t="s">
        <v>640</v>
      </c>
      <c r="C648" s="25">
        <v>13</v>
      </c>
      <c r="D648" s="25" t="s">
        <v>1437</v>
      </c>
      <c r="E648" t="s">
        <v>1416</v>
      </c>
      <c r="F648" s="25" t="s">
        <v>2094</v>
      </c>
    </row>
    <row r="649" spans="2:6">
      <c r="B649" s="24" t="s">
        <v>641</v>
      </c>
      <c r="C649" s="25">
        <v>12</v>
      </c>
      <c r="D649" s="25" t="s">
        <v>1435</v>
      </c>
      <c r="E649" t="s">
        <v>1419</v>
      </c>
      <c r="F649" s="25" t="s">
        <v>2095</v>
      </c>
    </row>
    <row r="650" spans="2:6">
      <c r="B650" s="24" t="s">
        <v>642</v>
      </c>
      <c r="C650" s="25">
        <v>6</v>
      </c>
      <c r="D650" s="25" t="s">
        <v>1423</v>
      </c>
      <c r="E650" t="s">
        <v>1416</v>
      </c>
      <c r="F650" s="25" t="s">
        <v>2096</v>
      </c>
    </row>
    <row r="651" spans="2:6">
      <c r="B651" s="24" t="s">
        <v>643</v>
      </c>
      <c r="C651" s="25">
        <v>7</v>
      </c>
      <c r="D651" s="25" t="s">
        <v>1425</v>
      </c>
      <c r="E651" t="s">
        <v>1416</v>
      </c>
      <c r="F651" s="25" t="s">
        <v>2097</v>
      </c>
    </row>
    <row r="652" spans="2:6">
      <c r="B652" s="24" t="s">
        <v>644</v>
      </c>
      <c r="C652" s="25">
        <v>12</v>
      </c>
      <c r="D652" s="25" t="s">
        <v>1435</v>
      </c>
      <c r="E652" t="s">
        <v>1416</v>
      </c>
      <c r="F652" s="25" t="s">
        <v>2098</v>
      </c>
    </row>
    <row r="653" spans="2:6">
      <c r="B653" s="24" t="s">
        <v>645</v>
      </c>
      <c r="C653" s="25">
        <v>9</v>
      </c>
      <c r="D653" s="25" t="s">
        <v>1429</v>
      </c>
      <c r="E653" t="s">
        <v>1413</v>
      </c>
      <c r="F653" s="25" t="s">
        <v>2099</v>
      </c>
    </row>
    <row r="654" spans="2:6">
      <c r="B654" s="24" t="s">
        <v>646</v>
      </c>
      <c r="C654" s="25">
        <v>5</v>
      </c>
      <c r="D654" s="25" t="s">
        <v>1421</v>
      </c>
      <c r="E654" t="s">
        <v>1416</v>
      </c>
      <c r="F654" s="25" t="s">
        <v>2100</v>
      </c>
    </row>
    <row r="655" spans="2:6">
      <c r="B655" s="24" t="s">
        <v>647</v>
      </c>
      <c r="C655" s="25">
        <v>14</v>
      </c>
      <c r="D655" s="25" t="s">
        <v>1439</v>
      </c>
      <c r="E655" t="s">
        <v>1413</v>
      </c>
      <c r="F655" s="25" t="s">
        <v>2101</v>
      </c>
    </row>
    <row r="656" spans="2:6">
      <c r="B656" s="24" t="s">
        <v>648</v>
      </c>
      <c r="C656" s="25">
        <v>13</v>
      </c>
      <c r="D656" s="25" t="s">
        <v>1437</v>
      </c>
      <c r="E656" t="s">
        <v>1416</v>
      </c>
      <c r="F656" s="25" t="s">
        <v>2102</v>
      </c>
    </row>
    <row r="657" spans="2:6">
      <c r="B657" s="24" t="s">
        <v>649</v>
      </c>
      <c r="C657" s="25">
        <v>1</v>
      </c>
      <c r="D657" s="25" t="s">
        <v>79</v>
      </c>
      <c r="E657" t="s">
        <v>1413</v>
      </c>
      <c r="F657" s="25" t="s">
        <v>2103</v>
      </c>
    </row>
    <row r="658" spans="2:6">
      <c r="B658" s="24" t="s">
        <v>650</v>
      </c>
      <c r="C658" s="25">
        <v>9</v>
      </c>
      <c r="D658" s="25" t="s">
        <v>1429</v>
      </c>
      <c r="E658" t="s">
        <v>1413</v>
      </c>
      <c r="F658" s="25" t="s">
        <v>2104</v>
      </c>
    </row>
    <row r="659" spans="2:6">
      <c r="B659" s="24" t="s">
        <v>651</v>
      </c>
      <c r="C659" s="25">
        <v>9</v>
      </c>
      <c r="D659" s="25" t="s">
        <v>1429</v>
      </c>
      <c r="E659" t="s">
        <v>1416</v>
      </c>
      <c r="F659" s="25" t="s">
        <v>2105</v>
      </c>
    </row>
    <row r="660" spans="2:6">
      <c r="B660" s="24" t="s">
        <v>652</v>
      </c>
      <c r="C660" s="25">
        <v>12</v>
      </c>
      <c r="D660" s="25" t="s">
        <v>1435</v>
      </c>
      <c r="E660" t="s">
        <v>1413</v>
      </c>
      <c r="F660" s="25" t="s">
        <v>2106</v>
      </c>
    </row>
    <row r="661" spans="2:6">
      <c r="B661" s="24" t="s">
        <v>653</v>
      </c>
      <c r="C661" s="25">
        <v>9</v>
      </c>
      <c r="D661" s="25" t="s">
        <v>1429</v>
      </c>
      <c r="E661" t="s">
        <v>1413</v>
      </c>
      <c r="F661" s="25" t="s">
        <v>2107</v>
      </c>
    </row>
    <row r="662" spans="2:6">
      <c r="B662" s="24" t="s">
        <v>654</v>
      </c>
      <c r="C662" s="25">
        <v>2</v>
      </c>
      <c r="D662" s="25" t="s">
        <v>1414</v>
      </c>
      <c r="E662" t="s">
        <v>1413</v>
      </c>
      <c r="F662" s="25" t="s">
        <v>2108</v>
      </c>
    </row>
    <row r="663" spans="2:6">
      <c r="B663" s="24" t="s">
        <v>655</v>
      </c>
      <c r="C663" s="25">
        <v>9</v>
      </c>
      <c r="D663" s="25" t="s">
        <v>1429</v>
      </c>
      <c r="E663" t="s">
        <v>1413</v>
      </c>
      <c r="F663" s="25" t="s">
        <v>2109</v>
      </c>
    </row>
    <row r="664" spans="2:6">
      <c r="B664" s="24" t="s">
        <v>656</v>
      </c>
      <c r="C664" s="25">
        <v>12</v>
      </c>
      <c r="D664" s="25" t="s">
        <v>1435</v>
      </c>
      <c r="E664" t="s">
        <v>1413</v>
      </c>
      <c r="F664" s="25" t="s">
        <v>2110</v>
      </c>
    </row>
    <row r="665" spans="2:6">
      <c r="B665" s="24" t="s">
        <v>657</v>
      </c>
      <c r="C665" s="25">
        <v>6</v>
      </c>
      <c r="D665" s="25" t="s">
        <v>1423</v>
      </c>
      <c r="E665" t="s">
        <v>1416</v>
      </c>
      <c r="F665" s="25" t="s">
        <v>2111</v>
      </c>
    </row>
    <row r="666" spans="2:6">
      <c r="B666" s="24" t="s">
        <v>658</v>
      </c>
      <c r="C666" s="25">
        <v>12</v>
      </c>
      <c r="D666" s="25" t="s">
        <v>1435</v>
      </c>
      <c r="E666" t="s">
        <v>1416</v>
      </c>
      <c r="F666" s="25" t="s">
        <v>2112</v>
      </c>
    </row>
    <row r="667" spans="2:6">
      <c r="B667" s="24" t="s">
        <v>659</v>
      </c>
      <c r="C667" s="25">
        <v>10</v>
      </c>
      <c r="D667" s="25" t="s">
        <v>1431</v>
      </c>
      <c r="E667" t="s">
        <v>1416</v>
      </c>
      <c r="F667" s="25" t="s">
        <v>2113</v>
      </c>
    </row>
    <row r="668" spans="2:6">
      <c r="B668" s="24" t="s">
        <v>660</v>
      </c>
      <c r="C668" s="25">
        <v>12</v>
      </c>
      <c r="D668" s="25" t="s">
        <v>1435</v>
      </c>
      <c r="E668" t="s">
        <v>1416</v>
      </c>
      <c r="F668" s="25" t="s">
        <v>2114</v>
      </c>
    </row>
    <row r="669" spans="2:6">
      <c r="B669" s="24" t="s">
        <v>661</v>
      </c>
      <c r="C669" s="25">
        <v>12</v>
      </c>
      <c r="D669" s="25" t="s">
        <v>1435</v>
      </c>
      <c r="E669" t="s">
        <v>1413</v>
      </c>
      <c r="F669" s="25" t="s">
        <v>2115</v>
      </c>
    </row>
    <row r="670" spans="2:6">
      <c r="B670" s="24" t="s">
        <v>662</v>
      </c>
      <c r="C670" s="25">
        <v>10</v>
      </c>
      <c r="D670" s="25" t="s">
        <v>1431</v>
      </c>
      <c r="E670" t="s">
        <v>1416</v>
      </c>
      <c r="F670" s="25" t="s">
        <v>2116</v>
      </c>
    </row>
    <row r="671" spans="2:6">
      <c r="B671" s="24" t="s">
        <v>663</v>
      </c>
      <c r="C671" s="25">
        <v>7</v>
      </c>
      <c r="D671" s="25" t="s">
        <v>1425</v>
      </c>
      <c r="E671" t="s">
        <v>1416</v>
      </c>
      <c r="F671" s="25" t="s">
        <v>2117</v>
      </c>
    </row>
    <row r="672" spans="2:6">
      <c r="B672" s="24" t="s">
        <v>664</v>
      </c>
      <c r="C672" s="25">
        <v>9</v>
      </c>
      <c r="D672" s="25" t="s">
        <v>1429</v>
      </c>
      <c r="E672" t="s">
        <v>1416</v>
      </c>
      <c r="F672" s="25" t="s">
        <v>2118</v>
      </c>
    </row>
    <row r="673" spans="2:6">
      <c r="B673" s="24" t="s">
        <v>665</v>
      </c>
      <c r="C673" s="25">
        <v>5</v>
      </c>
      <c r="D673" s="25" t="s">
        <v>1421</v>
      </c>
      <c r="E673" t="s">
        <v>1416</v>
      </c>
      <c r="F673" s="25" t="s">
        <v>2119</v>
      </c>
    </row>
    <row r="674" spans="2:6">
      <c r="B674" s="24" t="s">
        <v>666</v>
      </c>
      <c r="C674" s="25">
        <v>6</v>
      </c>
      <c r="D674" s="25" t="s">
        <v>1423</v>
      </c>
      <c r="E674" t="s">
        <v>1416</v>
      </c>
      <c r="F674" s="25" t="s">
        <v>2120</v>
      </c>
    </row>
    <row r="675" spans="2:6">
      <c r="B675" s="24" t="s">
        <v>667</v>
      </c>
      <c r="C675" s="25">
        <v>7</v>
      </c>
      <c r="D675" s="25" t="s">
        <v>1425</v>
      </c>
      <c r="E675" t="s">
        <v>1416</v>
      </c>
      <c r="F675" s="25" t="s">
        <v>2121</v>
      </c>
    </row>
    <row r="676" spans="2:6">
      <c r="B676" s="24" t="s">
        <v>668</v>
      </c>
      <c r="C676" s="25">
        <v>1</v>
      </c>
      <c r="D676" s="25" t="s">
        <v>79</v>
      </c>
      <c r="E676" t="s">
        <v>1416</v>
      </c>
      <c r="F676" s="25" t="s">
        <v>2122</v>
      </c>
    </row>
    <row r="677" spans="2:6">
      <c r="B677" s="24" t="s">
        <v>669</v>
      </c>
      <c r="C677" s="25">
        <v>3</v>
      </c>
      <c r="D677" s="25" t="s">
        <v>1417</v>
      </c>
      <c r="E677" t="s">
        <v>1416</v>
      </c>
      <c r="F677" s="25" t="s">
        <v>2123</v>
      </c>
    </row>
    <row r="678" spans="2:6">
      <c r="B678" s="24" t="s">
        <v>670</v>
      </c>
      <c r="C678" s="25">
        <v>13</v>
      </c>
      <c r="D678" s="25" t="s">
        <v>1437</v>
      </c>
      <c r="E678" t="s">
        <v>1413</v>
      </c>
      <c r="F678" s="25" t="s">
        <v>2124</v>
      </c>
    </row>
    <row r="679" spans="2:6">
      <c r="B679" s="24" t="s">
        <v>671</v>
      </c>
      <c r="C679" s="25">
        <v>6</v>
      </c>
      <c r="D679" s="25" t="s">
        <v>1423</v>
      </c>
      <c r="E679" t="s">
        <v>1416</v>
      </c>
      <c r="F679" s="25" t="s">
        <v>2125</v>
      </c>
    </row>
    <row r="680" spans="2:6">
      <c r="B680" s="24" t="s">
        <v>672</v>
      </c>
      <c r="C680" s="25">
        <v>10</v>
      </c>
      <c r="D680" s="25" t="s">
        <v>1431</v>
      </c>
      <c r="E680" t="s">
        <v>1416</v>
      </c>
      <c r="F680" s="25" t="s">
        <v>2126</v>
      </c>
    </row>
    <row r="681" spans="2:6">
      <c r="B681" s="24" t="s">
        <v>673</v>
      </c>
      <c r="C681" s="25">
        <v>7</v>
      </c>
      <c r="D681" s="25" t="s">
        <v>1425</v>
      </c>
      <c r="E681" t="s">
        <v>1416</v>
      </c>
      <c r="F681" s="25" t="s">
        <v>2127</v>
      </c>
    </row>
    <row r="682" spans="2:6">
      <c r="B682" s="24" t="s">
        <v>674</v>
      </c>
      <c r="C682" s="25">
        <v>10</v>
      </c>
      <c r="D682" s="25" t="s">
        <v>1431</v>
      </c>
      <c r="E682" t="s">
        <v>1416</v>
      </c>
      <c r="F682" s="25" t="s">
        <v>2128</v>
      </c>
    </row>
    <row r="683" spans="2:6">
      <c r="B683" s="24" t="s">
        <v>675</v>
      </c>
      <c r="C683" s="25">
        <v>1</v>
      </c>
      <c r="D683" s="25" t="s">
        <v>79</v>
      </c>
      <c r="E683" t="s">
        <v>1413</v>
      </c>
      <c r="F683" s="25" t="s">
        <v>2129</v>
      </c>
    </row>
    <row r="684" spans="2:6">
      <c r="B684" s="24" t="s">
        <v>676</v>
      </c>
      <c r="C684" s="25">
        <v>1</v>
      </c>
      <c r="D684" s="25" t="s">
        <v>79</v>
      </c>
      <c r="E684" t="s">
        <v>1413</v>
      </c>
      <c r="F684" s="25" t="s">
        <v>2129</v>
      </c>
    </row>
    <row r="685" spans="2:6">
      <c r="B685" t="s">
        <v>477</v>
      </c>
      <c r="C685">
        <v>13</v>
      </c>
      <c r="D685" t="s">
        <v>1437</v>
      </c>
      <c r="E685" t="s">
        <v>1413</v>
      </c>
      <c r="F685" t="s">
        <v>2130</v>
      </c>
    </row>
    <row r="686" spans="2:6">
      <c r="B686" t="s">
        <v>478</v>
      </c>
      <c r="C686">
        <v>4</v>
      </c>
      <c r="D686" t="s">
        <v>85</v>
      </c>
      <c r="E686" t="s">
        <v>1416</v>
      </c>
      <c r="F686" t="s">
        <v>2023</v>
      </c>
    </row>
    <row r="687" spans="2:6">
      <c r="B687" t="s">
        <v>479</v>
      </c>
      <c r="C687">
        <v>9</v>
      </c>
      <c r="D687" t="s">
        <v>1429</v>
      </c>
      <c r="E687" t="s">
        <v>1416</v>
      </c>
      <c r="F687" t="s">
        <v>2131</v>
      </c>
    </row>
    <row r="688" spans="2:6">
      <c r="B688" t="s">
        <v>480</v>
      </c>
      <c r="C688">
        <v>14</v>
      </c>
      <c r="D688" t="s">
        <v>1439</v>
      </c>
      <c r="E688" t="s">
        <v>1413</v>
      </c>
      <c r="F688" t="s">
        <v>2132</v>
      </c>
    </row>
    <row r="689" spans="2:6">
      <c r="B689" t="s">
        <v>481</v>
      </c>
      <c r="C689">
        <v>4</v>
      </c>
      <c r="D689" t="s">
        <v>85</v>
      </c>
      <c r="E689" t="s">
        <v>1416</v>
      </c>
      <c r="F689" t="s">
        <v>2133</v>
      </c>
    </row>
    <row r="690" spans="2:6">
      <c r="B690" t="s">
        <v>482</v>
      </c>
      <c r="C690">
        <v>3</v>
      </c>
      <c r="D690" t="s">
        <v>1417</v>
      </c>
      <c r="E690" t="s">
        <v>1416</v>
      </c>
      <c r="F690" t="s">
        <v>2134</v>
      </c>
    </row>
    <row r="691" spans="2:6">
      <c r="B691" t="s">
        <v>483</v>
      </c>
      <c r="C691">
        <v>8</v>
      </c>
      <c r="D691" t="s">
        <v>1427</v>
      </c>
      <c r="E691" t="s">
        <v>1416</v>
      </c>
      <c r="F691" t="s">
        <v>2135</v>
      </c>
    </row>
    <row r="692" spans="2:6">
      <c r="B692" t="s">
        <v>484</v>
      </c>
      <c r="C692">
        <v>1</v>
      </c>
      <c r="D692" t="s">
        <v>79</v>
      </c>
      <c r="E692" t="s">
        <v>1413</v>
      </c>
      <c r="F692" t="s">
        <v>2136</v>
      </c>
    </row>
    <row r="693" spans="2:6">
      <c r="B693" t="s">
        <v>485</v>
      </c>
      <c r="C693">
        <v>12</v>
      </c>
      <c r="D693" t="s">
        <v>1435</v>
      </c>
      <c r="E693" t="s">
        <v>1413</v>
      </c>
      <c r="F693" t="s">
        <v>2137</v>
      </c>
    </row>
    <row r="694" spans="2:6">
      <c r="B694" t="s">
        <v>486</v>
      </c>
      <c r="C694">
        <v>7</v>
      </c>
      <c r="D694" t="s">
        <v>1425</v>
      </c>
      <c r="E694" t="s">
        <v>1416</v>
      </c>
      <c r="F694" t="s">
        <v>2138</v>
      </c>
    </row>
    <row r="695" spans="2:6">
      <c r="B695" t="s">
        <v>487</v>
      </c>
      <c r="C695">
        <v>7</v>
      </c>
      <c r="D695" t="s">
        <v>1425</v>
      </c>
      <c r="E695" t="s">
        <v>1416</v>
      </c>
      <c r="F695" t="s">
        <v>2139</v>
      </c>
    </row>
    <row r="696" spans="2:6">
      <c r="B696" t="s">
        <v>488</v>
      </c>
      <c r="C696">
        <v>12</v>
      </c>
      <c r="D696" t="s">
        <v>1435</v>
      </c>
      <c r="E696" t="s">
        <v>1416</v>
      </c>
      <c r="F696" t="s">
        <v>2140</v>
      </c>
    </row>
    <row r="697" spans="2:6">
      <c r="B697" t="s">
        <v>489</v>
      </c>
      <c r="C697">
        <v>12</v>
      </c>
      <c r="D697" t="s">
        <v>1435</v>
      </c>
      <c r="E697" t="s">
        <v>1413</v>
      </c>
      <c r="F697" t="s">
        <v>2141</v>
      </c>
    </row>
    <row r="698" spans="2:6">
      <c r="B698" t="s">
        <v>490</v>
      </c>
      <c r="C698">
        <v>5</v>
      </c>
      <c r="D698" t="s">
        <v>1421</v>
      </c>
      <c r="E698" t="s">
        <v>1416</v>
      </c>
      <c r="F698" t="s">
        <v>2142</v>
      </c>
    </row>
    <row r="699" spans="2:6">
      <c r="B699" t="s">
        <v>491</v>
      </c>
      <c r="C699">
        <v>1</v>
      </c>
      <c r="D699" t="s">
        <v>79</v>
      </c>
      <c r="E699" t="s">
        <v>1416</v>
      </c>
      <c r="F699" t="s">
        <v>2143</v>
      </c>
    </row>
    <row r="700" spans="2:6">
      <c r="B700" t="s">
        <v>492</v>
      </c>
      <c r="C700">
        <v>8</v>
      </c>
      <c r="D700" t="s">
        <v>1427</v>
      </c>
      <c r="E700" t="s">
        <v>1416</v>
      </c>
      <c r="F700" t="s">
        <v>2144</v>
      </c>
    </row>
    <row r="701" spans="2:6">
      <c r="B701" t="s">
        <v>493</v>
      </c>
      <c r="C701">
        <v>5</v>
      </c>
      <c r="D701" t="s">
        <v>1421</v>
      </c>
      <c r="E701" t="s">
        <v>1419</v>
      </c>
      <c r="F701" t="s">
        <v>2145</v>
      </c>
    </row>
    <row r="702" spans="2:6">
      <c r="B702" t="s">
        <v>494</v>
      </c>
      <c r="C702">
        <v>3</v>
      </c>
      <c r="D702" t="s">
        <v>1417</v>
      </c>
      <c r="E702" t="s">
        <v>1416</v>
      </c>
      <c r="F702" t="s">
        <v>2146</v>
      </c>
    </row>
    <row r="703" spans="2:6">
      <c r="B703" t="s">
        <v>495</v>
      </c>
      <c r="C703">
        <v>1</v>
      </c>
      <c r="D703" t="s">
        <v>79</v>
      </c>
      <c r="E703" t="s">
        <v>1416</v>
      </c>
      <c r="F703" t="s">
        <v>2147</v>
      </c>
    </row>
    <row r="704" spans="2:6">
      <c r="B704" t="s">
        <v>496</v>
      </c>
      <c r="C704">
        <v>12</v>
      </c>
      <c r="D704" t="s">
        <v>1435</v>
      </c>
      <c r="E704" t="s">
        <v>1413</v>
      </c>
      <c r="F704" t="s">
        <v>2148</v>
      </c>
    </row>
    <row r="705" spans="2:6">
      <c r="B705" t="s">
        <v>497</v>
      </c>
      <c r="C705">
        <v>1</v>
      </c>
      <c r="D705" t="s">
        <v>79</v>
      </c>
      <c r="E705" t="s">
        <v>1416</v>
      </c>
      <c r="F705" t="s">
        <v>2149</v>
      </c>
    </row>
    <row r="706" spans="2:6">
      <c r="B706" t="s">
        <v>498</v>
      </c>
      <c r="C706">
        <v>14</v>
      </c>
      <c r="D706" t="s">
        <v>1439</v>
      </c>
      <c r="E706" t="s">
        <v>1416</v>
      </c>
      <c r="F706" t="s">
        <v>2150</v>
      </c>
    </row>
    <row r="707" spans="2:6">
      <c r="B707" t="s">
        <v>499</v>
      </c>
      <c r="C707">
        <v>6</v>
      </c>
      <c r="D707" t="s">
        <v>1423</v>
      </c>
      <c r="E707" t="s">
        <v>1416</v>
      </c>
      <c r="F707" t="s">
        <v>2151</v>
      </c>
    </row>
    <row r="708" spans="2:6">
      <c r="B708" t="s">
        <v>500</v>
      </c>
      <c r="C708">
        <v>13</v>
      </c>
      <c r="D708" t="s">
        <v>1437</v>
      </c>
      <c r="E708" t="s">
        <v>1413</v>
      </c>
      <c r="F708" t="s">
        <v>2152</v>
      </c>
    </row>
    <row r="709" spans="2:6">
      <c r="B709" t="s">
        <v>501</v>
      </c>
      <c r="C709">
        <v>2</v>
      </c>
      <c r="D709" t="s">
        <v>1414</v>
      </c>
      <c r="E709" t="s">
        <v>1413</v>
      </c>
      <c r="F709" t="s">
        <v>2153</v>
      </c>
    </row>
    <row r="710" spans="2:6">
      <c r="B710" t="s">
        <v>502</v>
      </c>
      <c r="C710">
        <v>9</v>
      </c>
      <c r="D710" t="s">
        <v>1429</v>
      </c>
      <c r="E710" t="s">
        <v>1416</v>
      </c>
      <c r="F710" t="s">
        <v>2154</v>
      </c>
    </row>
    <row r="711" spans="2:6">
      <c r="B711" t="s">
        <v>503</v>
      </c>
      <c r="C711">
        <v>6</v>
      </c>
      <c r="D711" t="s">
        <v>1423</v>
      </c>
      <c r="E711" t="s">
        <v>1416</v>
      </c>
      <c r="F711" t="s">
        <v>2155</v>
      </c>
    </row>
    <row r="712" spans="2:6">
      <c r="B712" t="s">
        <v>504</v>
      </c>
      <c r="C712">
        <v>3</v>
      </c>
      <c r="D712" t="s">
        <v>1417</v>
      </c>
      <c r="E712" t="s">
        <v>1416</v>
      </c>
      <c r="F712" t="s">
        <v>2156</v>
      </c>
    </row>
    <row r="713" spans="2:6">
      <c r="B713" t="s">
        <v>505</v>
      </c>
      <c r="C713">
        <v>12</v>
      </c>
      <c r="D713" t="s">
        <v>1435</v>
      </c>
      <c r="E713" t="s">
        <v>1416</v>
      </c>
      <c r="F713" t="s">
        <v>2157</v>
      </c>
    </row>
    <row r="714" spans="2:6">
      <c r="B714" t="s">
        <v>506</v>
      </c>
      <c r="C714">
        <v>14</v>
      </c>
      <c r="D714" t="s">
        <v>1439</v>
      </c>
      <c r="E714" t="s">
        <v>1416</v>
      </c>
      <c r="F714" t="s">
        <v>2158</v>
      </c>
    </row>
    <row r="715" spans="2:6">
      <c r="B715" t="s">
        <v>507</v>
      </c>
      <c r="C715">
        <v>9</v>
      </c>
      <c r="D715" t="s">
        <v>1429</v>
      </c>
      <c r="E715" t="s">
        <v>1416</v>
      </c>
      <c r="F715" t="s">
        <v>2159</v>
      </c>
    </row>
    <row r="716" spans="2:6">
      <c r="B716" t="s">
        <v>508</v>
      </c>
      <c r="C716">
        <v>3</v>
      </c>
      <c r="D716" t="s">
        <v>1417</v>
      </c>
      <c r="E716" t="s">
        <v>1413</v>
      </c>
      <c r="F716" t="s">
        <v>2160</v>
      </c>
    </row>
    <row r="717" spans="2:6">
      <c r="B717" t="s">
        <v>509</v>
      </c>
      <c r="C717">
        <v>1</v>
      </c>
      <c r="D717" t="s">
        <v>79</v>
      </c>
      <c r="E717" t="s">
        <v>1416</v>
      </c>
      <c r="F717" t="s">
        <v>2161</v>
      </c>
    </row>
    <row r="718" spans="2:6">
      <c r="B718" t="s">
        <v>510</v>
      </c>
      <c r="C718">
        <v>6</v>
      </c>
      <c r="D718" t="s">
        <v>1423</v>
      </c>
      <c r="E718" t="s">
        <v>1413</v>
      </c>
      <c r="F718" t="s">
        <v>2162</v>
      </c>
    </row>
    <row r="719" spans="2:6">
      <c r="B719" t="s">
        <v>511</v>
      </c>
      <c r="C719">
        <v>1</v>
      </c>
      <c r="D719" t="s">
        <v>79</v>
      </c>
      <c r="E719" t="s">
        <v>1416</v>
      </c>
      <c r="F719" t="s">
        <v>2163</v>
      </c>
    </row>
    <row r="720" spans="2:6">
      <c r="B720" t="s">
        <v>512</v>
      </c>
      <c r="C720">
        <v>7</v>
      </c>
      <c r="D720" t="s">
        <v>1425</v>
      </c>
      <c r="E720" t="s">
        <v>1416</v>
      </c>
      <c r="F720" t="s">
        <v>2018</v>
      </c>
    </row>
    <row r="721" spans="2:6">
      <c r="B721" t="s">
        <v>513</v>
      </c>
      <c r="C721">
        <v>5</v>
      </c>
      <c r="D721" t="s">
        <v>1421</v>
      </c>
      <c r="E721" t="s">
        <v>1416</v>
      </c>
      <c r="F721" t="s">
        <v>2164</v>
      </c>
    </row>
    <row r="722" spans="2:6">
      <c r="B722" t="s">
        <v>514</v>
      </c>
      <c r="C722">
        <v>2</v>
      </c>
      <c r="D722" t="s">
        <v>1414</v>
      </c>
      <c r="E722" t="s">
        <v>1416</v>
      </c>
      <c r="F722" t="s">
        <v>2165</v>
      </c>
    </row>
    <row r="723" spans="2:6">
      <c r="B723" t="s">
        <v>515</v>
      </c>
      <c r="C723">
        <v>9</v>
      </c>
      <c r="D723" t="s">
        <v>1429</v>
      </c>
      <c r="E723" t="s">
        <v>1416</v>
      </c>
      <c r="F723" t="s">
        <v>2166</v>
      </c>
    </row>
    <row r="724" spans="2:6">
      <c r="B724" t="s">
        <v>516</v>
      </c>
      <c r="C724">
        <v>9</v>
      </c>
      <c r="D724" t="s">
        <v>1429</v>
      </c>
      <c r="E724" t="s">
        <v>1413</v>
      </c>
      <c r="F724" t="s">
        <v>2167</v>
      </c>
    </row>
    <row r="725" spans="2:6">
      <c r="B725" t="s">
        <v>517</v>
      </c>
      <c r="C725">
        <v>9</v>
      </c>
      <c r="D725" t="s">
        <v>1429</v>
      </c>
      <c r="E725" t="s">
        <v>1416</v>
      </c>
      <c r="F725" t="s">
        <v>2168</v>
      </c>
    </row>
    <row r="726" spans="2:6">
      <c r="B726" t="s">
        <v>518</v>
      </c>
      <c r="C726">
        <v>1</v>
      </c>
      <c r="D726" t="s">
        <v>79</v>
      </c>
      <c r="E726" t="s">
        <v>1416</v>
      </c>
      <c r="F726" t="s">
        <v>2169</v>
      </c>
    </row>
    <row r="727" spans="2:6">
      <c r="B727" t="s">
        <v>519</v>
      </c>
      <c r="C727">
        <v>14</v>
      </c>
      <c r="D727" t="s">
        <v>1439</v>
      </c>
      <c r="E727" t="s">
        <v>1413</v>
      </c>
      <c r="F727" t="s">
        <v>2170</v>
      </c>
    </row>
    <row r="728" spans="2:6">
      <c r="B728" t="s">
        <v>520</v>
      </c>
      <c r="C728">
        <v>6</v>
      </c>
      <c r="D728" t="s">
        <v>1423</v>
      </c>
      <c r="E728" t="s">
        <v>1419</v>
      </c>
      <c r="F728" t="s">
        <v>2171</v>
      </c>
    </row>
    <row r="729" spans="2:6">
      <c r="B729" t="s">
        <v>521</v>
      </c>
      <c r="C729">
        <v>8</v>
      </c>
      <c r="D729" t="s">
        <v>1427</v>
      </c>
      <c r="E729" t="s">
        <v>1416</v>
      </c>
      <c r="F729" t="s">
        <v>2172</v>
      </c>
    </row>
    <row r="730" spans="2:6">
      <c r="B730" t="s">
        <v>522</v>
      </c>
      <c r="C730">
        <v>5</v>
      </c>
      <c r="D730" t="s">
        <v>1421</v>
      </c>
      <c r="E730" t="s">
        <v>1416</v>
      </c>
      <c r="F730" t="s">
        <v>2173</v>
      </c>
    </row>
    <row r="731" spans="2:6">
      <c r="B731" t="s">
        <v>523</v>
      </c>
      <c r="C731">
        <v>5</v>
      </c>
      <c r="D731" t="s">
        <v>1421</v>
      </c>
      <c r="E731" t="s">
        <v>1416</v>
      </c>
      <c r="F731" t="s">
        <v>2174</v>
      </c>
    </row>
    <row r="732" spans="2:6">
      <c r="B732" t="s">
        <v>524</v>
      </c>
      <c r="C732">
        <v>9</v>
      </c>
      <c r="D732" t="s">
        <v>1429</v>
      </c>
      <c r="E732" t="s">
        <v>1416</v>
      </c>
      <c r="F732" t="s">
        <v>2175</v>
      </c>
    </row>
    <row r="733" spans="2:6">
      <c r="B733" t="s">
        <v>525</v>
      </c>
      <c r="C733">
        <v>3</v>
      </c>
      <c r="D733" t="s">
        <v>1417</v>
      </c>
      <c r="E733" t="s">
        <v>1416</v>
      </c>
      <c r="F733" t="s">
        <v>2176</v>
      </c>
    </row>
    <row r="734" spans="2:6">
      <c r="B734" t="s">
        <v>526</v>
      </c>
      <c r="C734">
        <v>2</v>
      </c>
      <c r="D734" t="s">
        <v>1414</v>
      </c>
      <c r="E734" t="s">
        <v>1416</v>
      </c>
      <c r="F734" t="s">
        <v>2177</v>
      </c>
    </row>
    <row r="735" spans="2:6">
      <c r="B735" t="s">
        <v>527</v>
      </c>
      <c r="C735">
        <v>1</v>
      </c>
      <c r="D735" t="s">
        <v>79</v>
      </c>
      <c r="E735" t="s">
        <v>1416</v>
      </c>
      <c r="F735" t="s">
        <v>2178</v>
      </c>
    </row>
    <row r="736" spans="2:6">
      <c r="B736" t="s">
        <v>528</v>
      </c>
      <c r="C736">
        <v>8</v>
      </c>
      <c r="D736" t="s">
        <v>1427</v>
      </c>
      <c r="E736" t="s">
        <v>1413</v>
      </c>
      <c r="F736" t="s">
        <v>2179</v>
      </c>
    </row>
    <row r="737" spans="2:6">
      <c r="B737" t="s">
        <v>529</v>
      </c>
      <c r="C737">
        <v>9</v>
      </c>
      <c r="D737" t="s">
        <v>1429</v>
      </c>
      <c r="E737" t="s">
        <v>1416</v>
      </c>
      <c r="F737" t="s">
        <v>2180</v>
      </c>
    </row>
    <row r="738" spans="2:6">
      <c r="B738" t="s">
        <v>530</v>
      </c>
      <c r="C738">
        <v>13</v>
      </c>
      <c r="D738" t="s">
        <v>1437</v>
      </c>
      <c r="E738" t="s">
        <v>1416</v>
      </c>
      <c r="F738" t="s">
        <v>2181</v>
      </c>
    </row>
    <row r="739" spans="2:6">
      <c r="B739" t="s">
        <v>531</v>
      </c>
      <c r="C739">
        <v>3</v>
      </c>
      <c r="D739" t="s">
        <v>1417</v>
      </c>
      <c r="E739" t="s">
        <v>1416</v>
      </c>
      <c r="F739" t="s">
        <v>2182</v>
      </c>
    </row>
    <row r="740" spans="2:6">
      <c r="B740" t="s">
        <v>532</v>
      </c>
      <c r="C740">
        <v>12</v>
      </c>
      <c r="D740" t="s">
        <v>1435</v>
      </c>
      <c r="E740" t="s">
        <v>1413</v>
      </c>
      <c r="F740" t="s">
        <v>2183</v>
      </c>
    </row>
    <row r="741" spans="2:6">
      <c r="B741" t="s">
        <v>533</v>
      </c>
      <c r="C741">
        <v>11</v>
      </c>
      <c r="D741" t="s">
        <v>1433</v>
      </c>
      <c r="E741" t="s">
        <v>1413</v>
      </c>
      <c r="F741" t="s">
        <v>2184</v>
      </c>
    </row>
    <row r="742" spans="2:6">
      <c r="B742" t="s">
        <v>534</v>
      </c>
      <c r="C742">
        <v>8</v>
      </c>
      <c r="D742" t="s">
        <v>1427</v>
      </c>
      <c r="E742" t="s">
        <v>1416</v>
      </c>
      <c r="F742" t="s">
        <v>2185</v>
      </c>
    </row>
    <row r="743" spans="2:6">
      <c r="B743" t="s">
        <v>535</v>
      </c>
      <c r="C743">
        <v>3</v>
      </c>
      <c r="D743" t="s">
        <v>1417</v>
      </c>
      <c r="E743" t="s">
        <v>1416</v>
      </c>
      <c r="F743" t="s">
        <v>2186</v>
      </c>
    </row>
    <row r="744" spans="2:6">
      <c r="B744" t="s">
        <v>536</v>
      </c>
      <c r="C744">
        <v>6</v>
      </c>
      <c r="D744" t="s">
        <v>1423</v>
      </c>
      <c r="E744" t="s">
        <v>1416</v>
      </c>
      <c r="F744" t="s">
        <v>2187</v>
      </c>
    </row>
    <row r="745" spans="2:6">
      <c r="B745" t="s">
        <v>537</v>
      </c>
      <c r="C745">
        <v>6</v>
      </c>
      <c r="D745" t="s">
        <v>1423</v>
      </c>
      <c r="E745" t="s">
        <v>1416</v>
      </c>
      <c r="F745" t="s">
        <v>2188</v>
      </c>
    </row>
    <row r="746" spans="2:6">
      <c r="B746" t="s">
        <v>538</v>
      </c>
      <c r="C746">
        <v>7</v>
      </c>
      <c r="D746" t="s">
        <v>1425</v>
      </c>
      <c r="E746" t="s">
        <v>1416</v>
      </c>
      <c r="F746" t="s">
        <v>2189</v>
      </c>
    </row>
    <row r="747" spans="2:6">
      <c r="B747" t="s">
        <v>539</v>
      </c>
      <c r="C747">
        <v>9</v>
      </c>
      <c r="D747" t="s">
        <v>1429</v>
      </c>
      <c r="E747" t="s">
        <v>1416</v>
      </c>
      <c r="F747" t="s">
        <v>2190</v>
      </c>
    </row>
    <row r="748" spans="2:6">
      <c r="B748" t="s">
        <v>540</v>
      </c>
      <c r="C748">
        <v>2</v>
      </c>
      <c r="D748" t="s">
        <v>1414</v>
      </c>
      <c r="E748" t="s">
        <v>1416</v>
      </c>
      <c r="F748" t="s">
        <v>2191</v>
      </c>
    </row>
    <row r="749" spans="2:6">
      <c r="B749" t="s">
        <v>541</v>
      </c>
      <c r="C749">
        <v>11</v>
      </c>
      <c r="D749" t="s">
        <v>1433</v>
      </c>
      <c r="E749" t="s">
        <v>1413</v>
      </c>
      <c r="F749" t="s">
        <v>2192</v>
      </c>
    </row>
    <row r="750" spans="2:6">
      <c r="B750" t="s">
        <v>542</v>
      </c>
      <c r="C750">
        <v>4</v>
      </c>
      <c r="D750" t="s">
        <v>85</v>
      </c>
      <c r="E750" t="s">
        <v>1413</v>
      </c>
      <c r="F750" t="s">
        <v>2193</v>
      </c>
    </row>
    <row r="751" spans="2:6">
      <c r="B751" t="s">
        <v>543</v>
      </c>
      <c r="C751">
        <v>9</v>
      </c>
      <c r="D751" t="s">
        <v>1429</v>
      </c>
      <c r="E751" t="s">
        <v>1416</v>
      </c>
      <c r="F751" t="s">
        <v>2194</v>
      </c>
    </row>
    <row r="752" spans="2:6">
      <c r="B752" t="s">
        <v>544</v>
      </c>
      <c r="C752">
        <v>7</v>
      </c>
      <c r="D752" t="s">
        <v>1425</v>
      </c>
      <c r="E752" t="s">
        <v>1413</v>
      </c>
      <c r="F752" t="s">
        <v>2195</v>
      </c>
    </row>
    <row r="753" spans="2:6">
      <c r="B753" t="s">
        <v>545</v>
      </c>
      <c r="C753">
        <v>1</v>
      </c>
      <c r="D753" t="s">
        <v>79</v>
      </c>
      <c r="E753" t="s">
        <v>1416</v>
      </c>
      <c r="F753" t="s">
        <v>2196</v>
      </c>
    </row>
    <row r="754" spans="2:6">
      <c r="B754" t="s">
        <v>546</v>
      </c>
      <c r="C754">
        <v>10</v>
      </c>
      <c r="D754" t="s">
        <v>1431</v>
      </c>
      <c r="E754" t="s">
        <v>1413</v>
      </c>
      <c r="F754" t="s">
        <v>2197</v>
      </c>
    </row>
    <row r="755" spans="2:6">
      <c r="B755" t="s">
        <v>547</v>
      </c>
      <c r="C755">
        <v>13</v>
      </c>
      <c r="D755" t="s">
        <v>1437</v>
      </c>
      <c r="E755" t="s">
        <v>1416</v>
      </c>
      <c r="F755" t="s">
        <v>2198</v>
      </c>
    </row>
    <row r="756" spans="2:6">
      <c r="B756" t="s">
        <v>548</v>
      </c>
      <c r="C756">
        <v>13</v>
      </c>
      <c r="D756" t="s">
        <v>1437</v>
      </c>
      <c r="E756" t="s">
        <v>1416</v>
      </c>
      <c r="F756" t="s">
        <v>2199</v>
      </c>
    </row>
    <row r="757" spans="2:6">
      <c r="B757" t="s">
        <v>549</v>
      </c>
      <c r="C757">
        <v>4</v>
      </c>
      <c r="D757" t="s">
        <v>85</v>
      </c>
      <c r="E757" t="s">
        <v>1416</v>
      </c>
      <c r="F757" t="s">
        <v>2200</v>
      </c>
    </row>
    <row r="758" spans="2:6">
      <c r="B758" t="s">
        <v>550</v>
      </c>
      <c r="C758">
        <v>1</v>
      </c>
      <c r="D758" t="s">
        <v>79</v>
      </c>
      <c r="E758" t="s">
        <v>1416</v>
      </c>
      <c r="F758" t="s">
        <v>2201</v>
      </c>
    </row>
    <row r="759" spans="2:6">
      <c r="B759" t="s">
        <v>551</v>
      </c>
      <c r="C759">
        <v>5</v>
      </c>
      <c r="D759" t="s">
        <v>1421</v>
      </c>
      <c r="E759" t="s">
        <v>1416</v>
      </c>
      <c r="F759" t="s">
        <v>2202</v>
      </c>
    </row>
    <row r="760" spans="2:6">
      <c r="B760" t="s">
        <v>552</v>
      </c>
      <c r="C760">
        <v>12</v>
      </c>
      <c r="D760" t="s">
        <v>1435</v>
      </c>
      <c r="E760" t="s">
        <v>1413</v>
      </c>
      <c r="F760" t="s">
        <v>2203</v>
      </c>
    </row>
    <row r="761" spans="2:6">
      <c r="B761" t="s">
        <v>553</v>
      </c>
      <c r="C761">
        <v>6</v>
      </c>
      <c r="D761" t="s">
        <v>1423</v>
      </c>
      <c r="E761" t="s">
        <v>1416</v>
      </c>
      <c r="F761" t="s">
        <v>2204</v>
      </c>
    </row>
    <row r="762" spans="2:6">
      <c r="B762" t="s">
        <v>554</v>
      </c>
      <c r="C762">
        <v>6</v>
      </c>
      <c r="D762" t="s">
        <v>1423</v>
      </c>
      <c r="E762" t="s">
        <v>1413</v>
      </c>
      <c r="F762" t="s">
        <v>2205</v>
      </c>
    </row>
    <row r="763" spans="2:6">
      <c r="B763" t="s">
        <v>555</v>
      </c>
      <c r="C763">
        <v>11</v>
      </c>
      <c r="D763" t="s">
        <v>1433</v>
      </c>
      <c r="E763" t="s">
        <v>1416</v>
      </c>
      <c r="F763" t="s">
        <v>2206</v>
      </c>
    </row>
    <row r="764" spans="2:6">
      <c r="B764" t="s">
        <v>556</v>
      </c>
      <c r="C764">
        <v>1</v>
      </c>
      <c r="D764" t="s">
        <v>79</v>
      </c>
      <c r="E764" t="s">
        <v>1413</v>
      </c>
      <c r="F764" t="s">
        <v>2207</v>
      </c>
    </row>
    <row r="765" spans="2:6">
      <c r="B765" t="s">
        <v>557</v>
      </c>
      <c r="C765">
        <v>12</v>
      </c>
      <c r="D765" t="s">
        <v>1435</v>
      </c>
      <c r="E765" t="s">
        <v>1416</v>
      </c>
      <c r="F765" t="s">
        <v>2208</v>
      </c>
    </row>
    <row r="766" spans="2:6">
      <c r="B766" t="s">
        <v>558</v>
      </c>
      <c r="C766">
        <v>9</v>
      </c>
      <c r="D766" t="s">
        <v>1429</v>
      </c>
      <c r="E766" t="s">
        <v>1416</v>
      </c>
      <c r="F766" t="s">
        <v>2209</v>
      </c>
    </row>
    <row r="767" spans="2:6">
      <c r="B767" t="s">
        <v>559</v>
      </c>
      <c r="C767">
        <v>3</v>
      </c>
      <c r="D767" t="s">
        <v>1417</v>
      </c>
      <c r="E767" t="s">
        <v>1419</v>
      </c>
      <c r="F767" t="s">
        <v>2210</v>
      </c>
    </row>
    <row r="768" spans="2:6">
      <c r="B768" t="s">
        <v>560</v>
      </c>
      <c r="C768">
        <v>12</v>
      </c>
      <c r="D768" t="s">
        <v>1435</v>
      </c>
      <c r="E768" t="s">
        <v>1413</v>
      </c>
      <c r="F768" t="s">
        <v>2211</v>
      </c>
    </row>
    <row r="769" spans="2:6">
      <c r="B769" t="s">
        <v>561</v>
      </c>
      <c r="C769">
        <v>3</v>
      </c>
      <c r="D769" t="s">
        <v>1417</v>
      </c>
      <c r="E769" t="s">
        <v>1413</v>
      </c>
      <c r="F769" t="s">
        <v>2212</v>
      </c>
    </row>
    <row r="770" spans="2:6">
      <c r="B770" t="s">
        <v>562</v>
      </c>
      <c r="C770">
        <v>9</v>
      </c>
      <c r="D770" t="s">
        <v>1429</v>
      </c>
      <c r="E770" t="s">
        <v>1413</v>
      </c>
      <c r="F770" t="s">
        <v>2213</v>
      </c>
    </row>
    <row r="771" spans="2:6">
      <c r="B771" t="s">
        <v>563</v>
      </c>
      <c r="C771">
        <v>2</v>
      </c>
      <c r="D771" t="s">
        <v>1414</v>
      </c>
      <c r="E771" t="s">
        <v>1416</v>
      </c>
      <c r="F771" t="s">
        <v>2214</v>
      </c>
    </row>
    <row r="772" spans="2:6">
      <c r="B772" t="s">
        <v>564</v>
      </c>
      <c r="C772">
        <v>12</v>
      </c>
      <c r="D772" t="s">
        <v>1435</v>
      </c>
      <c r="E772" t="s">
        <v>1416</v>
      </c>
      <c r="F772" t="s">
        <v>2215</v>
      </c>
    </row>
    <row r="773" spans="2:6">
      <c r="B773" t="s">
        <v>565</v>
      </c>
      <c r="C773">
        <v>13</v>
      </c>
      <c r="D773" t="s">
        <v>1437</v>
      </c>
      <c r="E773" t="s">
        <v>1413</v>
      </c>
      <c r="F773" t="s">
        <v>2216</v>
      </c>
    </row>
    <row r="774" spans="2:6">
      <c r="B774" t="s">
        <v>566</v>
      </c>
      <c r="C774">
        <v>8</v>
      </c>
      <c r="D774" t="s">
        <v>1427</v>
      </c>
      <c r="E774" t="s">
        <v>1416</v>
      </c>
      <c r="F774" t="s">
        <v>2217</v>
      </c>
    </row>
    <row r="775" spans="2:6">
      <c r="B775" t="s">
        <v>567</v>
      </c>
      <c r="C775">
        <v>13</v>
      </c>
      <c r="D775" t="s">
        <v>1437</v>
      </c>
      <c r="E775" t="s">
        <v>1413</v>
      </c>
      <c r="F775" t="s">
        <v>2218</v>
      </c>
    </row>
    <row r="776" spans="2:6">
      <c r="B776" t="s">
        <v>568</v>
      </c>
      <c r="C776">
        <v>3</v>
      </c>
      <c r="D776" t="s">
        <v>1417</v>
      </c>
      <c r="E776" t="s">
        <v>1416</v>
      </c>
      <c r="F776" t="s">
        <v>2219</v>
      </c>
    </row>
    <row r="777" spans="2:6">
      <c r="B777" t="s">
        <v>569</v>
      </c>
      <c r="C777">
        <v>6</v>
      </c>
      <c r="D777" t="s">
        <v>1423</v>
      </c>
      <c r="E777" t="s">
        <v>1416</v>
      </c>
      <c r="F777" t="s">
        <v>2220</v>
      </c>
    </row>
    <row r="778" spans="2:6">
      <c r="B778" t="s">
        <v>570</v>
      </c>
      <c r="C778">
        <v>6</v>
      </c>
      <c r="D778" t="s">
        <v>1423</v>
      </c>
      <c r="E778" t="s">
        <v>1416</v>
      </c>
      <c r="F778" t="s">
        <v>2221</v>
      </c>
    </row>
    <row r="779" spans="2:6">
      <c r="B779" t="s">
        <v>571</v>
      </c>
      <c r="C779">
        <v>12</v>
      </c>
      <c r="D779" t="s">
        <v>1435</v>
      </c>
      <c r="E779" t="s">
        <v>1416</v>
      </c>
      <c r="F779" t="s">
        <v>2222</v>
      </c>
    </row>
    <row r="780" spans="2:6">
      <c r="B780" t="s">
        <v>572</v>
      </c>
      <c r="C780">
        <v>2</v>
      </c>
      <c r="D780" t="s">
        <v>1414</v>
      </c>
      <c r="E780" t="s">
        <v>1416</v>
      </c>
      <c r="F780" t="s">
        <v>2223</v>
      </c>
    </row>
    <row r="781" spans="2:6">
      <c r="B781" t="s">
        <v>573</v>
      </c>
      <c r="C781">
        <v>12</v>
      </c>
      <c r="D781" t="s">
        <v>1435</v>
      </c>
      <c r="E781" t="s">
        <v>1416</v>
      </c>
      <c r="F781" t="s">
        <v>2224</v>
      </c>
    </row>
    <row r="782" spans="2:6">
      <c r="B782" t="s">
        <v>574</v>
      </c>
      <c r="C782">
        <v>1</v>
      </c>
      <c r="D782" t="s">
        <v>79</v>
      </c>
      <c r="E782" t="s">
        <v>1416</v>
      </c>
      <c r="F782" t="s">
        <v>2225</v>
      </c>
    </row>
    <row r="783" spans="2:6">
      <c r="B783" t="s">
        <v>575</v>
      </c>
      <c r="C783">
        <v>4</v>
      </c>
      <c r="D783" t="s">
        <v>85</v>
      </c>
      <c r="E783" t="s">
        <v>1416</v>
      </c>
      <c r="F783" t="s">
        <v>2226</v>
      </c>
    </row>
    <row r="784" spans="2:6">
      <c r="B784" t="s">
        <v>576</v>
      </c>
      <c r="C784">
        <v>3</v>
      </c>
      <c r="D784" t="s">
        <v>1417</v>
      </c>
      <c r="E784" t="s">
        <v>1416</v>
      </c>
      <c r="F784" t="s">
        <v>2227</v>
      </c>
    </row>
    <row r="785" spans="2:6">
      <c r="B785" s="24" t="s">
        <v>377</v>
      </c>
      <c r="C785" s="25">
        <v>10</v>
      </c>
      <c r="D785" s="25" t="s">
        <v>1431</v>
      </c>
      <c r="E785" t="s">
        <v>1413</v>
      </c>
      <c r="F785" s="25" t="s">
        <v>2228</v>
      </c>
    </row>
    <row r="786" spans="2:6">
      <c r="B786" s="24" t="s">
        <v>378</v>
      </c>
      <c r="C786" s="25">
        <v>3</v>
      </c>
      <c r="D786" s="25" t="s">
        <v>1417</v>
      </c>
      <c r="E786" t="s">
        <v>1413</v>
      </c>
      <c r="F786" s="25" t="s">
        <v>2229</v>
      </c>
    </row>
    <row r="787" spans="2:6">
      <c r="B787" s="24" t="s">
        <v>379</v>
      </c>
      <c r="C787" s="25">
        <v>9</v>
      </c>
      <c r="D787" s="25" t="s">
        <v>1429</v>
      </c>
      <c r="E787" t="s">
        <v>1413</v>
      </c>
      <c r="F787" s="25" t="s">
        <v>2230</v>
      </c>
    </row>
    <row r="788" spans="2:6">
      <c r="B788" s="24" t="s">
        <v>380</v>
      </c>
      <c r="C788" s="25">
        <v>12</v>
      </c>
      <c r="D788" s="25" t="s">
        <v>1435</v>
      </c>
      <c r="E788" t="s">
        <v>1416</v>
      </c>
      <c r="F788" s="25" t="s">
        <v>2231</v>
      </c>
    </row>
    <row r="789" spans="2:6">
      <c r="B789" s="24" t="s">
        <v>381</v>
      </c>
      <c r="C789" s="25">
        <v>12</v>
      </c>
      <c r="D789" s="25" t="s">
        <v>1435</v>
      </c>
      <c r="E789" t="s">
        <v>1413</v>
      </c>
      <c r="F789" s="25" t="s">
        <v>2232</v>
      </c>
    </row>
    <row r="790" spans="2:6">
      <c r="B790" s="24" t="s">
        <v>382</v>
      </c>
      <c r="C790" s="25">
        <v>2</v>
      </c>
      <c r="D790" s="25" t="s">
        <v>1414</v>
      </c>
      <c r="E790" t="s">
        <v>1416</v>
      </c>
      <c r="F790" s="25" t="s">
        <v>2233</v>
      </c>
    </row>
    <row r="791" spans="2:6">
      <c r="B791" s="24" t="s">
        <v>383</v>
      </c>
      <c r="C791" s="25">
        <v>1</v>
      </c>
      <c r="D791" s="25" t="s">
        <v>79</v>
      </c>
      <c r="E791" t="s">
        <v>1416</v>
      </c>
      <c r="F791" s="25" t="s">
        <v>2234</v>
      </c>
    </row>
    <row r="792" spans="2:6">
      <c r="B792" s="24" t="s">
        <v>384</v>
      </c>
      <c r="C792" s="25">
        <v>9</v>
      </c>
      <c r="D792" s="25" t="s">
        <v>1429</v>
      </c>
      <c r="E792" t="s">
        <v>1413</v>
      </c>
      <c r="F792" s="25" t="s">
        <v>2235</v>
      </c>
    </row>
    <row r="793" spans="2:6">
      <c r="B793" s="24" t="s">
        <v>385</v>
      </c>
      <c r="C793" s="25">
        <v>12</v>
      </c>
      <c r="D793" s="25" t="s">
        <v>1435</v>
      </c>
      <c r="E793" t="s">
        <v>1413</v>
      </c>
      <c r="F793" s="25" t="s">
        <v>2236</v>
      </c>
    </row>
    <row r="794" spans="2:6">
      <c r="B794" s="24" t="s">
        <v>386</v>
      </c>
      <c r="C794" s="25">
        <v>4</v>
      </c>
      <c r="D794" s="25" t="s">
        <v>85</v>
      </c>
      <c r="E794" t="s">
        <v>1416</v>
      </c>
      <c r="F794" s="25" t="s">
        <v>2237</v>
      </c>
    </row>
    <row r="795" spans="2:6">
      <c r="B795" s="24" t="s">
        <v>387</v>
      </c>
      <c r="C795" s="25">
        <v>12</v>
      </c>
      <c r="D795" s="25" t="s">
        <v>1435</v>
      </c>
      <c r="E795" t="s">
        <v>1416</v>
      </c>
      <c r="F795" s="25" t="s">
        <v>2238</v>
      </c>
    </row>
    <row r="796" spans="2:6">
      <c r="B796" s="24" t="s">
        <v>388</v>
      </c>
      <c r="C796" s="25">
        <v>2</v>
      </c>
      <c r="D796" s="25" t="s">
        <v>1414</v>
      </c>
      <c r="E796" t="s">
        <v>1416</v>
      </c>
      <c r="F796" s="25" t="s">
        <v>2239</v>
      </c>
    </row>
    <row r="797" spans="2:6">
      <c r="B797" s="24" t="s">
        <v>389</v>
      </c>
      <c r="C797" s="25">
        <v>10</v>
      </c>
      <c r="D797" s="25" t="s">
        <v>1431</v>
      </c>
      <c r="E797" t="s">
        <v>1416</v>
      </c>
      <c r="F797" s="25" t="s">
        <v>2240</v>
      </c>
    </row>
    <row r="798" spans="2:6">
      <c r="B798" s="24" t="s">
        <v>390</v>
      </c>
      <c r="C798" s="25">
        <v>5</v>
      </c>
      <c r="D798" s="25" t="s">
        <v>1421</v>
      </c>
      <c r="E798" t="s">
        <v>1416</v>
      </c>
      <c r="F798" s="25" t="s">
        <v>2241</v>
      </c>
    </row>
    <row r="799" spans="2:6">
      <c r="B799" s="24" t="s">
        <v>391</v>
      </c>
      <c r="C799" s="25">
        <v>6</v>
      </c>
      <c r="D799" s="25" t="s">
        <v>1423</v>
      </c>
      <c r="E799" t="s">
        <v>1413</v>
      </c>
      <c r="F799" s="25" t="s">
        <v>2242</v>
      </c>
    </row>
    <row r="800" spans="2:6">
      <c r="B800" s="24" t="s">
        <v>392</v>
      </c>
      <c r="C800" s="25">
        <v>9</v>
      </c>
      <c r="D800" s="25" t="s">
        <v>1429</v>
      </c>
      <c r="E800" t="s">
        <v>1416</v>
      </c>
      <c r="F800" s="25" t="s">
        <v>2243</v>
      </c>
    </row>
    <row r="801" spans="2:6">
      <c r="B801" s="24" t="s">
        <v>393</v>
      </c>
      <c r="C801" s="25">
        <v>6</v>
      </c>
      <c r="D801" s="25" t="s">
        <v>1423</v>
      </c>
      <c r="E801" t="s">
        <v>1416</v>
      </c>
      <c r="F801" s="25" t="s">
        <v>2244</v>
      </c>
    </row>
    <row r="802" spans="2:6">
      <c r="B802" s="24" t="s">
        <v>394</v>
      </c>
      <c r="C802" s="25">
        <v>1</v>
      </c>
      <c r="D802" s="25" t="s">
        <v>79</v>
      </c>
      <c r="E802" t="s">
        <v>1416</v>
      </c>
      <c r="F802" s="25" t="s">
        <v>2245</v>
      </c>
    </row>
    <row r="803" spans="2:6">
      <c r="B803" s="24" t="s">
        <v>395</v>
      </c>
      <c r="C803" s="25">
        <v>3</v>
      </c>
      <c r="D803" s="25" t="s">
        <v>1417</v>
      </c>
      <c r="E803" t="s">
        <v>1413</v>
      </c>
      <c r="F803" s="25" t="s">
        <v>2246</v>
      </c>
    </row>
    <row r="804" spans="2:6">
      <c r="B804" s="24" t="s">
        <v>396</v>
      </c>
      <c r="C804" s="25">
        <v>12</v>
      </c>
      <c r="D804" s="25" t="s">
        <v>1435</v>
      </c>
      <c r="E804" t="s">
        <v>1416</v>
      </c>
      <c r="F804" s="25" t="s">
        <v>2247</v>
      </c>
    </row>
    <row r="805" spans="2:6">
      <c r="B805" s="24" t="s">
        <v>397</v>
      </c>
      <c r="C805" s="25">
        <v>1</v>
      </c>
      <c r="D805" s="25" t="s">
        <v>79</v>
      </c>
      <c r="E805" t="s">
        <v>1416</v>
      </c>
      <c r="F805" s="25" t="s">
        <v>2248</v>
      </c>
    </row>
    <row r="806" spans="2:6">
      <c r="B806" s="24" t="s">
        <v>398</v>
      </c>
      <c r="C806" s="25">
        <v>12</v>
      </c>
      <c r="D806" s="25" t="s">
        <v>1435</v>
      </c>
      <c r="E806" t="s">
        <v>1413</v>
      </c>
      <c r="F806" s="25" t="s">
        <v>2249</v>
      </c>
    </row>
    <row r="807" spans="2:6">
      <c r="B807" s="24" t="s">
        <v>399</v>
      </c>
      <c r="C807" s="25">
        <v>1</v>
      </c>
      <c r="D807" s="25" t="s">
        <v>79</v>
      </c>
      <c r="E807" t="s">
        <v>1416</v>
      </c>
      <c r="F807" s="25" t="s">
        <v>2250</v>
      </c>
    </row>
    <row r="808" spans="2:6">
      <c r="B808" s="24" t="s">
        <v>400</v>
      </c>
      <c r="C808" s="25">
        <v>2</v>
      </c>
      <c r="D808" s="25" t="s">
        <v>1414</v>
      </c>
      <c r="E808" t="s">
        <v>1419</v>
      </c>
      <c r="F808" s="25" t="s">
        <v>2251</v>
      </c>
    </row>
    <row r="809" spans="2:6">
      <c r="B809" s="24" t="s">
        <v>401</v>
      </c>
      <c r="C809" s="25">
        <v>12</v>
      </c>
      <c r="D809" s="25" t="s">
        <v>1435</v>
      </c>
      <c r="E809" t="s">
        <v>1416</v>
      </c>
      <c r="F809" s="25" t="s">
        <v>2252</v>
      </c>
    </row>
    <row r="810" spans="2:6">
      <c r="B810" s="24" t="s">
        <v>402</v>
      </c>
      <c r="C810" s="25">
        <v>7</v>
      </c>
      <c r="D810" s="25" t="s">
        <v>1425</v>
      </c>
      <c r="E810" t="s">
        <v>1413</v>
      </c>
      <c r="F810" s="25" t="s">
        <v>2253</v>
      </c>
    </row>
    <row r="811" spans="2:6">
      <c r="B811" s="24" t="s">
        <v>403</v>
      </c>
      <c r="C811" s="25">
        <v>6</v>
      </c>
      <c r="D811" s="25" t="s">
        <v>1423</v>
      </c>
      <c r="E811" t="s">
        <v>1413</v>
      </c>
      <c r="F811" s="25" t="s">
        <v>2254</v>
      </c>
    </row>
    <row r="812" spans="2:6">
      <c r="B812" s="24" t="s">
        <v>404</v>
      </c>
      <c r="C812" s="25">
        <v>10</v>
      </c>
      <c r="D812" s="25" t="s">
        <v>1431</v>
      </c>
      <c r="E812" t="s">
        <v>1413</v>
      </c>
      <c r="F812" s="25" t="s">
        <v>2255</v>
      </c>
    </row>
    <row r="813" spans="2:6">
      <c r="B813" s="24" t="s">
        <v>405</v>
      </c>
      <c r="C813" s="25">
        <v>12</v>
      </c>
      <c r="D813" s="25" t="s">
        <v>1435</v>
      </c>
      <c r="E813" t="s">
        <v>1416</v>
      </c>
      <c r="F813" s="25" t="s">
        <v>2256</v>
      </c>
    </row>
    <row r="814" spans="2:6">
      <c r="B814" s="24" t="s">
        <v>406</v>
      </c>
      <c r="C814" s="25">
        <v>12</v>
      </c>
      <c r="D814" s="25" t="s">
        <v>1435</v>
      </c>
      <c r="E814" t="s">
        <v>1416</v>
      </c>
      <c r="F814" s="25" t="s">
        <v>2257</v>
      </c>
    </row>
    <row r="815" spans="2:6">
      <c r="B815" s="24" t="s">
        <v>407</v>
      </c>
      <c r="C815" s="25">
        <v>7</v>
      </c>
      <c r="D815" s="25" t="s">
        <v>1425</v>
      </c>
      <c r="E815" t="s">
        <v>1413</v>
      </c>
      <c r="F815" s="25" t="s">
        <v>2258</v>
      </c>
    </row>
    <row r="816" spans="2:6">
      <c r="B816" s="24" t="s">
        <v>408</v>
      </c>
      <c r="C816" s="25">
        <v>3</v>
      </c>
      <c r="D816" s="25" t="s">
        <v>1417</v>
      </c>
      <c r="E816" t="s">
        <v>1413</v>
      </c>
      <c r="F816" s="25" t="s">
        <v>2160</v>
      </c>
    </row>
    <row r="817" spans="2:6">
      <c r="B817" s="24" t="s">
        <v>409</v>
      </c>
      <c r="C817" s="25">
        <v>4</v>
      </c>
      <c r="D817" s="25" t="s">
        <v>85</v>
      </c>
      <c r="E817" t="s">
        <v>1416</v>
      </c>
      <c r="F817" s="25" t="s">
        <v>2259</v>
      </c>
    </row>
    <row r="818" spans="2:6">
      <c r="B818" s="24" t="s">
        <v>410</v>
      </c>
      <c r="C818" s="25">
        <v>10</v>
      </c>
      <c r="D818" s="25" t="s">
        <v>1431</v>
      </c>
      <c r="E818" t="s">
        <v>1413</v>
      </c>
      <c r="F818" s="25" t="s">
        <v>2260</v>
      </c>
    </row>
    <row r="819" spans="2:6">
      <c r="B819" s="24" t="s">
        <v>411</v>
      </c>
      <c r="C819" s="25">
        <v>12</v>
      </c>
      <c r="D819" s="25" t="s">
        <v>1435</v>
      </c>
      <c r="E819" t="s">
        <v>1416</v>
      </c>
      <c r="F819" s="25" t="s">
        <v>2261</v>
      </c>
    </row>
    <row r="820" spans="2:6">
      <c r="B820" s="24" t="s">
        <v>412</v>
      </c>
      <c r="C820" s="25">
        <v>1</v>
      </c>
      <c r="D820" s="25" t="s">
        <v>79</v>
      </c>
      <c r="E820" t="s">
        <v>1413</v>
      </c>
      <c r="F820" s="25" t="s">
        <v>2262</v>
      </c>
    </row>
    <row r="821" spans="2:6">
      <c r="B821" s="24" t="s">
        <v>413</v>
      </c>
      <c r="C821" s="25">
        <v>8</v>
      </c>
      <c r="D821" s="25" t="s">
        <v>1427</v>
      </c>
      <c r="E821" t="s">
        <v>1413</v>
      </c>
      <c r="F821" s="25" t="s">
        <v>2263</v>
      </c>
    </row>
    <row r="822" spans="2:6">
      <c r="B822" s="24" t="s">
        <v>414</v>
      </c>
      <c r="C822" s="25">
        <v>6</v>
      </c>
      <c r="D822" s="25" t="s">
        <v>1423</v>
      </c>
      <c r="E822" t="s">
        <v>1416</v>
      </c>
      <c r="F822" s="25" t="s">
        <v>2264</v>
      </c>
    </row>
    <row r="823" spans="2:6">
      <c r="B823" s="24" t="s">
        <v>415</v>
      </c>
      <c r="C823" s="25">
        <v>12</v>
      </c>
      <c r="D823" s="25" t="s">
        <v>1435</v>
      </c>
      <c r="E823" t="s">
        <v>1416</v>
      </c>
      <c r="F823" s="25" t="s">
        <v>2265</v>
      </c>
    </row>
    <row r="824" spans="2:6">
      <c r="B824" s="24" t="s">
        <v>416</v>
      </c>
      <c r="C824" s="25">
        <v>6</v>
      </c>
      <c r="D824" s="25" t="s">
        <v>1423</v>
      </c>
      <c r="E824" t="s">
        <v>1416</v>
      </c>
      <c r="F824" s="25" t="s">
        <v>2266</v>
      </c>
    </row>
    <row r="825" spans="2:6">
      <c r="B825" s="24" t="s">
        <v>417</v>
      </c>
      <c r="C825" s="25">
        <v>5</v>
      </c>
      <c r="D825" s="25" t="s">
        <v>1421</v>
      </c>
      <c r="E825" t="s">
        <v>1416</v>
      </c>
      <c r="F825" s="25" t="s">
        <v>2267</v>
      </c>
    </row>
    <row r="826" spans="2:6">
      <c r="B826" s="24" t="s">
        <v>418</v>
      </c>
      <c r="C826" s="25">
        <v>1</v>
      </c>
      <c r="D826" s="25" t="s">
        <v>79</v>
      </c>
      <c r="E826" t="s">
        <v>1416</v>
      </c>
      <c r="F826" s="25" t="s">
        <v>2268</v>
      </c>
    </row>
    <row r="827" spans="2:6">
      <c r="B827" s="24" t="s">
        <v>419</v>
      </c>
      <c r="C827" s="25">
        <v>5</v>
      </c>
      <c r="D827" s="25" t="s">
        <v>1421</v>
      </c>
      <c r="E827" t="s">
        <v>1416</v>
      </c>
      <c r="F827" s="25" t="s">
        <v>2269</v>
      </c>
    </row>
    <row r="828" spans="2:6">
      <c r="B828" s="24" t="s">
        <v>420</v>
      </c>
      <c r="C828" s="25">
        <v>5</v>
      </c>
      <c r="D828" s="25" t="s">
        <v>1421</v>
      </c>
      <c r="E828" t="s">
        <v>1416</v>
      </c>
      <c r="F828" s="25" t="s">
        <v>2164</v>
      </c>
    </row>
    <row r="829" spans="2:6">
      <c r="B829" s="24" t="s">
        <v>421</v>
      </c>
      <c r="C829" s="25">
        <v>8</v>
      </c>
      <c r="D829" s="25" t="s">
        <v>1427</v>
      </c>
      <c r="E829" t="s">
        <v>1416</v>
      </c>
      <c r="F829" s="25" t="s">
        <v>2270</v>
      </c>
    </row>
    <row r="830" spans="2:6">
      <c r="B830" s="24" t="s">
        <v>422</v>
      </c>
      <c r="C830" s="25">
        <v>6</v>
      </c>
      <c r="D830" s="25" t="s">
        <v>1423</v>
      </c>
      <c r="E830" t="s">
        <v>1416</v>
      </c>
      <c r="F830" s="25" t="s">
        <v>2271</v>
      </c>
    </row>
    <row r="831" spans="2:6">
      <c r="B831" s="24" t="s">
        <v>423</v>
      </c>
      <c r="C831" s="25">
        <v>2</v>
      </c>
      <c r="D831" s="25" t="s">
        <v>1414</v>
      </c>
      <c r="E831" t="s">
        <v>1416</v>
      </c>
      <c r="F831" s="25" t="s">
        <v>2272</v>
      </c>
    </row>
    <row r="832" spans="2:6">
      <c r="B832" s="24" t="s">
        <v>424</v>
      </c>
      <c r="C832" s="25">
        <v>1</v>
      </c>
      <c r="D832" s="25" t="s">
        <v>79</v>
      </c>
      <c r="E832" t="s">
        <v>1416</v>
      </c>
      <c r="F832" s="25" t="s">
        <v>2273</v>
      </c>
    </row>
    <row r="833" spans="2:6">
      <c r="B833" s="24" t="s">
        <v>425</v>
      </c>
      <c r="C833" s="25">
        <v>12</v>
      </c>
      <c r="D833" s="25" t="s">
        <v>1435</v>
      </c>
      <c r="E833" t="s">
        <v>1416</v>
      </c>
      <c r="F833" s="25" t="s">
        <v>2274</v>
      </c>
    </row>
    <row r="834" spans="2:6">
      <c r="B834" s="24" t="s">
        <v>426</v>
      </c>
      <c r="C834" s="25">
        <v>6</v>
      </c>
      <c r="D834" s="25" t="s">
        <v>1423</v>
      </c>
      <c r="E834" t="s">
        <v>1416</v>
      </c>
      <c r="F834" s="25" t="s">
        <v>2275</v>
      </c>
    </row>
    <row r="835" spans="2:6">
      <c r="B835" s="24" t="s">
        <v>427</v>
      </c>
      <c r="C835" s="25">
        <v>10</v>
      </c>
      <c r="D835" s="25" t="s">
        <v>1431</v>
      </c>
      <c r="E835" t="s">
        <v>1416</v>
      </c>
      <c r="F835" s="25" t="s">
        <v>2276</v>
      </c>
    </row>
    <row r="836" spans="2:6">
      <c r="B836" s="24" t="s">
        <v>428</v>
      </c>
      <c r="C836" s="25">
        <v>12</v>
      </c>
      <c r="D836" s="25" t="s">
        <v>1435</v>
      </c>
      <c r="E836" t="s">
        <v>1413</v>
      </c>
      <c r="F836" s="25" t="s">
        <v>2277</v>
      </c>
    </row>
    <row r="837" spans="2:6">
      <c r="B837" s="24" t="s">
        <v>429</v>
      </c>
      <c r="C837" s="25">
        <v>7</v>
      </c>
      <c r="D837" s="25" t="s">
        <v>1425</v>
      </c>
      <c r="E837" t="s">
        <v>1416</v>
      </c>
      <c r="F837" s="25" t="s">
        <v>2278</v>
      </c>
    </row>
    <row r="838" spans="2:6">
      <c r="B838" s="24" t="s">
        <v>430</v>
      </c>
      <c r="C838" s="25">
        <v>3</v>
      </c>
      <c r="D838" s="25" t="s">
        <v>1417</v>
      </c>
      <c r="E838" t="s">
        <v>1416</v>
      </c>
      <c r="F838" s="25" t="s">
        <v>2279</v>
      </c>
    </row>
    <row r="839" spans="2:6">
      <c r="B839" s="24" t="s">
        <v>431</v>
      </c>
      <c r="C839" s="25">
        <v>3</v>
      </c>
      <c r="D839" s="25" t="s">
        <v>1417</v>
      </c>
      <c r="E839" t="s">
        <v>1416</v>
      </c>
      <c r="F839" s="25" t="s">
        <v>2280</v>
      </c>
    </row>
    <row r="840" spans="2:6">
      <c r="B840" s="24" t="s">
        <v>432</v>
      </c>
      <c r="C840" s="25">
        <v>1</v>
      </c>
      <c r="D840" s="25" t="s">
        <v>79</v>
      </c>
      <c r="E840" t="s">
        <v>1416</v>
      </c>
      <c r="F840" s="25" t="s">
        <v>2207</v>
      </c>
    </row>
    <row r="841" spans="2:6">
      <c r="B841" s="24" t="s">
        <v>433</v>
      </c>
      <c r="C841" s="25">
        <v>11</v>
      </c>
      <c r="D841" s="25" t="s">
        <v>1433</v>
      </c>
      <c r="E841" t="s">
        <v>1413</v>
      </c>
      <c r="F841" s="25" t="s">
        <v>2281</v>
      </c>
    </row>
    <row r="842" spans="2:6">
      <c r="B842" s="24" t="s">
        <v>434</v>
      </c>
      <c r="C842" s="25">
        <v>6</v>
      </c>
      <c r="D842" s="25" t="s">
        <v>1423</v>
      </c>
      <c r="E842" t="s">
        <v>1416</v>
      </c>
      <c r="F842" s="25" t="s">
        <v>2282</v>
      </c>
    </row>
    <row r="843" spans="2:6">
      <c r="B843" s="24" t="s">
        <v>435</v>
      </c>
      <c r="C843" s="25">
        <v>12</v>
      </c>
      <c r="D843" s="25" t="s">
        <v>1435</v>
      </c>
      <c r="E843" t="s">
        <v>1413</v>
      </c>
      <c r="F843" s="25" t="s">
        <v>2283</v>
      </c>
    </row>
    <row r="844" spans="2:6">
      <c r="B844" s="24" t="s">
        <v>436</v>
      </c>
      <c r="C844" s="25">
        <v>9</v>
      </c>
      <c r="D844" s="25" t="s">
        <v>1429</v>
      </c>
      <c r="E844" t="s">
        <v>1413</v>
      </c>
      <c r="F844" s="25" t="s">
        <v>2284</v>
      </c>
    </row>
    <row r="845" spans="2:6">
      <c r="B845" s="24" t="s">
        <v>437</v>
      </c>
      <c r="C845" s="25">
        <v>6</v>
      </c>
      <c r="D845" s="25" t="s">
        <v>1423</v>
      </c>
      <c r="E845" t="s">
        <v>1416</v>
      </c>
      <c r="F845" s="25" t="s">
        <v>2285</v>
      </c>
    </row>
    <row r="846" spans="2:6">
      <c r="B846" s="24" t="s">
        <v>438</v>
      </c>
      <c r="C846" s="25">
        <v>10</v>
      </c>
      <c r="D846" s="25" t="s">
        <v>1431</v>
      </c>
      <c r="E846" t="s">
        <v>1413</v>
      </c>
      <c r="F846" s="25" t="s">
        <v>2286</v>
      </c>
    </row>
    <row r="847" spans="2:6">
      <c r="B847" s="24" t="s">
        <v>439</v>
      </c>
      <c r="C847" s="25">
        <v>9</v>
      </c>
      <c r="D847" s="25" t="s">
        <v>1429</v>
      </c>
      <c r="E847" t="s">
        <v>1416</v>
      </c>
      <c r="F847" s="25" t="s">
        <v>2287</v>
      </c>
    </row>
    <row r="848" spans="2:6">
      <c r="B848" s="24" t="s">
        <v>440</v>
      </c>
      <c r="C848" s="25">
        <v>5</v>
      </c>
      <c r="D848" s="25" t="s">
        <v>1421</v>
      </c>
      <c r="E848" t="s">
        <v>1416</v>
      </c>
      <c r="F848" s="25" t="s">
        <v>2288</v>
      </c>
    </row>
    <row r="849" spans="2:6">
      <c r="B849" s="24" t="s">
        <v>441</v>
      </c>
      <c r="C849" s="25">
        <v>8</v>
      </c>
      <c r="D849" s="25" t="s">
        <v>1427</v>
      </c>
      <c r="E849" t="s">
        <v>1416</v>
      </c>
      <c r="F849" s="25" t="s">
        <v>2289</v>
      </c>
    </row>
    <row r="850" spans="2:6">
      <c r="B850" s="24" t="s">
        <v>442</v>
      </c>
      <c r="C850" s="25">
        <v>7</v>
      </c>
      <c r="D850" s="25" t="s">
        <v>1425</v>
      </c>
      <c r="E850" t="s">
        <v>1419</v>
      </c>
      <c r="F850" s="25" t="s">
        <v>2290</v>
      </c>
    </row>
    <row r="851" spans="2:6">
      <c r="B851" s="24" t="s">
        <v>443</v>
      </c>
      <c r="C851" s="25">
        <v>1</v>
      </c>
      <c r="D851" s="25" t="s">
        <v>79</v>
      </c>
      <c r="E851" t="s">
        <v>1416</v>
      </c>
      <c r="F851" s="25" t="s">
        <v>2291</v>
      </c>
    </row>
    <row r="852" spans="2:6">
      <c r="B852" s="24" t="s">
        <v>444</v>
      </c>
      <c r="C852" s="25">
        <v>9</v>
      </c>
      <c r="D852" s="25" t="s">
        <v>1429</v>
      </c>
      <c r="E852" t="s">
        <v>1413</v>
      </c>
      <c r="F852" s="25" t="s">
        <v>2292</v>
      </c>
    </row>
    <row r="853" spans="2:6">
      <c r="B853" s="24" t="s">
        <v>445</v>
      </c>
      <c r="C853" s="25">
        <v>2</v>
      </c>
      <c r="D853" s="25" t="s">
        <v>1414</v>
      </c>
      <c r="E853" t="s">
        <v>1416</v>
      </c>
      <c r="F853" s="25" t="s">
        <v>2293</v>
      </c>
    </row>
    <row r="854" spans="2:6">
      <c r="B854" s="24" t="s">
        <v>446</v>
      </c>
      <c r="C854" s="25">
        <v>12</v>
      </c>
      <c r="D854" s="25" t="s">
        <v>1435</v>
      </c>
      <c r="E854" t="s">
        <v>1416</v>
      </c>
      <c r="F854" s="25" t="s">
        <v>2294</v>
      </c>
    </row>
    <row r="855" spans="2:6">
      <c r="B855" s="24" t="s">
        <v>447</v>
      </c>
      <c r="C855" s="25">
        <v>10</v>
      </c>
      <c r="D855" s="25" t="s">
        <v>1431</v>
      </c>
      <c r="E855" t="s">
        <v>1416</v>
      </c>
      <c r="F855" s="25" t="s">
        <v>2295</v>
      </c>
    </row>
    <row r="856" spans="2:6">
      <c r="B856" s="24" t="s">
        <v>448</v>
      </c>
      <c r="C856" s="25">
        <v>8</v>
      </c>
      <c r="D856" s="25" t="s">
        <v>1427</v>
      </c>
      <c r="E856" t="s">
        <v>1413</v>
      </c>
      <c r="F856" s="25" t="s">
        <v>2296</v>
      </c>
    </row>
    <row r="857" spans="2:6">
      <c r="B857" s="24" t="s">
        <v>449</v>
      </c>
      <c r="C857" s="25">
        <v>13</v>
      </c>
      <c r="D857" s="25" t="s">
        <v>1437</v>
      </c>
      <c r="E857" t="s">
        <v>1416</v>
      </c>
      <c r="F857" s="25" t="s">
        <v>2199</v>
      </c>
    </row>
    <row r="858" spans="2:6">
      <c r="B858" s="24" t="s">
        <v>450</v>
      </c>
      <c r="C858" s="25">
        <v>6</v>
      </c>
      <c r="D858" s="25" t="s">
        <v>1423</v>
      </c>
      <c r="E858" t="s">
        <v>1413</v>
      </c>
      <c r="F858" s="25" t="s">
        <v>2297</v>
      </c>
    </row>
    <row r="859" spans="2:6">
      <c r="B859" s="24" t="s">
        <v>451</v>
      </c>
      <c r="C859" s="25">
        <v>1</v>
      </c>
      <c r="D859" s="25" t="s">
        <v>79</v>
      </c>
      <c r="E859" t="s">
        <v>1416</v>
      </c>
      <c r="F859" s="25" t="s">
        <v>2298</v>
      </c>
    </row>
    <row r="860" spans="2:6">
      <c r="B860" s="24" t="s">
        <v>452</v>
      </c>
      <c r="C860" s="25">
        <v>5</v>
      </c>
      <c r="D860" s="25" t="s">
        <v>1421</v>
      </c>
      <c r="E860" t="s">
        <v>1416</v>
      </c>
      <c r="F860" s="25" t="s">
        <v>2299</v>
      </c>
    </row>
    <row r="861" spans="2:6">
      <c r="B861" s="24" t="s">
        <v>453</v>
      </c>
      <c r="C861" s="25">
        <v>6</v>
      </c>
      <c r="D861" s="25" t="s">
        <v>1423</v>
      </c>
      <c r="E861" t="s">
        <v>1416</v>
      </c>
      <c r="F861" s="25" t="s">
        <v>2300</v>
      </c>
    </row>
    <row r="862" spans="2:6">
      <c r="B862" s="24" t="s">
        <v>454</v>
      </c>
      <c r="C862" s="25">
        <v>3</v>
      </c>
      <c r="D862" s="25" t="s">
        <v>1417</v>
      </c>
      <c r="E862" t="s">
        <v>1416</v>
      </c>
      <c r="F862" s="25" t="s">
        <v>2301</v>
      </c>
    </row>
    <row r="863" spans="2:6">
      <c r="B863" s="24" t="s">
        <v>455</v>
      </c>
      <c r="C863" s="25">
        <v>1</v>
      </c>
      <c r="D863" s="25" t="s">
        <v>79</v>
      </c>
      <c r="E863" t="s">
        <v>1416</v>
      </c>
      <c r="F863" s="25" t="s">
        <v>2302</v>
      </c>
    </row>
    <row r="864" spans="2:6">
      <c r="B864" s="24" t="s">
        <v>456</v>
      </c>
      <c r="C864" s="25">
        <v>9</v>
      </c>
      <c r="D864" s="25" t="s">
        <v>1429</v>
      </c>
      <c r="E864" t="s">
        <v>1416</v>
      </c>
      <c r="F864" s="25" t="s">
        <v>2303</v>
      </c>
    </row>
    <row r="865" spans="2:6">
      <c r="B865" s="24" t="s">
        <v>457</v>
      </c>
      <c r="C865" s="25">
        <v>12</v>
      </c>
      <c r="D865" s="25" t="s">
        <v>1435</v>
      </c>
      <c r="E865" t="s">
        <v>1413</v>
      </c>
      <c r="F865" s="25" t="s">
        <v>2304</v>
      </c>
    </row>
    <row r="866" spans="2:6">
      <c r="B866" s="24" t="s">
        <v>458</v>
      </c>
      <c r="C866" s="25">
        <v>10</v>
      </c>
      <c r="D866" s="25" t="s">
        <v>1431</v>
      </c>
      <c r="E866" t="s">
        <v>1413</v>
      </c>
      <c r="F866" s="25" t="s">
        <v>2305</v>
      </c>
    </row>
    <row r="867" spans="2:6">
      <c r="B867" s="24" t="s">
        <v>459</v>
      </c>
      <c r="C867" s="25">
        <v>5</v>
      </c>
      <c r="D867" s="25" t="s">
        <v>1421</v>
      </c>
      <c r="E867" t="s">
        <v>1416</v>
      </c>
      <c r="F867" s="25" t="s">
        <v>2306</v>
      </c>
    </row>
    <row r="868" spans="2:6">
      <c r="B868" s="24" t="s">
        <v>460</v>
      </c>
      <c r="C868" s="25">
        <v>5</v>
      </c>
      <c r="D868" s="25" t="s">
        <v>1421</v>
      </c>
      <c r="E868" t="s">
        <v>1416</v>
      </c>
      <c r="F868" s="25" t="s">
        <v>2307</v>
      </c>
    </row>
    <row r="869" spans="2:6">
      <c r="B869" s="24" t="s">
        <v>461</v>
      </c>
      <c r="C869" s="25">
        <v>11</v>
      </c>
      <c r="D869" s="25" t="s">
        <v>1433</v>
      </c>
      <c r="E869" t="s">
        <v>1413</v>
      </c>
      <c r="F869" s="25" t="s">
        <v>2308</v>
      </c>
    </row>
    <row r="870" spans="2:6">
      <c r="B870" s="24" t="s">
        <v>462</v>
      </c>
      <c r="C870" s="25">
        <v>9</v>
      </c>
      <c r="D870" s="25" t="s">
        <v>1429</v>
      </c>
      <c r="E870" t="s">
        <v>1416</v>
      </c>
      <c r="F870" s="25" t="s">
        <v>2309</v>
      </c>
    </row>
    <row r="871" spans="2:6">
      <c r="B871" s="24" t="s">
        <v>463</v>
      </c>
      <c r="C871" s="25">
        <v>12</v>
      </c>
      <c r="D871" s="25" t="s">
        <v>1435</v>
      </c>
      <c r="E871" t="s">
        <v>1416</v>
      </c>
      <c r="F871" s="25" t="s">
        <v>2310</v>
      </c>
    </row>
    <row r="872" spans="2:6">
      <c r="B872" s="24" t="s">
        <v>464</v>
      </c>
      <c r="C872" s="25">
        <v>3</v>
      </c>
      <c r="D872" s="25" t="s">
        <v>1417</v>
      </c>
      <c r="E872" t="s">
        <v>1419</v>
      </c>
      <c r="F872" s="25" t="s">
        <v>2311</v>
      </c>
    </row>
    <row r="873" spans="2:6">
      <c r="B873" s="24" t="s">
        <v>465</v>
      </c>
      <c r="C873" s="25">
        <v>2</v>
      </c>
      <c r="D873" s="25" t="s">
        <v>1414</v>
      </c>
      <c r="E873" t="s">
        <v>1416</v>
      </c>
      <c r="F873" s="25" t="s">
        <v>2312</v>
      </c>
    </row>
    <row r="874" spans="2:6">
      <c r="B874" s="24" t="s">
        <v>466</v>
      </c>
      <c r="C874" s="25">
        <v>12</v>
      </c>
      <c r="D874" s="25" t="s">
        <v>1435</v>
      </c>
      <c r="E874" t="s">
        <v>1413</v>
      </c>
      <c r="F874" s="25" t="s">
        <v>2313</v>
      </c>
    </row>
    <row r="875" spans="2:6">
      <c r="B875" s="24" t="s">
        <v>467</v>
      </c>
      <c r="C875" s="25">
        <v>1</v>
      </c>
      <c r="D875" s="25" t="s">
        <v>79</v>
      </c>
      <c r="E875" t="s">
        <v>1416</v>
      </c>
      <c r="F875" s="25" t="s">
        <v>2314</v>
      </c>
    </row>
    <row r="876" spans="2:6">
      <c r="B876" s="24" t="s">
        <v>468</v>
      </c>
      <c r="C876" s="25">
        <v>6</v>
      </c>
      <c r="D876" s="25" t="s">
        <v>1423</v>
      </c>
      <c r="E876" t="s">
        <v>1416</v>
      </c>
      <c r="F876" s="25" t="s">
        <v>2315</v>
      </c>
    </row>
    <row r="877" spans="2:6">
      <c r="B877" s="24" t="s">
        <v>469</v>
      </c>
      <c r="C877" s="25">
        <v>9</v>
      </c>
      <c r="D877" s="25" t="s">
        <v>1429</v>
      </c>
      <c r="E877" t="s">
        <v>1413</v>
      </c>
      <c r="F877" s="25" t="s">
        <v>2316</v>
      </c>
    </row>
    <row r="878" spans="2:6">
      <c r="B878" s="24" t="s">
        <v>470</v>
      </c>
      <c r="C878" s="25">
        <v>13</v>
      </c>
      <c r="D878" s="25" t="s">
        <v>1437</v>
      </c>
      <c r="E878" t="s">
        <v>1413</v>
      </c>
      <c r="F878" s="25" t="s">
        <v>2317</v>
      </c>
    </row>
    <row r="879" spans="2:6">
      <c r="B879" s="24" t="s">
        <v>471</v>
      </c>
      <c r="C879" s="25">
        <v>5</v>
      </c>
      <c r="D879" s="25" t="s">
        <v>1421</v>
      </c>
      <c r="E879" t="s">
        <v>1416</v>
      </c>
      <c r="F879" s="25" t="s">
        <v>2318</v>
      </c>
    </row>
    <row r="880" spans="2:6">
      <c r="B880" s="24" t="s">
        <v>472</v>
      </c>
      <c r="C880" s="25">
        <v>3</v>
      </c>
      <c r="D880" s="25" t="s">
        <v>1417</v>
      </c>
      <c r="E880" t="s">
        <v>1413</v>
      </c>
      <c r="F880" s="25" t="s">
        <v>2319</v>
      </c>
    </row>
    <row r="881" spans="2:6">
      <c r="B881" s="24" t="s">
        <v>473</v>
      </c>
      <c r="C881" s="25">
        <v>4</v>
      </c>
      <c r="D881" s="25" t="s">
        <v>85</v>
      </c>
      <c r="E881" t="s">
        <v>1416</v>
      </c>
      <c r="F881" s="25" t="s">
        <v>2320</v>
      </c>
    </row>
    <row r="882" spans="2:6">
      <c r="B882" s="24" t="s">
        <v>474</v>
      </c>
      <c r="C882" s="25">
        <v>7</v>
      </c>
      <c r="D882" s="25" t="s">
        <v>1425</v>
      </c>
      <c r="E882" t="s">
        <v>1416</v>
      </c>
      <c r="F882" s="25" t="s">
        <v>2321</v>
      </c>
    </row>
    <row r="883" spans="2:6">
      <c r="B883" s="24" t="s">
        <v>475</v>
      </c>
      <c r="C883" s="25">
        <v>6</v>
      </c>
      <c r="D883" s="25" t="s">
        <v>1423</v>
      </c>
      <c r="E883" t="s">
        <v>1416</v>
      </c>
      <c r="F883" s="25" t="s">
        <v>2322</v>
      </c>
    </row>
    <row r="884" spans="2:6">
      <c r="B884" s="24" t="s">
        <v>476</v>
      </c>
      <c r="C884" s="25">
        <v>9</v>
      </c>
      <c r="D884" s="25" t="s">
        <v>1429</v>
      </c>
      <c r="E884" t="s">
        <v>1413</v>
      </c>
      <c r="F884" s="25" t="s">
        <v>2323</v>
      </c>
    </row>
    <row r="885" spans="2:6">
      <c r="B885" s="9" t="s">
        <v>339</v>
      </c>
      <c r="C885">
        <v>9</v>
      </c>
      <c r="D885" t="s">
        <v>1429</v>
      </c>
      <c r="E885" t="s">
        <v>1413</v>
      </c>
      <c r="F885" t="s">
        <v>2324</v>
      </c>
    </row>
    <row r="886" spans="2:6">
      <c r="B886" t="s">
        <v>340</v>
      </c>
      <c r="C886">
        <v>5</v>
      </c>
      <c r="D886" t="s">
        <v>1421</v>
      </c>
      <c r="E886" t="s">
        <v>1416</v>
      </c>
      <c r="F886" t="s">
        <v>2325</v>
      </c>
    </row>
    <row r="887" spans="2:6">
      <c r="B887" t="s">
        <v>341</v>
      </c>
      <c r="C887">
        <v>9</v>
      </c>
      <c r="D887" t="s">
        <v>1429</v>
      </c>
      <c r="E887" t="s">
        <v>1413</v>
      </c>
      <c r="F887" t="s">
        <v>2326</v>
      </c>
    </row>
    <row r="888" spans="2:6">
      <c r="B888" t="s">
        <v>342</v>
      </c>
      <c r="C888">
        <v>7</v>
      </c>
      <c r="D888" t="s">
        <v>1425</v>
      </c>
      <c r="E888" t="s">
        <v>1416</v>
      </c>
      <c r="F888" t="s">
        <v>2327</v>
      </c>
    </row>
    <row r="889" spans="2:6">
      <c r="B889" t="s">
        <v>343</v>
      </c>
      <c r="C889">
        <v>3</v>
      </c>
      <c r="D889" t="s">
        <v>1417</v>
      </c>
      <c r="E889" t="s">
        <v>1413</v>
      </c>
      <c r="F889" t="s">
        <v>2328</v>
      </c>
    </row>
    <row r="890" spans="2:6">
      <c r="B890" t="s">
        <v>344</v>
      </c>
      <c r="C890">
        <v>3</v>
      </c>
      <c r="D890" t="s">
        <v>1417</v>
      </c>
      <c r="E890" t="s">
        <v>1416</v>
      </c>
      <c r="F890" t="s">
        <v>2329</v>
      </c>
    </row>
    <row r="891" spans="2:6">
      <c r="B891" t="s">
        <v>345</v>
      </c>
      <c r="C891">
        <v>6</v>
      </c>
      <c r="D891" t="s">
        <v>1423</v>
      </c>
      <c r="E891" t="s">
        <v>1416</v>
      </c>
      <c r="F891" t="s">
        <v>2330</v>
      </c>
    </row>
    <row r="892" spans="2:6">
      <c r="B892" t="s">
        <v>346</v>
      </c>
      <c r="C892">
        <v>9</v>
      </c>
      <c r="D892" t="s">
        <v>1429</v>
      </c>
      <c r="E892" t="s">
        <v>1416</v>
      </c>
      <c r="F892" t="s">
        <v>2331</v>
      </c>
    </row>
    <row r="893" spans="2:6">
      <c r="B893" t="s">
        <v>347</v>
      </c>
      <c r="C893">
        <v>9</v>
      </c>
      <c r="D893" t="s">
        <v>1429</v>
      </c>
      <c r="E893" t="s">
        <v>1413</v>
      </c>
      <c r="F893" t="s">
        <v>2332</v>
      </c>
    </row>
    <row r="894" spans="2:6">
      <c r="B894" t="s">
        <v>348</v>
      </c>
      <c r="C894">
        <v>7</v>
      </c>
      <c r="D894" t="s">
        <v>1425</v>
      </c>
      <c r="E894" t="s">
        <v>1416</v>
      </c>
      <c r="F894" t="s">
        <v>2333</v>
      </c>
    </row>
    <row r="895" spans="2:6">
      <c r="B895" t="s">
        <v>349</v>
      </c>
      <c r="C895">
        <v>2</v>
      </c>
      <c r="D895" t="s">
        <v>1414</v>
      </c>
      <c r="E895" t="s">
        <v>1413</v>
      </c>
      <c r="F895" t="s">
        <v>2334</v>
      </c>
    </row>
    <row r="896" spans="2:6">
      <c r="B896" t="s">
        <v>350</v>
      </c>
      <c r="C896">
        <v>12</v>
      </c>
      <c r="D896" t="s">
        <v>1435</v>
      </c>
      <c r="E896" t="s">
        <v>1416</v>
      </c>
      <c r="F896" t="s">
        <v>2335</v>
      </c>
    </row>
    <row r="897" spans="2:6">
      <c r="B897" t="s">
        <v>351</v>
      </c>
      <c r="C897">
        <v>4</v>
      </c>
      <c r="D897" t="s">
        <v>85</v>
      </c>
      <c r="E897" t="s">
        <v>1413</v>
      </c>
      <c r="F897" t="s">
        <v>2336</v>
      </c>
    </row>
    <row r="898" spans="2:6">
      <c r="B898" t="s">
        <v>352</v>
      </c>
      <c r="C898">
        <v>10</v>
      </c>
      <c r="D898" t="s">
        <v>1431</v>
      </c>
      <c r="E898" t="s">
        <v>1416</v>
      </c>
      <c r="F898" t="s">
        <v>2337</v>
      </c>
    </row>
    <row r="899" spans="2:6">
      <c r="B899" t="s">
        <v>353</v>
      </c>
      <c r="C899">
        <v>9</v>
      </c>
      <c r="D899" t="s">
        <v>1429</v>
      </c>
      <c r="E899" t="s">
        <v>1416</v>
      </c>
      <c r="F899" t="s">
        <v>2338</v>
      </c>
    </row>
    <row r="900" spans="2:6">
      <c r="B900" t="s">
        <v>354</v>
      </c>
      <c r="C900">
        <v>11</v>
      </c>
      <c r="D900" t="s">
        <v>1433</v>
      </c>
      <c r="E900" t="s">
        <v>1413</v>
      </c>
      <c r="F900" t="s">
        <v>2339</v>
      </c>
    </row>
    <row r="901" spans="2:6">
      <c r="B901" t="s">
        <v>355</v>
      </c>
      <c r="C901">
        <v>4</v>
      </c>
      <c r="D901" t="s">
        <v>85</v>
      </c>
      <c r="E901" t="s">
        <v>1413</v>
      </c>
      <c r="F901" t="s">
        <v>2340</v>
      </c>
    </row>
    <row r="902" spans="2:6">
      <c r="B902" t="s">
        <v>356</v>
      </c>
      <c r="C902">
        <v>9</v>
      </c>
      <c r="D902" t="s">
        <v>1429</v>
      </c>
      <c r="E902" t="s">
        <v>1413</v>
      </c>
      <c r="F902" t="s">
        <v>2341</v>
      </c>
    </row>
    <row r="903" spans="2:6">
      <c r="B903" t="s">
        <v>357</v>
      </c>
      <c r="C903">
        <v>1</v>
      </c>
      <c r="D903" t="s">
        <v>79</v>
      </c>
      <c r="E903" t="s">
        <v>1413</v>
      </c>
      <c r="F903" t="s">
        <v>2342</v>
      </c>
    </row>
    <row r="904" spans="2:6">
      <c r="B904" t="s">
        <v>358</v>
      </c>
      <c r="C904">
        <v>10</v>
      </c>
      <c r="D904" t="s">
        <v>1431</v>
      </c>
      <c r="E904" t="s">
        <v>1413</v>
      </c>
      <c r="F904" t="s">
        <v>2343</v>
      </c>
    </row>
    <row r="905" spans="2:6">
      <c r="B905" t="s">
        <v>359</v>
      </c>
      <c r="C905">
        <v>8</v>
      </c>
      <c r="D905" t="s">
        <v>1427</v>
      </c>
      <c r="E905" t="s">
        <v>1413</v>
      </c>
      <c r="F905" t="s">
        <v>2344</v>
      </c>
    </row>
    <row r="906" spans="2:6">
      <c r="B906" t="s">
        <v>360</v>
      </c>
      <c r="C906">
        <v>12</v>
      </c>
      <c r="D906" t="s">
        <v>1435</v>
      </c>
      <c r="E906" t="s">
        <v>1413</v>
      </c>
      <c r="F906" t="s">
        <v>2345</v>
      </c>
    </row>
    <row r="907" spans="2:6">
      <c r="B907" t="s">
        <v>361</v>
      </c>
      <c r="C907">
        <v>12</v>
      </c>
      <c r="D907" t="s">
        <v>1435</v>
      </c>
      <c r="E907" t="s">
        <v>1413</v>
      </c>
      <c r="F907" t="s">
        <v>2346</v>
      </c>
    </row>
    <row r="908" spans="2:6">
      <c r="B908" t="s">
        <v>362</v>
      </c>
      <c r="C908">
        <v>6</v>
      </c>
      <c r="D908" t="s">
        <v>1423</v>
      </c>
      <c r="E908" t="s">
        <v>1416</v>
      </c>
      <c r="F908" t="s">
        <v>2347</v>
      </c>
    </row>
    <row r="909" spans="2:6">
      <c r="B909" t="s">
        <v>363</v>
      </c>
      <c r="C909">
        <v>6</v>
      </c>
      <c r="D909" t="s">
        <v>1423</v>
      </c>
      <c r="E909" t="s">
        <v>1416</v>
      </c>
      <c r="F909" t="s">
        <v>2348</v>
      </c>
    </row>
    <row r="910" spans="2:6">
      <c r="B910" t="s">
        <v>364</v>
      </c>
      <c r="C910">
        <v>12</v>
      </c>
      <c r="D910" t="s">
        <v>1435</v>
      </c>
      <c r="E910" t="s">
        <v>1416</v>
      </c>
      <c r="F910" t="s">
        <v>2349</v>
      </c>
    </row>
    <row r="911" spans="2:6">
      <c r="B911" t="s">
        <v>365</v>
      </c>
      <c r="C911">
        <v>8</v>
      </c>
      <c r="D911" t="s">
        <v>1427</v>
      </c>
      <c r="E911" t="s">
        <v>1413</v>
      </c>
      <c r="F911" t="s">
        <v>2350</v>
      </c>
    </row>
    <row r="912" spans="2:6">
      <c r="B912" t="s">
        <v>366</v>
      </c>
      <c r="C912">
        <v>12</v>
      </c>
      <c r="D912" t="s">
        <v>1435</v>
      </c>
      <c r="E912" t="s">
        <v>1413</v>
      </c>
      <c r="F912" t="s">
        <v>2351</v>
      </c>
    </row>
    <row r="913" spans="2:6">
      <c r="B913" t="s">
        <v>367</v>
      </c>
      <c r="C913">
        <v>5</v>
      </c>
      <c r="D913" t="s">
        <v>1421</v>
      </c>
      <c r="E913" t="s">
        <v>1413</v>
      </c>
      <c r="F913" t="s">
        <v>2352</v>
      </c>
    </row>
    <row r="914" spans="2:6">
      <c r="B914" t="s">
        <v>368</v>
      </c>
      <c r="C914">
        <v>12</v>
      </c>
      <c r="D914" t="s">
        <v>1435</v>
      </c>
      <c r="E914" t="s">
        <v>1413</v>
      </c>
      <c r="F914" t="s">
        <v>2353</v>
      </c>
    </row>
    <row r="915" spans="2:6">
      <c r="B915" t="s">
        <v>369</v>
      </c>
      <c r="C915">
        <v>4</v>
      </c>
      <c r="D915" t="s">
        <v>85</v>
      </c>
      <c r="E915" t="s">
        <v>1413</v>
      </c>
      <c r="F915" t="s">
        <v>2354</v>
      </c>
    </row>
    <row r="916" spans="2:6">
      <c r="B916" t="s">
        <v>370</v>
      </c>
      <c r="C916">
        <v>12</v>
      </c>
      <c r="D916" t="s">
        <v>1435</v>
      </c>
      <c r="E916" t="s">
        <v>1413</v>
      </c>
      <c r="F916" t="s">
        <v>2355</v>
      </c>
    </row>
    <row r="917" spans="2:6">
      <c r="B917" t="s">
        <v>371</v>
      </c>
      <c r="C917">
        <v>9</v>
      </c>
      <c r="D917" t="s">
        <v>1429</v>
      </c>
      <c r="E917" t="s">
        <v>1413</v>
      </c>
      <c r="F917" t="s">
        <v>2356</v>
      </c>
    </row>
    <row r="918" spans="2:6">
      <c r="B918" t="s">
        <v>372</v>
      </c>
      <c r="C918">
        <v>4</v>
      </c>
      <c r="D918" t="s">
        <v>85</v>
      </c>
      <c r="E918" t="s">
        <v>1416</v>
      </c>
      <c r="F918" t="s">
        <v>2357</v>
      </c>
    </row>
    <row r="919" spans="2:6">
      <c r="B919" t="s">
        <v>373</v>
      </c>
      <c r="C919">
        <v>5</v>
      </c>
      <c r="D919" t="s">
        <v>1421</v>
      </c>
      <c r="E919" t="s">
        <v>1416</v>
      </c>
      <c r="F919" t="s">
        <v>2358</v>
      </c>
    </row>
    <row r="920" spans="2:6">
      <c r="B920" t="s">
        <v>374</v>
      </c>
      <c r="C920">
        <v>10</v>
      </c>
      <c r="D920" t="s">
        <v>1431</v>
      </c>
      <c r="E920" t="s">
        <v>1413</v>
      </c>
      <c r="F920" t="s">
        <v>2359</v>
      </c>
    </row>
    <row r="921" spans="2:6">
      <c r="B921" t="s">
        <v>375</v>
      </c>
      <c r="C921">
        <v>12</v>
      </c>
      <c r="D921" t="s">
        <v>1435</v>
      </c>
      <c r="E921" t="s">
        <v>1413</v>
      </c>
      <c r="F921" t="s">
        <v>2360</v>
      </c>
    </row>
    <row r="922" spans="2:6">
      <c r="B922" t="s">
        <v>376</v>
      </c>
      <c r="C922">
        <v>1</v>
      </c>
      <c r="D922" t="s">
        <v>79</v>
      </c>
      <c r="E922" t="s">
        <v>1416</v>
      </c>
      <c r="F922" t="s">
        <v>2361</v>
      </c>
    </row>
    <row r="923" spans="2:6">
      <c r="B923" s="24" t="s">
        <v>66</v>
      </c>
      <c r="C923" s="25">
        <v>12</v>
      </c>
      <c r="D923" s="25" t="s">
        <v>1435</v>
      </c>
      <c r="E923" t="s">
        <v>1413</v>
      </c>
      <c r="F923" s="25" t="s">
        <v>2362</v>
      </c>
    </row>
    <row r="924" spans="2:6">
      <c r="B924" s="24" t="s">
        <v>67</v>
      </c>
      <c r="C924" s="25">
        <v>10</v>
      </c>
      <c r="D924" s="25" t="s">
        <v>1431</v>
      </c>
      <c r="E924" t="s">
        <v>1413</v>
      </c>
      <c r="F924" s="25" t="s">
        <v>2363</v>
      </c>
    </row>
    <row r="925" spans="2:6">
      <c r="B925" s="24" t="s">
        <v>69</v>
      </c>
      <c r="C925" s="25">
        <v>12</v>
      </c>
      <c r="D925" s="25" t="s">
        <v>1435</v>
      </c>
      <c r="E925" t="s">
        <v>1413</v>
      </c>
      <c r="F925" s="25" t="s">
        <v>2364</v>
      </c>
    </row>
    <row r="926" spans="2:6">
      <c r="B926" s="24" t="s">
        <v>71</v>
      </c>
      <c r="C926" s="25">
        <v>12</v>
      </c>
      <c r="D926" s="25" t="s">
        <v>1435</v>
      </c>
      <c r="E926" t="s">
        <v>1413</v>
      </c>
      <c r="F926" s="25" t="s">
        <v>2365</v>
      </c>
    </row>
    <row r="927" spans="2:6">
      <c r="B927" s="24" t="s">
        <v>72</v>
      </c>
      <c r="C927" s="25">
        <v>13</v>
      </c>
      <c r="D927" s="25" t="s">
        <v>1437</v>
      </c>
      <c r="E927" t="s">
        <v>1413</v>
      </c>
      <c r="F927" s="25" t="s">
        <v>2366</v>
      </c>
    </row>
    <row r="928" spans="2:6">
      <c r="B928" s="24" t="s">
        <v>74</v>
      </c>
      <c r="C928" s="25">
        <v>12</v>
      </c>
      <c r="D928" s="25" t="s">
        <v>1435</v>
      </c>
      <c r="E928" t="s">
        <v>1413</v>
      </c>
      <c r="F928" s="25" t="s">
        <v>2367</v>
      </c>
    </row>
    <row r="929" spans="2:6">
      <c r="B929" s="24" t="s">
        <v>75</v>
      </c>
      <c r="C929" s="25">
        <v>12</v>
      </c>
      <c r="D929" s="25" t="s">
        <v>1435</v>
      </c>
      <c r="E929" t="s">
        <v>1413</v>
      </c>
      <c r="F929" s="25" t="s">
        <v>2368</v>
      </c>
    </row>
    <row r="930" spans="2:6">
      <c r="B930" s="24" t="s">
        <v>78</v>
      </c>
      <c r="C930" s="25">
        <v>1</v>
      </c>
      <c r="D930" s="25" t="s">
        <v>79</v>
      </c>
      <c r="E930" t="s">
        <v>1413</v>
      </c>
      <c r="F930" s="25" t="s">
        <v>2369</v>
      </c>
    </row>
    <row r="931" spans="2:6">
      <c r="B931" s="24" t="s">
        <v>82</v>
      </c>
      <c r="C931" s="25">
        <v>5</v>
      </c>
      <c r="D931" s="25" t="s">
        <v>1421</v>
      </c>
      <c r="E931" t="s">
        <v>1413</v>
      </c>
      <c r="F931" s="25" t="s">
        <v>2370</v>
      </c>
    </row>
    <row r="932" spans="2:6">
      <c r="B932" s="24" t="s">
        <v>88</v>
      </c>
      <c r="C932" s="25">
        <v>12</v>
      </c>
      <c r="D932" s="25" t="s">
        <v>1435</v>
      </c>
      <c r="E932" t="s">
        <v>1413</v>
      </c>
      <c r="F932" s="25" t="s">
        <v>2371</v>
      </c>
    </row>
    <row r="933" spans="2:6">
      <c r="B933" s="24" t="s">
        <v>90</v>
      </c>
      <c r="C933" s="25">
        <v>8</v>
      </c>
      <c r="D933" s="25" t="s">
        <v>1427</v>
      </c>
      <c r="E933" t="s">
        <v>1413</v>
      </c>
      <c r="F933" s="25" t="s">
        <v>2372</v>
      </c>
    </row>
    <row r="934" spans="2:6">
      <c r="B934" s="24" t="s">
        <v>94</v>
      </c>
      <c r="C934" s="25">
        <v>1</v>
      </c>
      <c r="D934" s="25" t="s">
        <v>79</v>
      </c>
      <c r="E934" t="s">
        <v>1413</v>
      </c>
      <c r="F934" s="25" t="s">
        <v>2373</v>
      </c>
    </row>
    <row r="935" spans="2:6">
      <c r="B935" s="24" t="s">
        <v>96</v>
      </c>
      <c r="C935" s="25">
        <v>1</v>
      </c>
      <c r="D935" s="25" t="s">
        <v>79</v>
      </c>
      <c r="E935" t="s">
        <v>1413</v>
      </c>
      <c r="F935" s="25" t="s">
        <v>2374</v>
      </c>
    </row>
    <row r="936" spans="2:6">
      <c r="B936" s="24" t="s">
        <v>98</v>
      </c>
      <c r="C936" s="25">
        <v>13</v>
      </c>
      <c r="D936" s="25" t="s">
        <v>1437</v>
      </c>
      <c r="E936" t="s">
        <v>1413</v>
      </c>
      <c r="F936" s="25" t="s">
        <v>2375</v>
      </c>
    </row>
    <row r="937" spans="2:6">
      <c r="B937" s="24" t="s">
        <v>99</v>
      </c>
      <c r="C937" s="25">
        <v>9</v>
      </c>
      <c r="D937" s="25" t="s">
        <v>1429</v>
      </c>
      <c r="E937" t="s">
        <v>1413</v>
      </c>
      <c r="F937" s="25" t="s">
        <v>2376</v>
      </c>
    </row>
    <row r="938" spans="2:6">
      <c r="B938" s="24" t="s">
        <v>100</v>
      </c>
      <c r="C938" s="25">
        <v>9</v>
      </c>
      <c r="D938" s="25" t="s">
        <v>1429</v>
      </c>
      <c r="E938" t="s">
        <v>1413</v>
      </c>
      <c r="F938" s="25" t="s">
        <v>2377</v>
      </c>
    </row>
    <row r="939" spans="2:6">
      <c r="B939" s="24" t="s">
        <v>102</v>
      </c>
      <c r="C939" s="25">
        <v>1</v>
      </c>
      <c r="D939" s="25" t="s">
        <v>79</v>
      </c>
      <c r="E939" t="s">
        <v>1413</v>
      </c>
      <c r="F939" s="25" t="s">
        <v>2378</v>
      </c>
    </row>
    <row r="940" spans="2:6">
      <c r="B940" s="24" t="s">
        <v>106</v>
      </c>
      <c r="C940" s="25">
        <v>2</v>
      </c>
      <c r="D940" s="25" t="s">
        <v>1414</v>
      </c>
      <c r="E940" t="s">
        <v>1413</v>
      </c>
      <c r="F940" s="25" t="s">
        <v>2379</v>
      </c>
    </row>
    <row r="941" spans="2:6">
      <c r="B941" s="24" t="s">
        <v>108</v>
      </c>
      <c r="C941" s="25">
        <v>4</v>
      </c>
      <c r="D941" s="25" t="s">
        <v>85</v>
      </c>
      <c r="E941" t="s">
        <v>1413</v>
      </c>
      <c r="F941" s="25" t="s">
        <v>2380</v>
      </c>
    </row>
    <row r="942" spans="2:6">
      <c r="B942" s="24" t="s">
        <v>109</v>
      </c>
      <c r="C942" s="25">
        <v>12</v>
      </c>
      <c r="D942" s="25" t="s">
        <v>1435</v>
      </c>
      <c r="E942" t="s">
        <v>1413</v>
      </c>
      <c r="F942" s="25" t="s">
        <v>2381</v>
      </c>
    </row>
    <row r="943" spans="2:6">
      <c r="B943" s="24" t="s">
        <v>111</v>
      </c>
      <c r="C943" s="25">
        <v>9</v>
      </c>
      <c r="D943" s="25" t="s">
        <v>1429</v>
      </c>
      <c r="E943" t="s">
        <v>1413</v>
      </c>
      <c r="F943" s="25" t="s">
        <v>2382</v>
      </c>
    </row>
    <row r="944" spans="2:6">
      <c r="B944" s="24" t="s">
        <v>115</v>
      </c>
      <c r="C944" s="25">
        <v>12</v>
      </c>
      <c r="D944" s="25" t="s">
        <v>1435</v>
      </c>
      <c r="E944" t="s">
        <v>1416</v>
      </c>
      <c r="F944" s="25" t="s">
        <v>2383</v>
      </c>
    </row>
    <row r="945" spans="2:6">
      <c r="B945" s="24" t="s">
        <v>116</v>
      </c>
      <c r="C945" s="25">
        <v>12</v>
      </c>
      <c r="D945" s="25" t="s">
        <v>1435</v>
      </c>
      <c r="E945" t="s">
        <v>1413</v>
      </c>
      <c r="F945" s="25" t="s">
        <v>2384</v>
      </c>
    </row>
    <row r="946" spans="2:6">
      <c r="B946" s="24" t="s">
        <v>117</v>
      </c>
      <c r="C946" s="25">
        <v>2</v>
      </c>
      <c r="D946" s="25" t="s">
        <v>1414</v>
      </c>
      <c r="E946" t="s">
        <v>1413</v>
      </c>
      <c r="F946" s="25" t="s">
        <v>2385</v>
      </c>
    </row>
    <row r="947" spans="2:6">
      <c r="B947" s="24" t="s">
        <v>118</v>
      </c>
      <c r="C947" s="25">
        <v>9</v>
      </c>
      <c r="D947" s="25" t="s">
        <v>1429</v>
      </c>
      <c r="E947" t="s">
        <v>1413</v>
      </c>
      <c r="F947" s="25" t="s">
        <v>2386</v>
      </c>
    </row>
    <row r="948" spans="2:6">
      <c r="B948" s="24" t="s">
        <v>119</v>
      </c>
      <c r="C948" s="25">
        <v>12</v>
      </c>
      <c r="D948" s="25" t="s">
        <v>1435</v>
      </c>
      <c r="E948" t="s">
        <v>1413</v>
      </c>
      <c r="F948" s="25" t="s">
        <v>2387</v>
      </c>
    </row>
    <row r="949" spans="2:6">
      <c r="B949" s="24" t="s">
        <v>120</v>
      </c>
      <c r="C949" s="25">
        <v>9</v>
      </c>
      <c r="D949" s="25" t="s">
        <v>1429</v>
      </c>
      <c r="E949" t="s">
        <v>1413</v>
      </c>
      <c r="F949" s="25" t="s">
        <v>2388</v>
      </c>
    </row>
    <row r="950" spans="2:6">
      <c r="B950" s="24" t="s">
        <v>121</v>
      </c>
      <c r="C950" s="25">
        <v>1</v>
      </c>
      <c r="D950" s="25" t="s">
        <v>79</v>
      </c>
      <c r="E950" t="s">
        <v>1413</v>
      </c>
      <c r="F950" s="25" t="s">
        <v>2389</v>
      </c>
    </row>
    <row r="951" spans="2:6">
      <c r="B951" s="24" t="s">
        <v>122</v>
      </c>
      <c r="C951" s="25">
        <v>9</v>
      </c>
      <c r="D951" s="25" t="s">
        <v>1429</v>
      </c>
      <c r="E951" t="s">
        <v>1413</v>
      </c>
      <c r="F951" s="25" t="s">
        <v>2390</v>
      </c>
    </row>
    <row r="952" spans="2:6">
      <c r="B952" s="24" t="s">
        <v>123</v>
      </c>
      <c r="C952" s="25">
        <v>5</v>
      </c>
      <c r="D952" s="25" t="s">
        <v>1421</v>
      </c>
      <c r="E952" t="s">
        <v>1413</v>
      </c>
      <c r="F952" s="25" t="s">
        <v>2391</v>
      </c>
    </row>
    <row r="953" spans="2:6">
      <c r="B953" s="24" t="s">
        <v>125</v>
      </c>
      <c r="C953" s="25">
        <v>10</v>
      </c>
      <c r="D953" s="25" t="s">
        <v>1431</v>
      </c>
      <c r="E953" t="s">
        <v>1413</v>
      </c>
      <c r="F953" s="25" t="s">
        <v>2392</v>
      </c>
    </row>
    <row r="954" spans="2:6">
      <c r="B954" s="24" t="s">
        <v>128</v>
      </c>
      <c r="C954" s="25">
        <v>1</v>
      </c>
      <c r="D954" s="25" t="s">
        <v>79</v>
      </c>
      <c r="E954" t="s">
        <v>1413</v>
      </c>
      <c r="F954" s="25" t="s">
        <v>2393</v>
      </c>
    </row>
    <row r="955" spans="2:6">
      <c r="B955" s="24" t="s">
        <v>129</v>
      </c>
      <c r="C955" s="25">
        <v>6</v>
      </c>
      <c r="D955" s="25" t="s">
        <v>1423</v>
      </c>
      <c r="E955" t="s">
        <v>1413</v>
      </c>
      <c r="F955" s="25" t="s">
        <v>2394</v>
      </c>
    </row>
    <row r="956" spans="2:6">
      <c r="B956" s="24" t="s">
        <v>130</v>
      </c>
      <c r="C956" s="25">
        <v>8</v>
      </c>
      <c r="D956" s="25" t="s">
        <v>1427</v>
      </c>
      <c r="E956" t="s">
        <v>1413</v>
      </c>
      <c r="F956" s="25" t="s">
        <v>2395</v>
      </c>
    </row>
    <row r="957" spans="2:6">
      <c r="B957" s="24" t="s">
        <v>133</v>
      </c>
      <c r="C957" s="25">
        <v>1</v>
      </c>
      <c r="D957" s="25" t="s">
        <v>79</v>
      </c>
      <c r="E957" t="s">
        <v>1413</v>
      </c>
      <c r="F957" s="25" t="s">
        <v>2396</v>
      </c>
    </row>
    <row r="958" spans="2:6">
      <c r="B958" s="24" t="s">
        <v>135</v>
      </c>
      <c r="C958" s="25">
        <v>12</v>
      </c>
      <c r="D958" s="25" t="s">
        <v>1435</v>
      </c>
      <c r="E958" t="s">
        <v>1413</v>
      </c>
      <c r="F958" s="25" t="s">
        <v>2397</v>
      </c>
    </row>
    <row r="959" spans="2:6">
      <c r="B959" s="24" t="s">
        <v>137</v>
      </c>
      <c r="C959" s="25">
        <v>14</v>
      </c>
      <c r="D959" s="25" t="s">
        <v>1439</v>
      </c>
      <c r="E959" t="s">
        <v>1413</v>
      </c>
      <c r="F959" s="25" t="s">
        <v>2398</v>
      </c>
    </row>
    <row r="960" spans="2:6">
      <c r="B960" s="24" t="s">
        <v>158</v>
      </c>
      <c r="C960" s="25">
        <v>3</v>
      </c>
      <c r="D960" s="25" t="s">
        <v>1417</v>
      </c>
      <c r="E960" t="s">
        <v>1413</v>
      </c>
      <c r="F960" s="25" t="s">
        <v>2399</v>
      </c>
    </row>
    <row r="961" spans="2:6">
      <c r="B961" s="24" t="s">
        <v>159</v>
      </c>
      <c r="C961" s="25">
        <v>8</v>
      </c>
      <c r="D961" s="25" t="s">
        <v>1427</v>
      </c>
      <c r="E961" t="s">
        <v>1413</v>
      </c>
      <c r="F961" s="25" t="s">
        <v>2400</v>
      </c>
    </row>
    <row r="962" spans="2:6">
      <c r="B962" s="24" t="s">
        <v>160</v>
      </c>
      <c r="C962" s="25">
        <v>12</v>
      </c>
      <c r="D962" s="25" t="s">
        <v>1435</v>
      </c>
      <c r="E962" t="s">
        <v>1413</v>
      </c>
      <c r="F962" s="25" t="s">
        <v>2401</v>
      </c>
    </row>
    <row r="963" spans="2:6">
      <c r="B963" s="24" t="s">
        <v>161</v>
      </c>
      <c r="C963" s="25">
        <v>6</v>
      </c>
      <c r="D963" s="25" t="s">
        <v>1423</v>
      </c>
      <c r="E963" t="s">
        <v>1413</v>
      </c>
      <c r="F963" s="25" t="s">
        <v>2402</v>
      </c>
    </row>
    <row r="964" spans="2:6">
      <c r="B964" s="24" t="s">
        <v>162</v>
      </c>
      <c r="C964" s="25">
        <v>1</v>
      </c>
      <c r="D964" s="25" t="s">
        <v>79</v>
      </c>
      <c r="E964" t="s">
        <v>1413</v>
      </c>
      <c r="F964" s="25" t="s">
        <v>2403</v>
      </c>
    </row>
    <row r="965" spans="2:6">
      <c r="B965" s="24" t="s">
        <v>163</v>
      </c>
      <c r="C965" s="25">
        <v>2</v>
      </c>
      <c r="D965" s="25" t="s">
        <v>1414</v>
      </c>
      <c r="E965" t="s">
        <v>1416</v>
      </c>
      <c r="F965" s="25" t="s">
        <v>2404</v>
      </c>
    </row>
    <row r="966" spans="2:6">
      <c r="B966" s="24" t="s">
        <v>164</v>
      </c>
      <c r="C966" s="25">
        <v>4</v>
      </c>
      <c r="D966" s="25" t="s">
        <v>85</v>
      </c>
      <c r="E966" t="s">
        <v>1416</v>
      </c>
      <c r="F966" s="25" t="s">
        <v>2405</v>
      </c>
    </row>
    <row r="967" spans="2:6">
      <c r="B967" s="24" t="s">
        <v>165</v>
      </c>
      <c r="C967" s="25">
        <v>12</v>
      </c>
      <c r="D967" s="25" t="s">
        <v>1435</v>
      </c>
      <c r="E967" t="s">
        <v>1413</v>
      </c>
      <c r="F967" s="25" t="s">
        <v>2406</v>
      </c>
    </row>
    <row r="968" spans="2:6">
      <c r="B968" s="24" t="s">
        <v>166</v>
      </c>
      <c r="C968" s="25">
        <v>6</v>
      </c>
      <c r="D968" s="25" t="s">
        <v>1423</v>
      </c>
      <c r="E968" t="s">
        <v>1413</v>
      </c>
      <c r="F968" s="25" t="s">
        <v>2407</v>
      </c>
    </row>
    <row r="969" spans="2:6">
      <c r="B969" s="24" t="s">
        <v>167</v>
      </c>
      <c r="C969" s="25">
        <v>11</v>
      </c>
      <c r="D969" s="25" t="s">
        <v>1433</v>
      </c>
      <c r="E969" t="s">
        <v>1413</v>
      </c>
      <c r="F969" s="25" t="s">
        <v>2408</v>
      </c>
    </row>
    <row r="970" spans="2:6">
      <c r="B970" s="24" t="s">
        <v>168</v>
      </c>
      <c r="C970" s="25">
        <v>13</v>
      </c>
      <c r="D970" s="25" t="s">
        <v>1437</v>
      </c>
      <c r="E970" t="s">
        <v>1413</v>
      </c>
      <c r="F970" s="25" t="s">
        <v>2409</v>
      </c>
    </row>
    <row r="971" spans="2:6">
      <c r="B971" s="24" t="s">
        <v>169</v>
      </c>
      <c r="C971" s="25">
        <v>9</v>
      </c>
      <c r="D971" s="25" t="s">
        <v>1429</v>
      </c>
      <c r="E971" t="s">
        <v>1413</v>
      </c>
      <c r="F971" s="25" t="s">
        <v>2410</v>
      </c>
    </row>
    <row r="972" spans="2:6">
      <c r="B972" s="24" t="s">
        <v>173</v>
      </c>
      <c r="C972" s="25">
        <v>9</v>
      </c>
      <c r="D972" s="25" t="s">
        <v>1429</v>
      </c>
      <c r="E972" t="s">
        <v>1413</v>
      </c>
      <c r="F972" s="25" t="s">
        <v>2411</v>
      </c>
    </row>
    <row r="973" spans="2:6">
      <c r="B973" s="24" t="s">
        <v>174</v>
      </c>
      <c r="C973" s="25">
        <v>6</v>
      </c>
      <c r="D973" s="25" t="s">
        <v>1423</v>
      </c>
      <c r="E973" t="s">
        <v>1413</v>
      </c>
      <c r="F973" s="25" t="s">
        <v>2412</v>
      </c>
    </row>
    <row r="974" spans="2:6">
      <c r="B974" s="24" t="s">
        <v>210</v>
      </c>
      <c r="C974" s="25">
        <v>12</v>
      </c>
      <c r="D974" s="25" t="s">
        <v>1435</v>
      </c>
      <c r="E974" t="s">
        <v>1413</v>
      </c>
      <c r="F974" s="25" t="s">
        <v>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01C6-E09C-4C45-A637-76AE3C770129}">
  <dimension ref="A1:M1002"/>
  <sheetViews>
    <sheetView workbookViewId="0"/>
  </sheetViews>
  <sheetFormatPr defaultRowHeight="15.75"/>
  <cols>
    <col min="1" max="1" width="12.75" bestFit="1" customWidth="1"/>
    <col min="3" max="3" width="19.5" bestFit="1" customWidth="1"/>
  </cols>
  <sheetData>
    <row r="1" spans="1:13" ht="20.25">
      <c r="A1" s="34" t="s">
        <v>1405</v>
      </c>
      <c r="B1" s="34" t="s">
        <v>59</v>
      </c>
      <c r="C1" s="35" t="s">
        <v>2414</v>
      </c>
      <c r="D1" s="34" t="s">
        <v>1406</v>
      </c>
      <c r="E1" s="34" t="s">
        <v>1407</v>
      </c>
      <c r="I1" t="s">
        <v>1405</v>
      </c>
      <c r="J1" s="34" t="s">
        <v>59</v>
      </c>
      <c r="K1" s="35" t="s">
        <v>2414</v>
      </c>
      <c r="L1" s="34" t="s">
        <v>1406</v>
      </c>
      <c r="M1" s="34" t="s">
        <v>1407</v>
      </c>
    </row>
    <row r="2" spans="1:13" customFormat="1" ht="20.25">
      <c r="A2" s="34">
        <v>1</v>
      </c>
      <c r="B2" s="33" t="s">
        <v>64</v>
      </c>
      <c r="C2" s="34">
        <v>15226</v>
      </c>
      <c r="D2" s="33">
        <v>1</v>
      </c>
      <c r="E2" s="33" t="s">
        <v>1413</v>
      </c>
      <c r="I2">
        <v>252</v>
      </c>
      <c r="J2" t="str">
        <f>_xlfn.XLOOKUP($I2,$A:$A,B:B)</f>
        <v>abril</v>
      </c>
      <c r="K2">
        <f>_xlfn.XLOOKUP($I2,$A:$A,C:C)</f>
        <v>63</v>
      </c>
      <c r="L2">
        <f>_xlfn.XLOOKUP($I2,$A:$A,D:D)</f>
        <v>13</v>
      </c>
      <c r="M2" t="str">
        <f>_xlfn.XLOOKUP($I2,$A:$A,E:E)</f>
        <v>L1</v>
      </c>
    </row>
    <row r="3" spans="1:13" customFormat="1" ht="20.25">
      <c r="A3" s="34">
        <v>2</v>
      </c>
      <c r="B3" s="33" t="s">
        <v>66</v>
      </c>
      <c r="C3" s="34">
        <v>7493</v>
      </c>
      <c r="D3" s="33">
        <v>12</v>
      </c>
      <c r="E3" s="33" t="s">
        <v>1413</v>
      </c>
      <c r="I3">
        <v>896</v>
      </c>
      <c r="J3" t="str">
        <f>_xlfn.XLOOKUP($I3,$A:$A,B:B)</f>
        <v>Academia</v>
      </c>
      <c r="K3">
        <f>_xlfn.XLOOKUP($I3,$A:$A,C:C)</f>
        <v>23</v>
      </c>
      <c r="L3">
        <f>_xlfn.XLOOKUP($I3,$A:$A,D:D)</f>
        <v>7</v>
      </c>
      <c r="M3" t="str">
        <f>_xlfn.XLOOKUP($I3,$A:$A,E:E)</f>
        <v>L2</v>
      </c>
    </row>
    <row r="4" spans="1:13" customFormat="1" ht="20.25">
      <c r="A4" s="34">
        <v>3</v>
      </c>
      <c r="B4" s="33" t="s">
        <v>67</v>
      </c>
      <c r="C4" s="35">
        <v>5973</v>
      </c>
      <c r="D4" s="33">
        <v>10</v>
      </c>
      <c r="E4" s="33" t="s">
        <v>1413</v>
      </c>
      <c r="I4">
        <v>990</v>
      </c>
      <c r="J4" t="str">
        <f>_xlfn.XLOOKUP($I4,$A:$A,B:B)</f>
        <v>acceso</v>
      </c>
      <c r="K4">
        <f>_xlfn.XLOOKUP($I4,$A:$A,C:C)</f>
        <v>21</v>
      </c>
      <c r="L4">
        <f>_xlfn.XLOOKUP($I4,$A:$A,D:D)</f>
        <v>5</v>
      </c>
      <c r="M4" t="str">
        <f>_xlfn.XLOOKUP($I4,$A:$A,E:E)</f>
        <v>L2</v>
      </c>
    </row>
    <row r="5" spans="1:13" customFormat="1" ht="20.25">
      <c r="A5" s="34">
        <v>4</v>
      </c>
      <c r="B5" s="33" t="s">
        <v>69</v>
      </c>
      <c r="C5" s="34">
        <v>5435</v>
      </c>
      <c r="D5" s="33">
        <v>12</v>
      </c>
      <c r="E5" s="33" t="s">
        <v>1413</v>
      </c>
      <c r="I5">
        <v>905</v>
      </c>
      <c r="J5" t="str">
        <f>_xlfn.XLOOKUP($I5,$A:$A,B:B)</f>
        <v>accidente</v>
      </c>
      <c r="K5">
        <f>_xlfn.XLOOKUP($I5,$A:$A,C:C)</f>
        <v>22</v>
      </c>
      <c r="L5">
        <f>_xlfn.XLOOKUP($I5,$A:$A,D:D)</f>
        <v>14</v>
      </c>
      <c r="M5" t="str">
        <f>_xlfn.XLOOKUP($I5,$A:$A,E:E)</f>
        <v>L2</v>
      </c>
    </row>
    <row r="6" spans="1:13" customFormat="1" ht="20.25">
      <c r="A6" s="34">
        <v>5</v>
      </c>
      <c r="B6" s="33" t="s">
        <v>70</v>
      </c>
      <c r="C6" s="34">
        <v>5422</v>
      </c>
      <c r="D6" s="33">
        <v>12</v>
      </c>
      <c r="E6" s="33" t="s">
        <v>1413</v>
      </c>
      <c r="I6">
        <v>486</v>
      </c>
      <c r="J6" t="str">
        <f>_xlfn.XLOOKUP($I6,$A:$A,B:B)</f>
        <v>acción</v>
      </c>
      <c r="K6">
        <f>_xlfn.XLOOKUP($I6,$A:$A,C:C)</f>
        <v>0</v>
      </c>
      <c r="L6">
        <f>_xlfn.XLOOKUP($I6,$A:$A,D:D)</f>
        <v>2</v>
      </c>
      <c r="M6" t="str">
        <f>_xlfn.XLOOKUP($I6,$A:$A,E:E)</f>
        <v>L2</v>
      </c>
    </row>
    <row r="7" spans="1:13" customFormat="1" ht="20.25">
      <c r="A7" s="34">
        <v>6</v>
      </c>
      <c r="B7" s="33" t="s">
        <v>71</v>
      </c>
      <c r="C7" s="34">
        <v>4171</v>
      </c>
      <c r="D7" s="33">
        <v>12</v>
      </c>
      <c r="E7" s="33" t="s">
        <v>1413</v>
      </c>
      <c r="I7">
        <v>906</v>
      </c>
      <c r="J7" t="str">
        <f>_xlfn.XLOOKUP($I7,$A:$A,B:B)</f>
        <v>acerca</v>
      </c>
      <c r="K7">
        <f>_xlfn.XLOOKUP($I7,$A:$A,C:C)</f>
        <v>22</v>
      </c>
      <c r="L7">
        <f>_xlfn.XLOOKUP($I7,$A:$A,D:D)</f>
        <v>7</v>
      </c>
      <c r="M7" t="str">
        <f>_xlfn.XLOOKUP($I7,$A:$A,E:E)</f>
        <v>L2</v>
      </c>
    </row>
    <row r="8" spans="1:13" customFormat="1" ht="20.25">
      <c r="A8" s="34"/>
      <c r="B8" s="33"/>
      <c r="C8" s="34"/>
      <c r="D8" s="33"/>
      <c r="E8" s="33"/>
      <c r="I8">
        <v>372</v>
      </c>
      <c r="J8" t="str">
        <f>_xlfn.XLOOKUP($I8,$A:$A,B:B)</f>
        <v>actividad</v>
      </c>
      <c r="K8">
        <f>_xlfn.XLOOKUP($I8,$A:$A,C:C)</f>
        <v>46</v>
      </c>
      <c r="L8">
        <f>_xlfn.XLOOKUP($I8,$A:$A,D:D)</f>
        <v>13</v>
      </c>
      <c r="M8" t="str">
        <f>_xlfn.XLOOKUP($I8,$A:$A,E:E)</f>
        <v>L2</v>
      </c>
    </row>
    <row r="9" spans="1:13" customFormat="1" ht="20.25">
      <c r="A9" s="34">
        <v>8</v>
      </c>
      <c r="B9" s="33" t="s">
        <v>74</v>
      </c>
      <c r="C9" s="34">
        <v>2845</v>
      </c>
      <c r="D9" s="33">
        <v>12</v>
      </c>
      <c r="E9" s="33" t="s">
        <v>1413</v>
      </c>
      <c r="I9">
        <v>471</v>
      </c>
      <c r="J9" t="str">
        <f>_xlfn.XLOOKUP($I9,$A:$A,B:B)</f>
        <v>actividades</v>
      </c>
      <c r="K9">
        <f>_xlfn.XLOOKUP($I9,$A:$A,C:C)</f>
        <v>38</v>
      </c>
      <c r="L9">
        <f>_xlfn.XLOOKUP($I9,$A:$A,D:D)</f>
        <v>13</v>
      </c>
      <c r="M9" t="str">
        <f>_xlfn.XLOOKUP($I9,$A:$A,E:E)</f>
        <v>L2</v>
      </c>
    </row>
    <row r="10" spans="1:13" customFormat="1" ht="20.25">
      <c r="A10" s="34">
        <v>9</v>
      </c>
      <c r="B10" s="33" t="s">
        <v>75</v>
      </c>
      <c r="C10" s="34">
        <v>2800</v>
      </c>
      <c r="D10" s="33">
        <v>12</v>
      </c>
      <c r="E10" s="33" t="s">
        <v>1413</v>
      </c>
      <c r="I10">
        <v>855</v>
      </c>
      <c r="J10" t="str">
        <f>_xlfn.XLOOKUP($I10,$A:$A,B:B)</f>
        <v>acto</v>
      </c>
      <c r="K10">
        <f>_xlfn.XLOOKUP($I10,$A:$A,C:C)</f>
        <v>23</v>
      </c>
      <c r="L10">
        <f>_xlfn.XLOOKUP($I10,$A:$A,D:D)</f>
        <v>8</v>
      </c>
      <c r="M10" t="str">
        <f>_xlfn.XLOOKUP($I10,$A:$A,E:E)</f>
        <v>L2</v>
      </c>
    </row>
    <row r="11" spans="1:13" customFormat="1" ht="20.25">
      <c r="A11" s="34">
        <v>10</v>
      </c>
      <c r="B11" s="33" t="s">
        <v>78</v>
      </c>
      <c r="C11" s="34">
        <v>2645</v>
      </c>
      <c r="D11" s="33">
        <v>1</v>
      </c>
      <c r="E11" s="33" t="s">
        <v>1413</v>
      </c>
      <c r="I11">
        <v>729</v>
      </c>
      <c r="J11" t="str">
        <f>_xlfn.XLOOKUP($I11,$A:$A,B:B)</f>
        <v>actor</v>
      </c>
      <c r="K11">
        <f>_xlfn.XLOOKUP($I11,$A:$A,C:C)</f>
        <v>27</v>
      </c>
      <c r="L11">
        <f>_xlfn.XLOOKUP($I11,$A:$A,D:D)</f>
        <v>3</v>
      </c>
      <c r="M11" t="str">
        <f>_xlfn.XLOOKUP($I11,$A:$A,E:E)</f>
        <v>L1</v>
      </c>
    </row>
    <row r="12" spans="1:13" customFormat="1" ht="20.25">
      <c r="A12" s="34">
        <v>11</v>
      </c>
      <c r="B12" s="33" t="s">
        <v>80</v>
      </c>
      <c r="C12" s="34">
        <v>2205</v>
      </c>
      <c r="D12" s="33">
        <v>12</v>
      </c>
      <c r="E12" s="33" t="s">
        <v>1413</v>
      </c>
      <c r="I12">
        <v>520</v>
      </c>
      <c r="J12" t="str">
        <f>_xlfn.XLOOKUP($I12,$A:$A,B:B)</f>
        <v>actual</v>
      </c>
      <c r="K12">
        <f>_xlfn.XLOOKUP($I12,$A:$A,C:C)</f>
        <v>35</v>
      </c>
      <c r="L12">
        <f>_xlfn.XLOOKUP($I12,$A:$A,D:D)</f>
        <v>1</v>
      </c>
      <c r="M12" t="str">
        <f>_xlfn.XLOOKUP($I12,$A:$A,E:E)</f>
        <v>L2</v>
      </c>
    </row>
    <row r="13" spans="1:13" customFormat="1" ht="20.25">
      <c r="A13" s="34">
        <v>12</v>
      </c>
      <c r="B13" s="33" t="s">
        <v>82</v>
      </c>
      <c r="C13" s="34">
        <v>2051</v>
      </c>
      <c r="D13" s="33">
        <v>5</v>
      </c>
      <c r="E13" s="33" t="s">
        <v>1413</v>
      </c>
      <c r="I13">
        <v>441</v>
      </c>
      <c r="J13" t="str">
        <f>_xlfn.XLOOKUP($I13,$A:$A,B:B)</f>
        <v>actualidad</v>
      </c>
      <c r="K13">
        <f>_xlfn.XLOOKUP($I13,$A:$A,C:C)</f>
        <v>40</v>
      </c>
      <c r="L13">
        <f>_xlfn.XLOOKUP($I13,$A:$A,D:D)</f>
        <v>1</v>
      </c>
      <c r="M13" t="str">
        <f>_xlfn.XLOOKUP($I13,$A:$A,E:E)</f>
        <v>L2</v>
      </c>
    </row>
    <row r="14" spans="1:13" customFormat="1" ht="20.25">
      <c r="A14" s="34">
        <v>13</v>
      </c>
      <c r="B14" s="33" t="s">
        <v>84</v>
      </c>
      <c r="C14" s="34">
        <v>2023</v>
      </c>
      <c r="D14" s="33">
        <v>12</v>
      </c>
      <c r="E14" s="33" t="s">
        <v>1413</v>
      </c>
      <c r="I14">
        <v>468</v>
      </c>
      <c r="J14" t="str">
        <f>_xlfn.XLOOKUP($I14,$A:$A,B:B)</f>
        <v>Actualmente</v>
      </c>
      <c r="K14">
        <f>_xlfn.XLOOKUP($I14,$A:$A,C:C)</f>
        <v>38</v>
      </c>
      <c r="L14">
        <f>_xlfn.XLOOKUP($I14,$A:$A,D:D)</f>
        <v>1</v>
      </c>
      <c r="M14" t="str">
        <f>_xlfn.XLOOKUP($I14,$A:$A,E:E)</f>
        <v>L2</v>
      </c>
    </row>
    <row r="15" spans="1:13" customFormat="1" ht="20.25">
      <c r="A15" s="34">
        <v>14</v>
      </c>
      <c r="B15" s="33" t="s">
        <v>86</v>
      </c>
      <c r="C15" s="34">
        <v>2014</v>
      </c>
      <c r="D15" s="33">
        <v>12</v>
      </c>
      <c r="E15" s="33" t="s">
        <v>1413</v>
      </c>
      <c r="I15">
        <v>299</v>
      </c>
      <c r="J15" t="str">
        <f>_xlfn.XLOOKUP($I15,$A:$A,B:B)</f>
        <v>acuerdo</v>
      </c>
      <c r="K15">
        <f>_xlfn.XLOOKUP($I15,$A:$A,C:C)</f>
        <v>55</v>
      </c>
      <c r="L15">
        <f>_xlfn.XLOOKUP($I15,$A:$A,D:D)</f>
        <v>1</v>
      </c>
      <c r="M15" t="str">
        <f>_xlfn.XLOOKUP($I15,$A:$A,E:E)</f>
        <v>L2</v>
      </c>
    </row>
    <row r="16" spans="1:13" customFormat="1" ht="20.25">
      <c r="A16" s="34">
        <v>15</v>
      </c>
      <c r="B16" s="33" t="s">
        <v>88</v>
      </c>
      <c r="C16" s="34">
        <v>1946</v>
      </c>
      <c r="D16" s="33">
        <v>12</v>
      </c>
      <c r="E16" s="33" t="s">
        <v>1413</v>
      </c>
      <c r="I16">
        <v>907</v>
      </c>
      <c r="J16" t="str">
        <f>_xlfn.XLOOKUP($I16,$A:$A,B:B)</f>
        <v>adelante</v>
      </c>
      <c r="K16">
        <f>_xlfn.XLOOKUP($I16,$A:$A,C:C)</f>
        <v>22</v>
      </c>
      <c r="L16">
        <f>_xlfn.XLOOKUP($I16,$A:$A,D:D)</f>
        <v>13</v>
      </c>
      <c r="M16" t="str">
        <f>_xlfn.XLOOKUP($I16,$A:$A,E:E)</f>
        <v>L1</v>
      </c>
    </row>
    <row r="17" spans="1:13" customFormat="1" ht="20.25">
      <c r="A17" s="34">
        <v>16</v>
      </c>
      <c r="B17" s="33" t="s">
        <v>90</v>
      </c>
      <c r="C17" s="34">
        <v>1899</v>
      </c>
      <c r="D17" s="33">
        <v>8</v>
      </c>
      <c r="E17" s="33" t="s">
        <v>1413</v>
      </c>
      <c r="I17">
        <v>145</v>
      </c>
      <c r="J17" t="str">
        <f>_xlfn.XLOOKUP($I17,$A:$A,B:B)</f>
        <v>Además</v>
      </c>
      <c r="K17">
        <f>_xlfn.XLOOKUP($I17,$A:$A,C:C)</f>
        <v>94</v>
      </c>
      <c r="L17">
        <f>_xlfn.XLOOKUP($I17,$A:$A,D:D)</f>
        <v>12</v>
      </c>
      <c r="M17" t="str">
        <f>_xlfn.XLOOKUP($I17,$A:$A,E:E)</f>
        <v>L2</v>
      </c>
    </row>
    <row r="18" spans="1:13" customFormat="1" ht="20.25">
      <c r="A18" s="34">
        <v>17</v>
      </c>
      <c r="B18" s="33" t="s">
        <v>92</v>
      </c>
      <c r="C18" s="34">
        <v>1498</v>
      </c>
      <c r="D18" s="33">
        <v>5</v>
      </c>
      <c r="E18" s="33" t="s">
        <v>1413</v>
      </c>
      <c r="I18">
        <v>698</v>
      </c>
      <c r="J18" t="str">
        <f>_xlfn.XLOOKUP($I18,$A:$A,B:B)</f>
        <v>administración</v>
      </c>
      <c r="K18">
        <f>_xlfn.XLOOKUP($I18,$A:$A,C:C)</f>
        <v>28</v>
      </c>
      <c r="L18">
        <f>_xlfn.XLOOKUP($I18,$A:$A,D:D)</f>
        <v>1</v>
      </c>
      <c r="M18" t="str">
        <f>_xlfn.XLOOKUP($I18,$A:$A,E:E)</f>
        <v>L3</v>
      </c>
    </row>
    <row r="19" spans="1:13" customFormat="1" ht="20.25">
      <c r="A19" s="34">
        <v>18</v>
      </c>
      <c r="B19" s="33" t="s">
        <v>94</v>
      </c>
      <c r="C19" s="34">
        <v>1206</v>
      </c>
      <c r="D19" s="33">
        <v>1</v>
      </c>
      <c r="E19" s="33" t="s">
        <v>1413</v>
      </c>
      <c r="I19">
        <v>249</v>
      </c>
      <c r="J19" t="str">
        <f>_xlfn.XLOOKUP($I19,$A:$A,B:B)</f>
        <v>agosto</v>
      </c>
      <c r="K19">
        <f>_xlfn.XLOOKUP($I19,$A:$A,C:C)</f>
        <v>64</v>
      </c>
      <c r="L19">
        <f>_xlfn.XLOOKUP($I19,$A:$A,D:D)</f>
        <v>13</v>
      </c>
      <c r="M19" t="str">
        <f>_xlfn.XLOOKUP($I19,$A:$A,E:E)</f>
        <v>L1</v>
      </c>
    </row>
    <row r="20" spans="1:13" customFormat="1" ht="20.25">
      <c r="A20" s="34"/>
      <c r="B20" s="33"/>
      <c r="C20" s="34"/>
      <c r="D20" s="33"/>
      <c r="E20" s="33"/>
      <c r="I20">
        <v>281</v>
      </c>
      <c r="J20" t="str">
        <f>_xlfn.XLOOKUP($I20,$A:$A,B:B)</f>
        <v>agua</v>
      </c>
      <c r="K20">
        <f>_xlfn.XLOOKUP($I20,$A:$A,C:C)</f>
        <v>57</v>
      </c>
      <c r="L20">
        <f>_xlfn.XLOOKUP($I20,$A:$A,D:D)</f>
        <v>10</v>
      </c>
      <c r="M20" t="str">
        <f>_xlfn.XLOOKUP($I20,$A:$A,E:E)</f>
        <v>L1</v>
      </c>
    </row>
    <row r="21" spans="1:13" customFormat="1" ht="20.25">
      <c r="A21" s="34">
        <v>20</v>
      </c>
      <c r="B21" s="33" t="s">
        <v>97</v>
      </c>
      <c r="C21" s="34">
        <v>1140</v>
      </c>
      <c r="D21" s="33">
        <v>12</v>
      </c>
      <c r="E21" s="33" t="s">
        <v>1413</v>
      </c>
      <c r="I21">
        <v>805</v>
      </c>
      <c r="J21" t="str">
        <f>_xlfn.XLOOKUP($I21,$A:$A,B:B)</f>
        <v>aguas</v>
      </c>
      <c r="K21">
        <f>_xlfn.XLOOKUP($I21,$A:$A,C:C)</f>
        <v>25</v>
      </c>
      <c r="L21">
        <f>_xlfn.XLOOKUP($I21,$A:$A,D:D)</f>
        <v>10</v>
      </c>
      <c r="M21" t="str">
        <f>_xlfn.XLOOKUP($I21,$A:$A,E:E)</f>
        <v>L1</v>
      </c>
    </row>
    <row r="22" spans="1:13" customFormat="1" ht="20.25">
      <c r="A22" s="34">
        <v>21</v>
      </c>
      <c r="B22" s="33" t="s">
        <v>98</v>
      </c>
      <c r="C22" s="34">
        <v>1055</v>
      </c>
      <c r="D22" s="33">
        <v>13</v>
      </c>
      <c r="E22" s="33" t="s">
        <v>1413</v>
      </c>
      <c r="I22">
        <v>442</v>
      </c>
      <c r="J22" t="str">
        <f>_xlfn.XLOOKUP($I22,$A:$A,B:B)</f>
        <v>ahora</v>
      </c>
      <c r="K22">
        <f>_xlfn.XLOOKUP($I22,$A:$A,C:C)</f>
        <v>40</v>
      </c>
      <c r="L22">
        <f>_xlfn.XLOOKUP($I22,$A:$A,D:D)</f>
        <v>14</v>
      </c>
      <c r="M22" t="str">
        <f>_xlfn.XLOOKUP($I22,$A:$A,E:E)</f>
        <v>L1</v>
      </c>
    </row>
    <row r="23" spans="1:13" customFormat="1" ht="20.25">
      <c r="A23" s="34"/>
      <c r="B23" s="33"/>
      <c r="C23" s="34"/>
      <c r="D23" s="33"/>
      <c r="E23" s="33"/>
      <c r="I23">
        <v>699</v>
      </c>
      <c r="J23" t="str">
        <f>_xlfn.XLOOKUP($I23,$A:$A,B:B)</f>
        <v>aire</v>
      </c>
      <c r="K23">
        <f>_xlfn.XLOOKUP($I23,$A:$A,C:C)</f>
        <v>28</v>
      </c>
      <c r="L23">
        <f>_xlfn.XLOOKUP($I23,$A:$A,D:D)</f>
        <v>14</v>
      </c>
      <c r="M23" t="str">
        <f>_xlfn.XLOOKUP($I23,$A:$A,E:E)</f>
        <v>L1</v>
      </c>
    </row>
    <row r="24" spans="1:13" customFormat="1" ht="20.25">
      <c r="A24" s="34">
        <v>23</v>
      </c>
      <c r="B24" s="33" t="s">
        <v>100</v>
      </c>
      <c r="C24" s="34">
        <v>944</v>
      </c>
      <c r="D24" s="33">
        <v>9</v>
      </c>
      <c r="E24" s="33" t="s">
        <v>1413</v>
      </c>
      <c r="I24">
        <v>21</v>
      </c>
      <c r="J24" t="str">
        <f>_xlfn.XLOOKUP($I24,$A:$A,B:B)</f>
        <v>al</v>
      </c>
      <c r="K24">
        <f>_xlfn.XLOOKUP($I24,$A:$A,C:C)</f>
        <v>1055</v>
      </c>
      <c r="L24">
        <f>_xlfn.XLOOKUP($I24,$A:$A,D:D)</f>
        <v>13</v>
      </c>
      <c r="M24" t="str">
        <f>_xlfn.XLOOKUP($I24,$A:$A,E:E)</f>
        <v>L1</v>
      </c>
    </row>
    <row r="25" spans="1:13" customFormat="1" ht="20.25">
      <c r="A25" s="34">
        <v>24</v>
      </c>
      <c r="B25" s="33" t="s">
        <v>101</v>
      </c>
      <c r="C25" s="34">
        <v>891</v>
      </c>
      <c r="D25" s="33">
        <v>12</v>
      </c>
      <c r="E25" s="33" t="s">
        <v>1413</v>
      </c>
      <c r="I25">
        <v>228</v>
      </c>
      <c r="J25" t="str">
        <f>_xlfn.XLOOKUP($I25,$A:$A,B:B)</f>
        <v>álbum</v>
      </c>
      <c r="K25">
        <f>_xlfn.XLOOKUP($I25,$A:$A,C:C)</f>
        <v>68</v>
      </c>
      <c r="L25">
        <f>_xlfn.XLOOKUP($I25,$A:$A,D:D)</f>
        <v>3</v>
      </c>
      <c r="M25" t="str">
        <f>_xlfn.XLOOKUP($I25,$A:$A,E:E)</f>
        <v>L2</v>
      </c>
    </row>
    <row r="26" spans="1:13" customFormat="1" ht="20.25">
      <c r="A26" s="34"/>
      <c r="B26" s="33"/>
      <c r="C26" s="34"/>
      <c r="D26" s="33"/>
      <c r="E26" s="33"/>
      <c r="I26">
        <v>856</v>
      </c>
      <c r="J26" t="str">
        <f>_xlfn.XLOOKUP($I26,$A:$A,B:B)</f>
        <v>alemán</v>
      </c>
      <c r="K26">
        <f>_xlfn.XLOOKUP($I26,$A:$A,C:C)</f>
        <v>23</v>
      </c>
      <c r="L26">
        <f>_xlfn.XLOOKUP($I26,$A:$A,D:D)</f>
        <v>12</v>
      </c>
      <c r="M26" t="str">
        <f>_xlfn.XLOOKUP($I26,$A:$A,E:E)</f>
        <v>L1</v>
      </c>
    </row>
    <row r="27" spans="1:13" customFormat="1" ht="20.25">
      <c r="A27" s="34">
        <v>26</v>
      </c>
      <c r="B27" s="33" t="s">
        <v>103</v>
      </c>
      <c r="C27" s="34">
        <v>855</v>
      </c>
      <c r="D27" s="33">
        <v>2</v>
      </c>
      <c r="E27" s="33" t="s">
        <v>1413</v>
      </c>
      <c r="I27">
        <v>572</v>
      </c>
      <c r="J27" t="str">
        <f>_xlfn.XLOOKUP($I27,$A:$A,B:B)</f>
        <v>Alemania</v>
      </c>
      <c r="K27">
        <f>_xlfn.XLOOKUP($I27,$A:$A,C:C)</f>
        <v>32</v>
      </c>
      <c r="L27">
        <f>_xlfn.XLOOKUP($I27,$A:$A,D:D)</f>
        <v>1</v>
      </c>
      <c r="M27" t="str">
        <f>_xlfn.XLOOKUP($I27,$A:$A,E:E)</f>
        <v>L1</v>
      </c>
    </row>
    <row r="28" spans="1:13" customFormat="1" ht="20.25">
      <c r="A28" s="34">
        <v>27</v>
      </c>
      <c r="B28" s="33" t="s">
        <v>104</v>
      </c>
      <c r="C28" s="34">
        <v>663</v>
      </c>
      <c r="D28" s="33">
        <v>12</v>
      </c>
      <c r="E28" s="33" t="s">
        <v>1413</v>
      </c>
      <c r="I28">
        <v>547</v>
      </c>
      <c r="J28" t="str">
        <f>_xlfn.XLOOKUP($I28,$A:$A,B:B)</f>
        <v>algo</v>
      </c>
      <c r="K28">
        <f>_xlfn.XLOOKUP($I28,$A:$A,C:C)</f>
        <v>34</v>
      </c>
      <c r="L28">
        <f>_xlfn.XLOOKUP($I28,$A:$A,D:D)</f>
        <v>13</v>
      </c>
      <c r="M28" t="str">
        <f>_xlfn.XLOOKUP($I28,$A:$A,E:E)</f>
        <v>L1</v>
      </c>
    </row>
    <row r="29" spans="1:13" customFormat="1" ht="20.25">
      <c r="A29" s="34">
        <v>28</v>
      </c>
      <c r="B29" s="33" t="s">
        <v>105</v>
      </c>
      <c r="C29" s="34">
        <v>652</v>
      </c>
      <c r="D29" s="33">
        <v>15</v>
      </c>
      <c r="E29" s="33" t="s">
        <v>1413</v>
      </c>
      <c r="I29">
        <v>766</v>
      </c>
      <c r="J29" t="str">
        <f>_xlfn.XLOOKUP($I29,$A:$A,B:B)</f>
        <v>algún</v>
      </c>
      <c r="K29">
        <f>_xlfn.XLOOKUP($I29,$A:$A,C:C)</f>
        <v>26</v>
      </c>
      <c r="L29">
        <f>_xlfn.XLOOKUP($I29,$A:$A,D:D)</f>
        <v>15</v>
      </c>
      <c r="M29" t="str">
        <f>_xlfn.XLOOKUP($I29,$A:$A,E:E)</f>
        <v>L1</v>
      </c>
    </row>
    <row r="30" spans="1:13" customFormat="1" ht="20.25">
      <c r="A30" s="34">
        <v>29</v>
      </c>
      <c r="B30" s="33" t="s">
        <v>106</v>
      </c>
      <c r="C30" s="34">
        <v>458</v>
      </c>
      <c r="D30" s="33">
        <v>2</v>
      </c>
      <c r="E30" s="33" t="s">
        <v>1413</v>
      </c>
      <c r="I30">
        <v>579</v>
      </c>
      <c r="J30" t="str">
        <f>_xlfn.XLOOKUP($I30,$A:$A,B:B)</f>
        <v>alguna</v>
      </c>
      <c r="K30">
        <f>_xlfn.XLOOKUP($I30,$A:$A,C:C)</f>
        <v>32</v>
      </c>
      <c r="L30">
        <f>_xlfn.XLOOKUP($I30,$A:$A,D:D)</f>
        <v>12</v>
      </c>
      <c r="M30" t="str">
        <f>_xlfn.XLOOKUP($I30,$A:$A,E:E)</f>
        <v>L1</v>
      </c>
    </row>
    <row r="31" spans="1:13" customFormat="1" ht="20.25">
      <c r="A31" s="34">
        <v>30</v>
      </c>
      <c r="B31" s="33" t="s">
        <v>107</v>
      </c>
      <c r="C31" s="34">
        <v>390</v>
      </c>
      <c r="D31" s="33">
        <v>12</v>
      </c>
      <c r="E31" s="33" t="s">
        <v>1413</v>
      </c>
      <c r="I31">
        <v>234</v>
      </c>
      <c r="J31" t="str">
        <f>_xlfn.XLOOKUP($I31,$A:$A,B:B)</f>
        <v>algunas</v>
      </c>
      <c r="K31">
        <f>_xlfn.XLOOKUP($I31,$A:$A,C:C)</f>
        <v>67</v>
      </c>
      <c r="L31">
        <f>_xlfn.XLOOKUP($I31,$A:$A,D:D)</f>
        <v>15</v>
      </c>
      <c r="M31" t="str">
        <f>_xlfn.XLOOKUP($I31,$A:$A,E:E)</f>
        <v>L1</v>
      </c>
    </row>
    <row r="32" spans="1:13" customFormat="1" ht="20.25">
      <c r="A32" s="34">
        <v>31</v>
      </c>
      <c r="B32" s="33" t="s">
        <v>108</v>
      </c>
      <c r="C32" s="34">
        <v>379</v>
      </c>
      <c r="D32" s="33">
        <v>4</v>
      </c>
      <c r="E32" s="33" t="s">
        <v>1413</v>
      </c>
      <c r="I32">
        <v>400</v>
      </c>
      <c r="J32" t="str">
        <f>_xlfn.XLOOKUP($I32,$A:$A,B:B)</f>
        <v>allí</v>
      </c>
      <c r="K32">
        <f>_xlfn.XLOOKUP($I32,$A:$A,C:C)</f>
        <v>0</v>
      </c>
      <c r="L32">
        <f>_xlfn.XLOOKUP($I32,$A:$A,D:D)</f>
        <v>13</v>
      </c>
      <c r="M32" t="str">
        <f>_xlfn.XLOOKUP($I32,$A:$A,E:E)</f>
        <v>L1</v>
      </c>
    </row>
    <row r="33" spans="1:13" customFormat="1" ht="20.25">
      <c r="A33" s="34"/>
      <c r="B33" s="33"/>
      <c r="C33" s="34"/>
      <c r="D33" s="33"/>
      <c r="E33" s="33"/>
      <c r="I33">
        <v>275</v>
      </c>
      <c r="J33" t="str">
        <f>_xlfn.XLOOKUP($I33,$A:$A,B:B)</f>
        <v>alrededor</v>
      </c>
      <c r="K33">
        <f>_xlfn.XLOOKUP($I33,$A:$A,C:C)</f>
        <v>58</v>
      </c>
      <c r="L33">
        <f>_xlfn.XLOOKUP($I33,$A:$A,D:D)</f>
        <v>10</v>
      </c>
      <c r="M33" t="str">
        <f>_xlfn.XLOOKUP($I33,$A:$A,E:E)</f>
        <v>L2</v>
      </c>
    </row>
    <row r="34" spans="1:13" customFormat="1" ht="20.25">
      <c r="A34" s="34">
        <v>33</v>
      </c>
      <c r="B34" s="33" t="s">
        <v>110</v>
      </c>
      <c r="C34" s="34">
        <v>373</v>
      </c>
      <c r="D34" s="33">
        <v>12</v>
      </c>
      <c r="E34" s="33" t="s">
        <v>1416</v>
      </c>
      <c r="I34">
        <v>384</v>
      </c>
      <c r="J34" t="str">
        <f>_xlfn.XLOOKUP($I34,$A:$A,B:B)</f>
        <v>alta</v>
      </c>
      <c r="K34">
        <f>_xlfn.XLOOKUP($I34,$A:$A,C:C)</f>
        <v>45</v>
      </c>
      <c r="L34">
        <f>_xlfn.XLOOKUP($I34,$A:$A,D:D)</f>
        <v>11</v>
      </c>
      <c r="M34" t="str">
        <f>_xlfn.XLOOKUP($I34,$A:$A,E:E)</f>
        <v>L1</v>
      </c>
    </row>
    <row r="35" spans="1:13" customFormat="1" ht="20.25">
      <c r="A35" s="34">
        <v>34</v>
      </c>
      <c r="B35" s="33" t="s">
        <v>111</v>
      </c>
      <c r="C35" s="34">
        <v>362</v>
      </c>
      <c r="D35" s="33">
        <v>9</v>
      </c>
      <c r="E35" s="33" t="s">
        <v>1413</v>
      </c>
      <c r="I35">
        <v>373</v>
      </c>
      <c r="J35" t="str">
        <f>_xlfn.XLOOKUP($I35,$A:$A,B:B)</f>
        <v>alto</v>
      </c>
      <c r="K35">
        <f>_xlfn.XLOOKUP($I35,$A:$A,C:C)</f>
        <v>46</v>
      </c>
      <c r="L35">
        <f>_xlfn.XLOOKUP($I35,$A:$A,D:D)</f>
        <v>6</v>
      </c>
      <c r="M35" t="str">
        <f>_xlfn.XLOOKUP($I35,$A:$A,E:E)</f>
        <v>L1</v>
      </c>
    </row>
    <row r="36" spans="1:13" customFormat="1" ht="20.25">
      <c r="A36" s="34">
        <v>35</v>
      </c>
      <c r="B36" s="33" t="s">
        <v>112</v>
      </c>
      <c r="C36" s="34">
        <v>359</v>
      </c>
      <c r="D36" s="33">
        <v>12</v>
      </c>
      <c r="E36" s="33" t="s">
        <v>1413</v>
      </c>
      <c r="I36">
        <v>730</v>
      </c>
      <c r="J36" t="str">
        <f>_xlfn.XLOOKUP($I36,$A:$A,B:B)</f>
        <v>altura</v>
      </c>
      <c r="K36">
        <f>_xlfn.XLOOKUP($I36,$A:$A,C:C)</f>
        <v>27</v>
      </c>
      <c r="L36">
        <f>_xlfn.XLOOKUP($I36,$A:$A,D:D)</f>
        <v>10</v>
      </c>
      <c r="M36" t="str">
        <f>_xlfn.XLOOKUP($I36,$A:$A,E:E)</f>
        <v>L2</v>
      </c>
    </row>
    <row r="37" spans="1:13" customFormat="1" ht="20.25">
      <c r="A37" s="34">
        <v>36</v>
      </c>
      <c r="B37" s="33" t="s">
        <v>113</v>
      </c>
      <c r="C37" s="34">
        <v>334</v>
      </c>
      <c r="D37" s="33">
        <v>9</v>
      </c>
      <c r="E37" s="33" t="s">
        <v>1419</v>
      </c>
      <c r="I37">
        <v>600</v>
      </c>
      <c r="J37" t="str">
        <f>_xlfn.XLOOKUP($I37,$A:$A,B:B)</f>
        <v>ambas</v>
      </c>
      <c r="K37">
        <f>_xlfn.XLOOKUP($I37,$A:$A,C:C)</f>
        <v>31</v>
      </c>
      <c r="L37">
        <f>_xlfn.XLOOKUP($I37,$A:$A,D:D)</f>
        <v>12</v>
      </c>
      <c r="M37" t="str">
        <f>_xlfn.XLOOKUP($I37,$A:$A,E:E)</f>
        <v>L3</v>
      </c>
    </row>
    <row r="38" spans="1:13" customFormat="1" ht="20.25">
      <c r="A38" s="34">
        <v>37</v>
      </c>
      <c r="B38" s="33" t="s">
        <v>114</v>
      </c>
      <c r="C38" s="34">
        <v>330</v>
      </c>
      <c r="D38" s="33">
        <v>13</v>
      </c>
      <c r="E38" s="33" t="s">
        <v>1413</v>
      </c>
      <c r="I38">
        <v>310</v>
      </c>
      <c r="J38" t="str">
        <f>_xlfn.XLOOKUP($I38,$A:$A,B:B)</f>
        <v>ambos</v>
      </c>
      <c r="K38">
        <f>_xlfn.XLOOKUP($I38,$A:$A,C:C)</f>
        <v>54</v>
      </c>
      <c r="L38">
        <f>_xlfn.XLOOKUP($I38,$A:$A,D:D)</f>
        <v>12</v>
      </c>
      <c r="M38" t="str">
        <f>_xlfn.XLOOKUP($I38,$A:$A,E:E)</f>
        <v>L2</v>
      </c>
    </row>
    <row r="39" spans="1:13" customFormat="1" ht="20.25">
      <c r="A39" s="34">
        <v>38</v>
      </c>
      <c r="B39" s="33" t="s">
        <v>115</v>
      </c>
      <c r="C39" s="34">
        <v>313</v>
      </c>
      <c r="D39" s="33">
        <v>12</v>
      </c>
      <c r="E39" s="33" t="s">
        <v>1416</v>
      </c>
      <c r="I39">
        <v>469</v>
      </c>
      <c r="J39" t="str">
        <f>_xlfn.XLOOKUP($I39,$A:$A,B:B)</f>
        <v>América</v>
      </c>
      <c r="K39">
        <f>_xlfn.XLOOKUP($I39,$A:$A,C:C)</f>
        <v>38</v>
      </c>
      <c r="L39">
        <f>_xlfn.XLOOKUP($I39,$A:$A,D:D)</f>
        <v>10</v>
      </c>
      <c r="M39" t="str">
        <f>_xlfn.XLOOKUP($I39,$A:$A,E:E)</f>
        <v>L1</v>
      </c>
    </row>
    <row r="40" spans="1:13" customFormat="1" ht="20.25">
      <c r="A40" s="34">
        <v>39</v>
      </c>
      <c r="B40" s="33" t="s">
        <v>116</v>
      </c>
      <c r="C40" s="34">
        <v>311</v>
      </c>
      <c r="D40" s="33">
        <v>12</v>
      </c>
      <c r="E40" s="33" t="s">
        <v>1413</v>
      </c>
      <c r="I40">
        <v>666</v>
      </c>
      <c r="J40" t="str">
        <f>_xlfn.XLOOKUP($I40,$A:$A,B:B)</f>
        <v>amigos</v>
      </c>
      <c r="K40">
        <f>_xlfn.XLOOKUP($I40,$A:$A,C:C)</f>
        <v>29</v>
      </c>
      <c r="L40">
        <f>_xlfn.XLOOKUP($I40,$A:$A,D:D)</f>
        <v>13</v>
      </c>
      <c r="M40" t="str">
        <f>_xlfn.XLOOKUP($I40,$A:$A,E:E)</f>
        <v>L1</v>
      </c>
    </row>
    <row r="41" spans="1:13" customFormat="1" ht="20.25">
      <c r="A41" s="34">
        <v>40</v>
      </c>
      <c r="B41" s="33" t="s">
        <v>117</v>
      </c>
      <c r="C41" s="34">
        <v>311</v>
      </c>
      <c r="D41" s="33">
        <v>2</v>
      </c>
      <c r="E41" s="33" t="s">
        <v>1413</v>
      </c>
      <c r="I41">
        <v>908</v>
      </c>
      <c r="J41" t="str">
        <f>_xlfn.XLOOKUP($I41,$A:$A,B:B)</f>
        <v>and</v>
      </c>
      <c r="K41">
        <f>_xlfn.XLOOKUP($I41,$A:$A,C:C)</f>
        <v>22</v>
      </c>
      <c r="L41">
        <f>_xlfn.XLOOKUP($I41,$A:$A,D:D)</f>
        <v>15</v>
      </c>
      <c r="M41" t="str">
        <f>_xlfn.XLOOKUP($I41,$A:$A,E:E)</f>
        <v>L1</v>
      </c>
    </row>
    <row r="42" spans="1:13" customFormat="1" ht="20.25">
      <c r="A42" s="34">
        <v>41</v>
      </c>
      <c r="B42" s="33" t="s">
        <v>118</v>
      </c>
      <c r="C42" s="34">
        <v>294</v>
      </c>
      <c r="D42" s="33">
        <v>9</v>
      </c>
      <c r="E42" s="33" t="s">
        <v>1413</v>
      </c>
      <c r="I42">
        <v>44</v>
      </c>
      <c r="J42" t="str">
        <f>_xlfn.XLOOKUP($I42,$A:$A,B:B)</f>
        <v>año</v>
      </c>
      <c r="K42">
        <f>_xlfn.XLOOKUP($I42,$A:$A,C:C)</f>
        <v>280</v>
      </c>
      <c r="L42">
        <f>_xlfn.XLOOKUP($I42,$A:$A,D:D)</f>
        <v>1</v>
      </c>
      <c r="M42" t="str">
        <f>_xlfn.XLOOKUP($I42,$A:$A,E:E)</f>
        <v>L1</v>
      </c>
    </row>
    <row r="43" spans="1:13" customFormat="1" ht="20.25">
      <c r="A43" s="34">
        <v>42</v>
      </c>
      <c r="B43" s="33" t="s">
        <v>119</v>
      </c>
      <c r="C43" s="34">
        <v>292</v>
      </c>
      <c r="D43" s="33">
        <v>12</v>
      </c>
      <c r="E43" s="33" t="s">
        <v>1413</v>
      </c>
      <c r="I43">
        <v>34</v>
      </c>
      <c r="J43" t="str">
        <f>_xlfn.XLOOKUP($I43,$A:$A,B:B)</f>
        <v>años</v>
      </c>
      <c r="K43">
        <f>_xlfn.XLOOKUP($I43,$A:$A,C:C)</f>
        <v>362</v>
      </c>
      <c r="L43">
        <f>_xlfn.XLOOKUP($I43,$A:$A,D:D)</f>
        <v>9</v>
      </c>
      <c r="M43" t="str">
        <f>_xlfn.XLOOKUP($I43,$A:$A,E:E)</f>
        <v>L1</v>
      </c>
    </row>
    <row r="44" spans="1:13" customFormat="1" ht="20.25">
      <c r="A44" s="34">
        <v>43</v>
      </c>
      <c r="B44" s="33" t="s">
        <v>120</v>
      </c>
      <c r="C44" s="34">
        <v>283</v>
      </c>
      <c r="D44" s="33">
        <v>9</v>
      </c>
      <c r="E44" s="33" t="s">
        <v>1413</v>
      </c>
      <c r="I44">
        <v>521</v>
      </c>
      <c r="J44" t="str">
        <f>_xlfn.XLOOKUP($I44,$A:$A,B:B)</f>
        <v>ante</v>
      </c>
      <c r="K44">
        <f>_xlfn.XLOOKUP($I44,$A:$A,C:C)</f>
        <v>35</v>
      </c>
      <c r="L44">
        <f>_xlfn.XLOOKUP($I44,$A:$A,D:D)</f>
        <v>8</v>
      </c>
      <c r="M44" t="str">
        <f>_xlfn.XLOOKUP($I44,$A:$A,E:E)</f>
        <v>L2</v>
      </c>
    </row>
    <row r="45" spans="1:13" customFormat="1" ht="20.25">
      <c r="A45" s="34">
        <v>44</v>
      </c>
      <c r="B45" s="33" t="s">
        <v>121</v>
      </c>
      <c r="C45" s="34">
        <v>280</v>
      </c>
      <c r="D45" s="33">
        <v>1</v>
      </c>
      <c r="E45" s="33" t="s">
        <v>1413</v>
      </c>
      <c r="I45">
        <v>425</v>
      </c>
      <c r="J45" t="str">
        <f>_xlfn.XLOOKUP($I45,$A:$A,B:B)</f>
        <v>anterior</v>
      </c>
      <c r="K45">
        <f>_xlfn.XLOOKUP($I45,$A:$A,C:C)</f>
        <v>41</v>
      </c>
      <c r="L45">
        <f>_xlfn.XLOOKUP($I45,$A:$A,D:D)</f>
        <v>9</v>
      </c>
      <c r="M45" t="str">
        <f>_xlfn.XLOOKUP($I45,$A:$A,E:E)</f>
        <v>L2</v>
      </c>
    </row>
    <row r="46" spans="1:13" customFormat="1" ht="20.25">
      <c r="A46" s="34"/>
      <c r="B46" s="33"/>
      <c r="C46" s="34"/>
      <c r="D46" s="33"/>
      <c r="E46" s="33"/>
      <c r="I46">
        <v>991</v>
      </c>
      <c r="J46" t="str">
        <f>_xlfn.XLOOKUP($I46,$A:$A,B:B)</f>
        <v>anteriores</v>
      </c>
      <c r="K46">
        <f>_xlfn.XLOOKUP($I46,$A:$A,C:C)</f>
        <v>21</v>
      </c>
      <c r="L46">
        <f>_xlfn.XLOOKUP($I46,$A:$A,D:D)</f>
        <v>9</v>
      </c>
      <c r="M46" t="str">
        <f>_xlfn.XLOOKUP($I46,$A:$A,E:E)</f>
        <v>L2</v>
      </c>
    </row>
    <row r="47" spans="1:13" customFormat="1" ht="20.25">
      <c r="A47" s="34">
        <v>46</v>
      </c>
      <c r="B47" s="33" t="s">
        <v>123</v>
      </c>
      <c r="C47" s="34">
        <v>267</v>
      </c>
      <c r="D47" s="33">
        <v>5</v>
      </c>
      <c r="E47" s="33" t="s">
        <v>1413</v>
      </c>
      <c r="I47">
        <v>106</v>
      </c>
      <c r="J47" t="str">
        <f>_xlfn.XLOOKUP($I47,$A:$A,B:B)</f>
        <v>antes</v>
      </c>
      <c r="K47">
        <f>_xlfn.XLOOKUP($I47,$A:$A,C:C)</f>
        <v>120</v>
      </c>
      <c r="L47">
        <f>_xlfn.XLOOKUP($I47,$A:$A,D:D)</f>
        <v>9</v>
      </c>
      <c r="M47" t="str">
        <f>_xlfn.XLOOKUP($I47,$A:$A,E:E)</f>
        <v>L1</v>
      </c>
    </row>
    <row r="48" spans="1:13" customFormat="1" ht="20.25">
      <c r="A48" s="34">
        <v>47</v>
      </c>
      <c r="B48" s="33" t="s">
        <v>124</v>
      </c>
      <c r="C48" s="34">
        <v>264</v>
      </c>
      <c r="D48" s="33">
        <v>13</v>
      </c>
      <c r="E48" s="33" t="s">
        <v>1413</v>
      </c>
      <c r="I48">
        <v>806</v>
      </c>
      <c r="J48" t="str">
        <f>_xlfn.XLOOKUP($I48,$A:$A,B:B)</f>
        <v>antigua</v>
      </c>
      <c r="K48">
        <f>_xlfn.XLOOKUP($I48,$A:$A,C:C)</f>
        <v>25</v>
      </c>
      <c r="L48">
        <f>_xlfn.XLOOKUP($I48,$A:$A,D:D)</f>
        <v>9</v>
      </c>
      <c r="M48" t="str">
        <f>_xlfn.XLOOKUP($I48,$A:$A,E:E)</f>
        <v>L2</v>
      </c>
    </row>
    <row r="49" spans="1:13" customFormat="1" ht="20.25">
      <c r="A49" s="34">
        <v>48</v>
      </c>
      <c r="B49" s="33" t="s">
        <v>125</v>
      </c>
      <c r="C49" s="34">
        <v>257</v>
      </c>
      <c r="D49" s="33">
        <v>10</v>
      </c>
      <c r="E49" s="33" t="s">
        <v>1413</v>
      </c>
      <c r="I49">
        <v>731</v>
      </c>
      <c r="J49" t="str">
        <f>_xlfn.XLOOKUP($I49,$A:$A,B:B)</f>
        <v>antiguo</v>
      </c>
      <c r="K49">
        <f>_xlfn.XLOOKUP($I49,$A:$A,C:C)</f>
        <v>27</v>
      </c>
      <c r="L49">
        <f>_xlfn.XLOOKUP($I49,$A:$A,D:D)</f>
        <v>9</v>
      </c>
      <c r="M49" t="str">
        <f>_xlfn.XLOOKUP($I49,$A:$A,E:E)</f>
        <v>L2</v>
      </c>
    </row>
    <row r="50" spans="1:13" customFormat="1" ht="20.25">
      <c r="A50" s="34">
        <v>49</v>
      </c>
      <c r="B50" s="33" t="s">
        <v>126</v>
      </c>
      <c r="C50" s="34">
        <v>249</v>
      </c>
      <c r="D50" s="33">
        <v>9</v>
      </c>
      <c r="E50" s="33" t="s">
        <v>1413</v>
      </c>
      <c r="I50">
        <v>947</v>
      </c>
      <c r="J50" t="str">
        <f>_xlfn.XLOOKUP($I50,$A:$A,B:B)</f>
        <v>Antonio</v>
      </c>
      <c r="K50">
        <f>_xlfn.XLOOKUP($I50,$A:$A,C:C)</f>
        <v>22</v>
      </c>
      <c r="L50">
        <f>_xlfn.XLOOKUP($I50,$A:$A,D:D)</f>
        <v>3</v>
      </c>
      <c r="M50" t="str">
        <f>_xlfn.XLOOKUP($I50,$A:$A,E:E)</f>
        <v>L1</v>
      </c>
    </row>
    <row r="51" spans="1:13" customFormat="1" ht="20.25">
      <c r="A51" s="34">
        <v>50</v>
      </c>
      <c r="B51" s="33" t="s">
        <v>127</v>
      </c>
      <c r="C51" s="34">
        <v>245</v>
      </c>
      <c r="D51" s="33">
        <v>9</v>
      </c>
      <c r="E51" s="33" t="s">
        <v>1413</v>
      </c>
      <c r="I51">
        <v>601</v>
      </c>
      <c r="J51" t="str">
        <f>_xlfn.XLOOKUP($I51,$A:$A,B:B)</f>
        <v>anunció</v>
      </c>
      <c r="K51">
        <f>_xlfn.XLOOKUP($I51,$A:$A,C:C)</f>
        <v>31</v>
      </c>
      <c r="L51">
        <f>_xlfn.XLOOKUP($I51,$A:$A,D:D)</f>
        <v>1</v>
      </c>
      <c r="M51" t="str">
        <f>_xlfn.XLOOKUP($I51,$A:$A,E:E)</f>
        <v>L3</v>
      </c>
    </row>
    <row r="52" spans="1:13" customFormat="1" ht="20.25">
      <c r="A52" s="34"/>
      <c r="B52" s="33"/>
      <c r="C52" s="34"/>
      <c r="D52" s="33"/>
      <c r="E52" s="33"/>
      <c r="I52">
        <v>602</v>
      </c>
      <c r="J52" t="str">
        <f>_xlfn.XLOOKUP($I52,$A:$A,B:B)</f>
        <v>aparece</v>
      </c>
      <c r="K52">
        <f>_xlfn.XLOOKUP($I52,$A:$A,C:C)</f>
        <v>31</v>
      </c>
      <c r="L52">
        <f>_xlfn.XLOOKUP($I52,$A:$A,D:D)</f>
        <v>3</v>
      </c>
      <c r="M52" t="str">
        <f>_xlfn.XLOOKUP($I52,$A:$A,E:E)</f>
        <v>L2</v>
      </c>
    </row>
    <row r="53" spans="1:13" customFormat="1" ht="20.25">
      <c r="A53" s="34">
        <v>52</v>
      </c>
      <c r="B53" s="33" t="s">
        <v>129</v>
      </c>
      <c r="C53" s="34">
        <v>236</v>
      </c>
      <c r="D53" s="33">
        <v>6</v>
      </c>
      <c r="E53" s="33" t="s">
        <v>1413</v>
      </c>
      <c r="I53">
        <v>487</v>
      </c>
      <c r="J53" t="str">
        <f>_xlfn.XLOOKUP($I53,$A:$A,B:B)</f>
        <v>apoyo</v>
      </c>
      <c r="K53">
        <f>_xlfn.XLOOKUP($I53,$A:$A,C:C)</f>
        <v>37</v>
      </c>
      <c r="L53">
        <f>_xlfn.XLOOKUP($I53,$A:$A,D:D)</f>
        <v>12</v>
      </c>
      <c r="M53" t="str">
        <f>_xlfn.XLOOKUP($I53,$A:$A,E:E)</f>
        <v>L2</v>
      </c>
    </row>
    <row r="54" spans="1:13" customFormat="1" ht="20.25">
      <c r="A54" s="34">
        <v>53</v>
      </c>
      <c r="B54" s="33" t="s">
        <v>130</v>
      </c>
      <c r="C54" s="34">
        <v>236</v>
      </c>
      <c r="D54" s="33">
        <v>8</v>
      </c>
      <c r="E54" s="33" t="s">
        <v>1413</v>
      </c>
      <c r="I54">
        <v>323</v>
      </c>
      <c r="J54" t="str">
        <f>_xlfn.XLOOKUP($I54,$A:$A,B:B)</f>
        <v>aproximadamente</v>
      </c>
      <c r="K54">
        <f>_xlfn.XLOOKUP($I54,$A:$A,C:C)</f>
        <v>51</v>
      </c>
      <c r="L54">
        <f>_xlfn.XLOOKUP($I54,$A:$A,D:D)</f>
        <v>2</v>
      </c>
      <c r="M54" t="str">
        <f>_xlfn.XLOOKUP($I54,$A:$A,E:E)</f>
        <v>L3</v>
      </c>
    </row>
    <row r="55" spans="1:13" customFormat="1" ht="20.25">
      <c r="A55" s="34">
        <v>54</v>
      </c>
      <c r="B55" s="33" t="s">
        <v>131</v>
      </c>
      <c r="C55" s="34">
        <v>230</v>
      </c>
      <c r="D55" s="33">
        <v>9</v>
      </c>
      <c r="E55" s="33" t="s">
        <v>1413</v>
      </c>
      <c r="I55">
        <v>857</v>
      </c>
      <c r="J55" t="str">
        <f>_xlfn.XLOOKUP($I55,$A:$A,B:B)</f>
        <v>aquel</v>
      </c>
      <c r="K55">
        <f>_xlfn.XLOOKUP($I55,$A:$A,C:C)</f>
        <v>23</v>
      </c>
      <c r="L55">
        <f>_xlfn.XLOOKUP($I55,$A:$A,D:D)</f>
        <v>15</v>
      </c>
      <c r="M55" t="str">
        <f>_xlfn.XLOOKUP($I55,$A:$A,E:E)</f>
        <v>L1</v>
      </c>
    </row>
    <row r="56" spans="1:13" customFormat="1" ht="20.25">
      <c r="A56" s="34">
        <v>55</v>
      </c>
      <c r="B56" s="33" t="s">
        <v>132</v>
      </c>
      <c r="C56" s="34">
        <v>225</v>
      </c>
      <c r="D56" s="33">
        <v>2</v>
      </c>
      <c r="E56" s="33" t="s">
        <v>1413</v>
      </c>
      <c r="I56">
        <v>992</v>
      </c>
      <c r="J56" t="str">
        <f>_xlfn.XLOOKUP($I56,$A:$A,B:B)</f>
        <v>aquellos</v>
      </c>
      <c r="K56">
        <f>_xlfn.XLOOKUP($I56,$A:$A,C:C)</f>
        <v>21</v>
      </c>
      <c r="L56">
        <f>_xlfn.XLOOKUP($I56,$A:$A,D:D)</f>
        <v>15</v>
      </c>
      <c r="M56" t="str">
        <f>_xlfn.XLOOKUP($I56,$A:$A,E:E)</f>
        <v>L1</v>
      </c>
    </row>
    <row r="57" spans="1:13" customFormat="1" ht="20.25">
      <c r="A57" s="34"/>
      <c r="B57" s="33"/>
      <c r="C57" s="34"/>
      <c r="D57" s="33"/>
      <c r="E57" s="33"/>
      <c r="I57">
        <v>667</v>
      </c>
      <c r="J57" t="str">
        <f>_xlfn.XLOOKUP($I57,$A:$A,B:B)</f>
        <v>aquí</v>
      </c>
      <c r="K57">
        <f>_xlfn.XLOOKUP($I57,$A:$A,C:C)</f>
        <v>29</v>
      </c>
      <c r="L57">
        <f>_xlfn.XLOOKUP($I57,$A:$A,D:D)</f>
        <v>10</v>
      </c>
      <c r="M57" t="str">
        <f>_xlfn.XLOOKUP($I57,$A:$A,E:E)</f>
        <v>L1</v>
      </c>
    </row>
    <row r="58" spans="1:13" customFormat="1" ht="20.25">
      <c r="A58" s="34">
        <v>57</v>
      </c>
      <c r="B58" s="33" t="s">
        <v>134</v>
      </c>
      <c r="C58" s="34">
        <v>211</v>
      </c>
      <c r="D58" s="33">
        <v>15</v>
      </c>
      <c r="E58" s="33" t="s">
        <v>1413</v>
      </c>
      <c r="I58">
        <v>370</v>
      </c>
      <c r="J58" t="str">
        <f>_xlfn.XLOOKUP($I58,$A:$A,B:B)</f>
        <v>área</v>
      </c>
      <c r="K58">
        <f>_xlfn.XLOOKUP($I58,$A:$A,C:C)</f>
        <v>46</v>
      </c>
      <c r="L58">
        <f>_xlfn.XLOOKUP($I58,$A:$A,D:D)</f>
        <v>10</v>
      </c>
      <c r="M58" t="str">
        <f>_xlfn.XLOOKUP($I58,$A:$A,E:E)</f>
        <v>L2</v>
      </c>
    </row>
    <row r="59" spans="1:13" customFormat="1" ht="20.25">
      <c r="A59" s="34"/>
      <c r="B59" s="33"/>
      <c r="C59" s="34"/>
      <c r="D59" s="33"/>
      <c r="E59" s="33"/>
      <c r="I59">
        <v>847</v>
      </c>
      <c r="J59" t="str">
        <f>_xlfn.XLOOKUP($I59,$A:$A,B:B)</f>
        <v>áreas</v>
      </c>
      <c r="K59">
        <f>_xlfn.XLOOKUP($I59,$A:$A,C:C)</f>
        <v>24</v>
      </c>
      <c r="L59">
        <f>_xlfn.XLOOKUP($I59,$A:$A,D:D)</f>
        <v>10</v>
      </c>
      <c r="M59" t="str">
        <f>_xlfn.XLOOKUP($I59,$A:$A,E:E)</f>
        <v>L2</v>
      </c>
    </row>
    <row r="60" spans="1:13" customFormat="1" ht="20.25">
      <c r="A60" s="34">
        <v>59</v>
      </c>
      <c r="B60" s="33" t="s">
        <v>136</v>
      </c>
      <c r="C60" s="34">
        <v>205</v>
      </c>
      <c r="D60" s="33">
        <v>9</v>
      </c>
      <c r="E60" s="33" t="s">
        <v>1413</v>
      </c>
      <c r="I60">
        <v>598</v>
      </c>
      <c r="J60" t="str">
        <f>_xlfn.XLOOKUP($I60,$A:$A,B:B)</f>
        <v>Argentina</v>
      </c>
      <c r="K60">
        <f>_xlfn.XLOOKUP($I60,$A:$A,C:C)</f>
        <v>31</v>
      </c>
      <c r="L60">
        <f>_xlfn.XLOOKUP($I60,$A:$A,D:D)</f>
        <v>1</v>
      </c>
      <c r="M60" t="str">
        <f>_xlfn.XLOOKUP($I60,$A:$A,E:E)</f>
        <v>L1</v>
      </c>
    </row>
    <row r="61" spans="1:13" customFormat="1" ht="20.25">
      <c r="A61" s="34">
        <v>60</v>
      </c>
      <c r="B61" s="33" t="s">
        <v>137</v>
      </c>
      <c r="C61" s="34">
        <v>205</v>
      </c>
      <c r="D61" s="33">
        <v>14</v>
      </c>
      <c r="E61" s="33" t="s">
        <v>1413</v>
      </c>
      <c r="I61">
        <v>503</v>
      </c>
      <c r="J61" t="str">
        <f>_xlfn.XLOOKUP($I61,$A:$A,B:B)</f>
        <v>arte</v>
      </c>
      <c r="K61">
        <f>_xlfn.XLOOKUP($I61,$A:$A,C:C)</f>
        <v>36</v>
      </c>
      <c r="L61">
        <f>_xlfn.XLOOKUP($I61,$A:$A,D:D)</f>
        <v>3</v>
      </c>
      <c r="M61" t="str">
        <f>_xlfn.XLOOKUP($I61,$A:$A,E:E)</f>
        <v>L2</v>
      </c>
    </row>
    <row r="62" spans="1:13" customFormat="1" ht="20.25">
      <c r="A62" s="34">
        <v>61</v>
      </c>
      <c r="B62" s="33" t="s">
        <v>138</v>
      </c>
      <c r="C62" s="34">
        <v>203</v>
      </c>
      <c r="D62" s="33">
        <v>9</v>
      </c>
      <c r="E62" s="33" t="s">
        <v>1413</v>
      </c>
      <c r="I62">
        <v>807</v>
      </c>
      <c r="J62" t="str">
        <f>_xlfn.XLOOKUP($I62,$A:$A,B:B)</f>
        <v>artículos</v>
      </c>
      <c r="K62">
        <f>_xlfn.XLOOKUP($I62,$A:$A,C:C)</f>
        <v>25</v>
      </c>
      <c r="L62">
        <f>_xlfn.XLOOKUP($I62,$A:$A,D:D)</f>
        <v>1</v>
      </c>
      <c r="M62" t="str">
        <f>_xlfn.XLOOKUP($I62,$A:$A,E:E)</f>
        <v>L3</v>
      </c>
    </row>
    <row r="63" spans="1:13" customFormat="1" ht="20.25">
      <c r="A63" s="34">
        <v>62</v>
      </c>
      <c r="B63" s="33" t="s">
        <v>139</v>
      </c>
      <c r="C63" s="34">
        <v>199</v>
      </c>
      <c r="D63" s="33">
        <v>11</v>
      </c>
      <c r="E63" s="33" t="s">
        <v>1413</v>
      </c>
      <c r="I63">
        <v>95</v>
      </c>
      <c r="J63" t="str">
        <f>_xlfn.XLOOKUP($I63,$A:$A,B:B)</f>
        <v>así</v>
      </c>
      <c r="K63">
        <f>_xlfn.XLOOKUP($I63,$A:$A,C:C)</f>
        <v>133</v>
      </c>
      <c r="L63">
        <f>_xlfn.XLOOKUP($I63,$A:$A,D:D)</f>
        <v>8</v>
      </c>
      <c r="M63" t="str">
        <f>_xlfn.XLOOKUP($I63,$A:$A,E:E)</f>
        <v>L1</v>
      </c>
    </row>
    <row r="64" spans="1:13" customFormat="1" ht="20.25">
      <c r="A64" s="34">
        <v>63</v>
      </c>
      <c r="B64" s="33" t="s">
        <v>140</v>
      </c>
      <c r="C64" s="34">
        <v>197</v>
      </c>
      <c r="D64" s="33">
        <v>9</v>
      </c>
      <c r="E64" s="33" t="s">
        <v>1413</v>
      </c>
      <c r="I64">
        <v>988</v>
      </c>
      <c r="J64" t="str">
        <f>_xlfn.XLOOKUP($I64,$A:$A,B:B)</f>
        <v>Asimismo</v>
      </c>
      <c r="K64">
        <f>_xlfn.XLOOKUP($I64,$A:$A,C:C)</f>
        <v>21</v>
      </c>
      <c r="L64">
        <f>_xlfn.XLOOKUP($I64,$A:$A,D:D)</f>
        <v>8</v>
      </c>
      <c r="M64" t="str">
        <f>_xlfn.XLOOKUP($I64,$A:$A,E:E)</f>
        <v>L3</v>
      </c>
    </row>
    <row r="65" spans="1:13" customFormat="1" ht="20.25">
      <c r="A65" s="34">
        <v>64</v>
      </c>
      <c r="B65" s="33" t="s">
        <v>141</v>
      </c>
      <c r="C65" s="34">
        <v>191</v>
      </c>
      <c r="D65" s="33">
        <v>4</v>
      </c>
      <c r="E65" s="33" t="s">
        <v>1413</v>
      </c>
      <c r="I65">
        <v>472</v>
      </c>
      <c r="J65" t="str">
        <f>_xlfn.XLOOKUP($I65,$A:$A,B:B)</f>
        <v>ataque</v>
      </c>
      <c r="K65">
        <f>_xlfn.XLOOKUP($I65,$A:$A,C:C)</f>
        <v>38</v>
      </c>
      <c r="L65">
        <f>_xlfn.XLOOKUP($I65,$A:$A,D:D)</f>
        <v>4</v>
      </c>
      <c r="M65" t="str">
        <f>_xlfn.XLOOKUP($I65,$A:$A,E:E)</f>
        <v>L2</v>
      </c>
    </row>
    <row r="66" spans="1:13" customFormat="1" ht="20.25">
      <c r="A66" s="34">
        <v>65</v>
      </c>
      <c r="B66" s="33" t="s">
        <v>142</v>
      </c>
      <c r="C66" s="34">
        <v>188</v>
      </c>
      <c r="D66" s="33">
        <v>12</v>
      </c>
      <c r="E66" s="33" t="s">
        <v>1413</v>
      </c>
      <c r="I66">
        <v>700</v>
      </c>
      <c r="J66" t="str">
        <f>_xlfn.XLOOKUP($I66,$A:$A,B:B)</f>
        <v>atención</v>
      </c>
      <c r="K66">
        <f>_xlfn.XLOOKUP($I66,$A:$A,C:C)</f>
        <v>28</v>
      </c>
      <c r="L66">
        <f>_xlfn.XLOOKUP($I66,$A:$A,D:D)</f>
        <v>11</v>
      </c>
      <c r="M66" t="str">
        <f>_xlfn.XLOOKUP($I66,$A:$A,E:E)</f>
        <v>L2</v>
      </c>
    </row>
    <row r="67" spans="1:13" customFormat="1" ht="20.25">
      <c r="A67" s="34">
        <v>66</v>
      </c>
      <c r="B67" s="33" t="s">
        <v>143</v>
      </c>
      <c r="C67" s="34">
        <v>183</v>
      </c>
      <c r="D67" s="33">
        <v>9</v>
      </c>
      <c r="E67" s="33" t="s">
        <v>1413</v>
      </c>
      <c r="I67">
        <v>269</v>
      </c>
      <c r="J67" t="str">
        <f>_xlfn.XLOOKUP($I67,$A:$A,B:B)</f>
        <v>aún</v>
      </c>
      <c r="K67">
        <f>_xlfn.XLOOKUP($I67,$A:$A,C:C)</f>
        <v>60</v>
      </c>
      <c r="L67">
        <f>_xlfn.XLOOKUP($I67,$A:$A,D:D)</f>
        <v>9</v>
      </c>
      <c r="M67" t="str">
        <f>_xlfn.XLOOKUP($I67,$A:$A,E:E)</f>
        <v>L2</v>
      </c>
    </row>
    <row r="68" spans="1:13" customFormat="1" ht="20.25">
      <c r="A68" s="34">
        <v>67</v>
      </c>
      <c r="B68" s="33" t="s">
        <v>144</v>
      </c>
      <c r="C68" s="34">
        <v>183</v>
      </c>
      <c r="D68" s="33">
        <v>9</v>
      </c>
      <c r="E68" s="33" t="s">
        <v>1413</v>
      </c>
      <c r="I68">
        <v>117</v>
      </c>
      <c r="J68" t="str">
        <f>_xlfn.XLOOKUP($I68,$A:$A,B:B)</f>
        <v>aunque</v>
      </c>
      <c r="K68">
        <f>_xlfn.XLOOKUP($I68,$A:$A,C:C)</f>
        <v>107</v>
      </c>
      <c r="L68">
        <f>_xlfn.XLOOKUP($I68,$A:$A,D:D)</f>
        <v>12</v>
      </c>
      <c r="M68" t="str">
        <f>_xlfn.XLOOKUP($I68,$A:$A,E:E)</f>
        <v>L2</v>
      </c>
    </row>
    <row r="69" spans="1:13" customFormat="1" ht="20.25">
      <c r="A69" s="34">
        <v>68</v>
      </c>
      <c r="B69" s="33" t="s">
        <v>145</v>
      </c>
      <c r="C69" s="34">
        <v>176</v>
      </c>
      <c r="D69" s="33">
        <v>13</v>
      </c>
      <c r="E69" s="33" t="s">
        <v>1413</v>
      </c>
      <c r="I69">
        <v>456</v>
      </c>
      <c r="J69" t="str">
        <f>_xlfn.XLOOKUP($I69,$A:$A,B:B)</f>
        <v>ayuda</v>
      </c>
      <c r="K69">
        <f>_xlfn.XLOOKUP($I69,$A:$A,C:C)</f>
        <v>39</v>
      </c>
      <c r="L69">
        <f>_xlfn.XLOOKUP($I69,$A:$A,D:D)</f>
        <v>11</v>
      </c>
      <c r="M69" t="str">
        <f>_xlfn.XLOOKUP($I69,$A:$A,E:E)</f>
        <v>L1</v>
      </c>
    </row>
    <row r="70" spans="1:13" customFormat="1" ht="20.25">
      <c r="A70" s="34">
        <v>69</v>
      </c>
      <c r="B70" s="33" t="s">
        <v>146</v>
      </c>
      <c r="C70" s="34">
        <v>175</v>
      </c>
      <c r="D70" s="33">
        <v>12</v>
      </c>
      <c r="E70" s="33" t="s">
        <v>1413</v>
      </c>
      <c r="I70">
        <v>993</v>
      </c>
      <c r="J70" t="str">
        <f>_xlfn.XLOOKUP($I70,$A:$A,B:B)</f>
        <v>baja</v>
      </c>
      <c r="K70">
        <f>_xlfn.XLOOKUP($I70,$A:$A,C:C)</f>
        <v>21</v>
      </c>
      <c r="L70">
        <f>_xlfn.XLOOKUP($I70,$A:$A,D:D)</f>
        <v>11</v>
      </c>
      <c r="M70" t="str">
        <f>_xlfn.XLOOKUP($I70,$A:$A,E:E)</f>
        <v>L2</v>
      </c>
    </row>
    <row r="71" spans="1:13" customFormat="1" ht="20.25">
      <c r="A71" s="34">
        <v>70</v>
      </c>
      <c r="B71" s="33" t="s">
        <v>147</v>
      </c>
      <c r="C71" s="34">
        <v>171</v>
      </c>
      <c r="D71" s="33">
        <v>10</v>
      </c>
      <c r="E71" s="33" t="s">
        <v>1413</v>
      </c>
      <c r="I71">
        <v>119</v>
      </c>
      <c r="J71" t="str">
        <f>_xlfn.XLOOKUP($I71,$A:$A,B:B)</f>
        <v>bajo</v>
      </c>
      <c r="K71">
        <f>_xlfn.XLOOKUP($I71,$A:$A,C:C)</f>
        <v>106</v>
      </c>
      <c r="L71">
        <f>_xlfn.XLOOKUP($I71,$A:$A,D:D)</f>
        <v>8</v>
      </c>
      <c r="M71" t="str">
        <f>_xlfn.XLOOKUP($I71,$A:$A,E:E)</f>
        <v>L1</v>
      </c>
    </row>
    <row r="72" spans="1:13" customFormat="1" ht="20.25">
      <c r="A72" s="34">
        <v>71</v>
      </c>
      <c r="B72" s="33" t="s">
        <v>148</v>
      </c>
      <c r="C72" s="34">
        <v>171</v>
      </c>
      <c r="D72" s="33">
        <v>2</v>
      </c>
      <c r="E72" s="33" t="s">
        <v>1416</v>
      </c>
      <c r="I72">
        <v>353</v>
      </c>
      <c r="J72" t="str">
        <f>_xlfn.XLOOKUP($I72,$A:$A,B:B)</f>
        <v>banda</v>
      </c>
      <c r="K72">
        <f>_xlfn.XLOOKUP($I72,$A:$A,C:C)</f>
        <v>48</v>
      </c>
      <c r="L72">
        <f>_xlfn.XLOOKUP($I72,$A:$A,D:D)</f>
        <v>3</v>
      </c>
      <c r="M72" t="str">
        <f>_xlfn.XLOOKUP($I72,$A:$A,E:E)</f>
        <v>L2</v>
      </c>
    </row>
    <row r="73" spans="1:13" customFormat="1" ht="20.25">
      <c r="A73" s="34">
        <v>72</v>
      </c>
      <c r="B73" s="33" t="s">
        <v>149</v>
      </c>
      <c r="C73" s="34">
        <v>171</v>
      </c>
      <c r="D73" s="33">
        <v>4</v>
      </c>
      <c r="E73" s="33" t="s">
        <v>1413</v>
      </c>
      <c r="I73">
        <v>808</v>
      </c>
      <c r="J73" t="str">
        <f>_xlfn.XLOOKUP($I73,$A:$A,B:B)</f>
        <v>barrio</v>
      </c>
      <c r="K73">
        <f>_xlfn.XLOOKUP($I73,$A:$A,C:C)</f>
        <v>25</v>
      </c>
      <c r="L73">
        <f>_xlfn.XLOOKUP($I73,$A:$A,D:D)</f>
        <v>12</v>
      </c>
      <c r="M73" t="str">
        <f>_xlfn.XLOOKUP($I73,$A:$A,E:E)</f>
        <v>L2</v>
      </c>
    </row>
    <row r="74" spans="1:13" customFormat="1" ht="20.25">
      <c r="A74" s="34">
        <v>73</v>
      </c>
      <c r="B74" s="33" t="s">
        <v>150</v>
      </c>
      <c r="C74" s="34">
        <v>170</v>
      </c>
      <c r="D74" s="33">
        <v>12</v>
      </c>
      <c r="E74" s="33" t="s">
        <v>1413</v>
      </c>
      <c r="I74">
        <v>345</v>
      </c>
      <c r="J74" t="str">
        <f>_xlfn.XLOOKUP($I74,$A:$A,B:B)</f>
        <v>base</v>
      </c>
      <c r="K74">
        <f>_xlfn.XLOOKUP($I74,$A:$A,C:C)</f>
        <v>0</v>
      </c>
      <c r="L74">
        <f>_xlfn.XLOOKUP($I74,$A:$A,D:D)</f>
        <v>6</v>
      </c>
      <c r="M74" t="str">
        <f>_xlfn.XLOOKUP($I74,$A:$A,E:E)</f>
        <v>L2</v>
      </c>
    </row>
    <row r="75" spans="1:13" customFormat="1" ht="20.25">
      <c r="A75" s="34">
        <v>74</v>
      </c>
      <c r="B75" s="33" t="s">
        <v>151</v>
      </c>
      <c r="C75" s="34">
        <v>168</v>
      </c>
      <c r="D75" s="33">
        <v>7</v>
      </c>
      <c r="E75" s="33" t="s">
        <v>1413</v>
      </c>
      <c r="I75">
        <v>955</v>
      </c>
      <c r="J75" t="str">
        <f>_xlfn.XLOOKUP($I75,$A:$A,B:B)</f>
        <v>bases</v>
      </c>
      <c r="K75">
        <f>_xlfn.XLOOKUP($I75,$A:$A,C:C)</f>
        <v>21</v>
      </c>
      <c r="L75">
        <f>_xlfn.XLOOKUP($I75,$A:$A,D:D)</f>
        <v>6</v>
      </c>
      <c r="M75" t="str">
        <f>_xlfn.XLOOKUP($I75,$A:$A,E:E)</f>
        <v>L2</v>
      </c>
    </row>
    <row r="76" spans="1:13" customFormat="1" ht="20.25">
      <c r="A76" s="34">
        <v>75</v>
      </c>
      <c r="B76" s="33" t="s">
        <v>152</v>
      </c>
      <c r="C76" s="34">
        <v>165</v>
      </c>
      <c r="D76" s="33">
        <v>13</v>
      </c>
      <c r="E76" s="33" t="s">
        <v>1413</v>
      </c>
      <c r="I76">
        <v>909</v>
      </c>
      <c r="J76" t="str">
        <f>_xlfn.XLOOKUP($I76,$A:$A,B:B)</f>
        <v>bastante</v>
      </c>
      <c r="K76">
        <f>_xlfn.XLOOKUP($I76,$A:$A,C:C)</f>
        <v>22</v>
      </c>
      <c r="L76">
        <f>_xlfn.XLOOKUP($I76,$A:$A,D:D)</f>
        <v>13</v>
      </c>
      <c r="M76" t="str">
        <f>_xlfn.XLOOKUP($I76,$A:$A,E:E)</f>
        <v>L1</v>
      </c>
    </row>
    <row r="77" spans="1:13" customFormat="1" ht="20.25">
      <c r="A77" s="34">
        <v>76</v>
      </c>
      <c r="B77" s="33" t="s">
        <v>153</v>
      </c>
      <c r="C77" s="34">
        <v>162</v>
      </c>
      <c r="D77" s="33">
        <v>5</v>
      </c>
      <c r="E77" s="33" t="s">
        <v>1413</v>
      </c>
      <c r="I77">
        <v>858</v>
      </c>
      <c r="J77" t="str">
        <f>_xlfn.XLOOKUP($I77,$A:$A,B:B)</f>
        <v>batalla</v>
      </c>
      <c r="K77">
        <f>_xlfn.XLOOKUP($I77,$A:$A,C:C)</f>
        <v>23</v>
      </c>
      <c r="L77">
        <f>_xlfn.XLOOKUP($I77,$A:$A,D:D)</f>
        <v>9</v>
      </c>
      <c r="M77" t="str">
        <f>_xlfn.XLOOKUP($I77,$A:$A,E:E)</f>
        <v>L2</v>
      </c>
    </row>
    <row r="78" spans="1:13" customFormat="1" ht="20.25">
      <c r="A78" s="34">
        <v>77</v>
      </c>
      <c r="B78" s="33" t="s">
        <v>154</v>
      </c>
      <c r="C78" s="34">
        <v>161</v>
      </c>
      <c r="D78" s="33">
        <v>13</v>
      </c>
      <c r="E78" s="33" t="s">
        <v>1413</v>
      </c>
      <c r="I78">
        <v>190</v>
      </c>
      <c r="J78" t="str">
        <f>_xlfn.XLOOKUP($I78,$A:$A,B:B)</f>
        <v>bien</v>
      </c>
      <c r="K78">
        <f>_xlfn.XLOOKUP($I78,$A:$A,C:C)</f>
        <v>79</v>
      </c>
      <c r="L78">
        <f>_xlfn.XLOOKUP($I78,$A:$A,D:D)</f>
        <v>11</v>
      </c>
      <c r="M78" t="str">
        <f>_xlfn.XLOOKUP($I78,$A:$A,E:E)</f>
        <v>L1</v>
      </c>
    </row>
    <row r="79" spans="1:13" customFormat="1" ht="20.25">
      <c r="A79" s="34">
        <v>78</v>
      </c>
      <c r="B79" s="33" t="s">
        <v>155</v>
      </c>
      <c r="C79" s="34">
        <v>160</v>
      </c>
      <c r="D79" s="33">
        <v>3</v>
      </c>
      <c r="E79" s="33" t="s">
        <v>1413</v>
      </c>
      <c r="I79">
        <v>910</v>
      </c>
      <c r="J79" t="str">
        <f>_xlfn.XLOOKUP($I79,$A:$A,B:B)</f>
        <v>blanco</v>
      </c>
      <c r="K79">
        <f>_xlfn.XLOOKUP($I79,$A:$A,C:C)</f>
        <v>22</v>
      </c>
      <c r="L79">
        <f>_xlfn.XLOOKUP($I79,$A:$A,D:D)</f>
        <v>3</v>
      </c>
      <c r="M79" t="str">
        <f>_xlfn.XLOOKUP($I79,$A:$A,E:E)</f>
        <v>L1</v>
      </c>
    </row>
    <row r="80" spans="1:13" customFormat="1" ht="20.25">
      <c r="A80" s="34">
        <v>79</v>
      </c>
      <c r="B80" s="33" t="s">
        <v>156</v>
      </c>
      <c r="C80" s="34">
        <v>160</v>
      </c>
      <c r="D80" s="33">
        <v>2</v>
      </c>
      <c r="E80" s="33" t="s">
        <v>1413</v>
      </c>
      <c r="I80">
        <v>911</v>
      </c>
      <c r="J80" t="str">
        <f>_xlfn.XLOOKUP($I80,$A:$A,B:B)</f>
        <v>buena</v>
      </c>
      <c r="K80">
        <f>_xlfn.XLOOKUP($I80,$A:$A,C:C)</f>
        <v>22</v>
      </c>
      <c r="L80">
        <f>_xlfn.XLOOKUP($I80,$A:$A,D:D)</f>
        <v>11</v>
      </c>
      <c r="M80" t="str">
        <f>_xlfn.XLOOKUP($I80,$A:$A,E:E)</f>
        <v>L1</v>
      </c>
    </row>
    <row r="81" spans="1:13" customFormat="1" ht="20.25">
      <c r="A81" s="34">
        <v>80</v>
      </c>
      <c r="B81" s="33" t="s">
        <v>157</v>
      </c>
      <c r="C81" s="34">
        <v>153</v>
      </c>
      <c r="D81" s="33">
        <v>6</v>
      </c>
      <c r="E81" s="33" t="s">
        <v>1413</v>
      </c>
      <c r="I81">
        <v>548</v>
      </c>
      <c r="J81" t="str">
        <f>_xlfn.XLOOKUP($I81,$A:$A,B:B)</f>
        <v>cabeza</v>
      </c>
      <c r="K81">
        <f>_xlfn.XLOOKUP($I81,$A:$A,C:C)</f>
        <v>34</v>
      </c>
      <c r="L81">
        <f>_xlfn.XLOOKUP($I81,$A:$A,D:D)</f>
        <v>11</v>
      </c>
      <c r="M81" t="str">
        <f>_xlfn.XLOOKUP($I81,$A:$A,E:E)</f>
        <v>L1</v>
      </c>
    </row>
    <row r="82" spans="1:13" customFormat="1" ht="20.25">
      <c r="A82" s="34">
        <v>81</v>
      </c>
      <c r="B82" s="33" t="s">
        <v>158</v>
      </c>
      <c r="C82" s="34">
        <v>150</v>
      </c>
      <c r="D82" s="33">
        <v>3</v>
      </c>
      <c r="E82" s="33" t="s">
        <v>1413</v>
      </c>
      <c r="I82">
        <v>504</v>
      </c>
      <c r="J82" t="str">
        <f>_xlfn.XLOOKUP($I82,$A:$A,B:B)</f>
        <v>cabo</v>
      </c>
      <c r="K82">
        <f>_xlfn.XLOOKUP($I82,$A:$A,C:C)</f>
        <v>36</v>
      </c>
      <c r="L82">
        <f>_xlfn.XLOOKUP($I82,$A:$A,D:D)</f>
        <v>8</v>
      </c>
      <c r="M82" t="str">
        <f>_xlfn.XLOOKUP($I82,$A:$A,E:E)</f>
        <v>L2</v>
      </c>
    </row>
    <row r="83" spans="1:13" customFormat="1" ht="20.25">
      <c r="A83" s="34"/>
      <c r="B83" s="33"/>
      <c r="C83" s="34"/>
      <c r="D83" s="33"/>
      <c r="E83" s="33"/>
      <c r="I83">
        <v>76</v>
      </c>
      <c r="J83" t="str">
        <f>_xlfn.XLOOKUP($I83,$A:$A,B:B)</f>
        <v>cada</v>
      </c>
      <c r="K83">
        <f>_xlfn.XLOOKUP($I83,$A:$A,C:C)</f>
        <v>162</v>
      </c>
      <c r="L83">
        <f>_xlfn.XLOOKUP($I83,$A:$A,D:D)</f>
        <v>5</v>
      </c>
      <c r="M83" t="str">
        <f>_xlfn.XLOOKUP($I83,$A:$A,E:E)</f>
        <v>L1</v>
      </c>
    </row>
    <row r="84" spans="1:13" customFormat="1" ht="20.25">
      <c r="A84" s="34">
        <v>83</v>
      </c>
      <c r="B84" s="33" t="s">
        <v>160</v>
      </c>
      <c r="C84" s="34">
        <v>147</v>
      </c>
      <c r="D84" s="33">
        <v>12</v>
      </c>
      <c r="E84" s="33" t="s">
        <v>1413</v>
      </c>
      <c r="I84">
        <v>668</v>
      </c>
      <c r="J84" t="str">
        <f>_xlfn.XLOOKUP($I84,$A:$A,B:B)</f>
        <v>calidad</v>
      </c>
      <c r="K84">
        <f>_xlfn.XLOOKUP($I84,$A:$A,C:C)</f>
        <v>29</v>
      </c>
      <c r="L84">
        <f>_xlfn.XLOOKUP($I84,$A:$A,D:D)</f>
        <v>5</v>
      </c>
      <c r="M84" t="str">
        <f>_xlfn.XLOOKUP($I84,$A:$A,E:E)</f>
        <v>L2</v>
      </c>
    </row>
    <row r="85" spans="1:13" customFormat="1" ht="20.25">
      <c r="A85" s="34"/>
      <c r="B85" s="33"/>
      <c r="C85" s="34"/>
      <c r="D85" s="33"/>
      <c r="E85" s="33"/>
      <c r="I85">
        <v>701</v>
      </c>
      <c r="J85" t="str">
        <f>_xlfn.XLOOKUP($I85,$A:$A,B:B)</f>
        <v>calle</v>
      </c>
      <c r="K85">
        <f>_xlfn.XLOOKUP($I85,$A:$A,C:C)</f>
        <v>28</v>
      </c>
      <c r="L85">
        <f>_xlfn.XLOOKUP($I85,$A:$A,D:D)</f>
        <v>12</v>
      </c>
      <c r="M85" t="str">
        <f>_xlfn.XLOOKUP($I85,$A:$A,E:E)</f>
        <v>L1</v>
      </c>
    </row>
    <row r="86" spans="1:13" customFormat="1" ht="20.25">
      <c r="A86" s="34"/>
      <c r="B86" s="33"/>
      <c r="C86" s="34"/>
      <c r="D86" s="33"/>
      <c r="E86" s="33"/>
      <c r="I86">
        <v>311</v>
      </c>
      <c r="J86" t="str">
        <f>_xlfn.XLOOKUP($I86,$A:$A,B:B)</f>
        <v>cambio</v>
      </c>
      <c r="K86">
        <f>_xlfn.XLOOKUP($I86,$A:$A,C:C)</f>
        <v>54</v>
      </c>
      <c r="L86">
        <f>_xlfn.XLOOKUP($I86,$A:$A,D:D)</f>
        <v>2</v>
      </c>
      <c r="M86" t="str">
        <f>_xlfn.XLOOKUP($I86,$A:$A,E:E)</f>
        <v>L2</v>
      </c>
    </row>
    <row r="87" spans="1:13" customFormat="1" ht="20.25">
      <c r="A87" s="34">
        <v>86</v>
      </c>
      <c r="B87" s="33" t="s">
        <v>163</v>
      </c>
      <c r="C87" s="34">
        <v>140</v>
      </c>
      <c r="D87" s="33">
        <v>2</v>
      </c>
      <c r="E87" s="33" t="s">
        <v>1416</v>
      </c>
      <c r="I87">
        <v>912</v>
      </c>
      <c r="J87" t="str">
        <f>_xlfn.XLOOKUP($I87,$A:$A,B:B)</f>
        <v>cambios</v>
      </c>
      <c r="K87">
        <f>_xlfn.XLOOKUP($I87,$A:$A,C:C)</f>
        <v>22</v>
      </c>
      <c r="L87">
        <f>_xlfn.XLOOKUP($I87,$A:$A,D:D)</f>
        <v>2</v>
      </c>
      <c r="M87" t="str">
        <f>_xlfn.XLOOKUP($I87,$A:$A,E:E)</f>
        <v>L2</v>
      </c>
    </row>
    <row r="88" spans="1:13" customFormat="1" ht="20.25">
      <c r="A88" s="34">
        <v>87</v>
      </c>
      <c r="B88" s="33" t="s">
        <v>164</v>
      </c>
      <c r="C88" s="34">
        <v>137</v>
      </c>
      <c r="D88" s="33">
        <v>4</v>
      </c>
      <c r="E88" s="33" t="s">
        <v>1416</v>
      </c>
      <c r="I88">
        <v>488</v>
      </c>
      <c r="J88" t="str">
        <f>_xlfn.XLOOKUP($I88,$A:$A,B:B)</f>
        <v>camino</v>
      </c>
      <c r="K88">
        <f>_xlfn.XLOOKUP($I88,$A:$A,C:C)</f>
        <v>37</v>
      </c>
      <c r="L88">
        <f>_xlfn.XLOOKUP($I88,$A:$A,D:D)</f>
        <v>13</v>
      </c>
      <c r="M88" t="str">
        <f>_xlfn.XLOOKUP($I88,$A:$A,E:E)</f>
        <v>L1</v>
      </c>
    </row>
    <row r="89" spans="1:13" customFormat="1" ht="20.25">
      <c r="A89" s="34">
        <v>88</v>
      </c>
      <c r="B89" s="33" t="s">
        <v>165</v>
      </c>
      <c r="C89" s="34">
        <v>137</v>
      </c>
      <c r="D89" s="33">
        <v>12</v>
      </c>
      <c r="E89" s="33" t="s">
        <v>1413</v>
      </c>
      <c r="I89">
        <v>473</v>
      </c>
      <c r="J89" t="str">
        <f>_xlfn.XLOOKUP($I89,$A:$A,B:B)</f>
        <v>campaña</v>
      </c>
      <c r="K89">
        <f>_xlfn.XLOOKUP($I89,$A:$A,C:C)</f>
        <v>38</v>
      </c>
      <c r="L89">
        <f>_xlfn.XLOOKUP($I89,$A:$A,D:D)</f>
        <v>1</v>
      </c>
      <c r="M89" t="str">
        <f>_xlfn.XLOOKUP($I89,$A:$A,E:E)</f>
        <v>L2</v>
      </c>
    </row>
    <row r="90" spans="1:13" customFormat="1" ht="20.25">
      <c r="A90" s="34">
        <v>89</v>
      </c>
      <c r="B90" s="33" t="s">
        <v>166</v>
      </c>
      <c r="C90" s="34">
        <v>136</v>
      </c>
      <c r="D90" s="33">
        <v>6</v>
      </c>
      <c r="E90" s="33" t="s">
        <v>1413</v>
      </c>
      <c r="I90">
        <v>994</v>
      </c>
      <c r="J90" t="str">
        <f>_xlfn.XLOOKUP($I90,$A:$A,B:B)</f>
        <v>campeón</v>
      </c>
      <c r="K90">
        <f>_xlfn.XLOOKUP($I90,$A:$A,C:C)</f>
        <v>21</v>
      </c>
      <c r="L90">
        <f>_xlfn.XLOOKUP($I90,$A:$A,D:D)</f>
        <v>4</v>
      </c>
      <c r="M90" t="str">
        <f>_xlfn.XLOOKUP($I90,$A:$A,E:E)</f>
        <v>L2</v>
      </c>
    </row>
    <row r="91" spans="1:13" customFormat="1" ht="20.25">
      <c r="A91" s="34">
        <v>90</v>
      </c>
      <c r="B91" s="33" t="s">
        <v>167</v>
      </c>
      <c r="C91" s="34">
        <v>135</v>
      </c>
      <c r="D91" s="33">
        <v>11</v>
      </c>
      <c r="E91" s="33" t="s">
        <v>1413</v>
      </c>
      <c r="I91">
        <v>913</v>
      </c>
      <c r="J91" t="str">
        <f>_xlfn.XLOOKUP($I91,$A:$A,B:B)</f>
        <v>campeonato</v>
      </c>
      <c r="K91">
        <f>_xlfn.XLOOKUP($I91,$A:$A,C:C)</f>
        <v>22</v>
      </c>
      <c r="L91">
        <f>_xlfn.XLOOKUP($I91,$A:$A,D:D)</f>
        <v>4</v>
      </c>
      <c r="M91" t="str">
        <f>_xlfn.XLOOKUP($I91,$A:$A,E:E)</f>
        <v>L2</v>
      </c>
    </row>
    <row r="92" spans="1:13" customFormat="1" ht="20.25">
      <c r="A92" s="34"/>
      <c r="B92" s="33"/>
      <c r="C92" s="34"/>
      <c r="D92" s="33"/>
      <c r="E92" s="33"/>
      <c r="I92">
        <v>312</v>
      </c>
      <c r="J92" t="str">
        <f>_xlfn.XLOOKUP($I92,$A:$A,B:B)</f>
        <v>campo</v>
      </c>
      <c r="K92">
        <f>_xlfn.XLOOKUP($I92,$A:$A,C:C)</f>
        <v>53</v>
      </c>
      <c r="L92">
        <f>_xlfn.XLOOKUP($I92,$A:$A,D:D)</f>
        <v>10</v>
      </c>
      <c r="M92" t="str">
        <f>_xlfn.XLOOKUP($I92,$A:$A,E:E)</f>
        <v>L2</v>
      </c>
    </row>
    <row r="93" spans="1:13" customFormat="1" ht="20.25">
      <c r="A93" s="34">
        <v>92</v>
      </c>
      <c r="B93" s="33" t="s">
        <v>169</v>
      </c>
      <c r="C93" s="34">
        <v>134</v>
      </c>
      <c r="D93" s="33">
        <v>9</v>
      </c>
      <c r="E93" s="33" t="s">
        <v>1413</v>
      </c>
      <c r="I93">
        <v>580</v>
      </c>
      <c r="J93" t="str">
        <f>_xlfn.XLOOKUP($I93,$A:$A,B:B)</f>
        <v>canal</v>
      </c>
      <c r="K93">
        <f>_xlfn.XLOOKUP($I93,$A:$A,C:C)</f>
        <v>32</v>
      </c>
      <c r="L93">
        <f>_xlfn.XLOOKUP($I93,$A:$A,D:D)</f>
        <v>6</v>
      </c>
      <c r="M93" t="str">
        <f>_xlfn.XLOOKUP($I93,$A:$A,E:E)</f>
        <v>L2</v>
      </c>
    </row>
    <row r="94" spans="1:13" customFormat="1" ht="20.25">
      <c r="A94" s="34">
        <v>93</v>
      </c>
      <c r="B94" s="33" t="s">
        <v>170</v>
      </c>
      <c r="C94" s="34">
        <v>134</v>
      </c>
      <c r="D94" s="33">
        <v>9</v>
      </c>
      <c r="E94" s="33" t="s">
        <v>1416</v>
      </c>
      <c r="I94">
        <v>267</v>
      </c>
      <c r="J94" t="str">
        <f>_xlfn.XLOOKUP($I94,$A:$A,B:B)</f>
        <v>canción</v>
      </c>
      <c r="K94">
        <f>_xlfn.XLOOKUP($I94,$A:$A,C:C)</f>
        <v>60</v>
      </c>
      <c r="L94">
        <f>_xlfn.XLOOKUP($I94,$A:$A,D:D)</f>
        <v>3</v>
      </c>
      <c r="M94" t="str">
        <f>_xlfn.XLOOKUP($I94,$A:$A,E:E)</f>
        <v>L2</v>
      </c>
    </row>
    <row r="95" spans="1:13" customFormat="1" ht="20.25">
      <c r="A95" s="34">
        <v>94</v>
      </c>
      <c r="B95" s="33" t="s">
        <v>171</v>
      </c>
      <c r="C95" s="34">
        <v>134</v>
      </c>
      <c r="D95" s="33">
        <v>15</v>
      </c>
      <c r="E95" s="33" t="s">
        <v>1413</v>
      </c>
      <c r="I95">
        <v>354</v>
      </c>
      <c r="J95" t="str">
        <f>_xlfn.XLOOKUP($I95,$A:$A,B:B)</f>
        <v>canciones</v>
      </c>
      <c r="K95">
        <f>_xlfn.XLOOKUP($I95,$A:$A,C:C)</f>
        <v>48</v>
      </c>
      <c r="L95">
        <f>_xlfn.XLOOKUP($I95,$A:$A,D:D)</f>
        <v>3</v>
      </c>
      <c r="M95" t="str">
        <f>_xlfn.XLOOKUP($I95,$A:$A,E:E)</f>
        <v>L2</v>
      </c>
    </row>
    <row r="96" spans="1:13" customFormat="1" ht="20.25">
      <c r="A96" s="34">
        <v>95</v>
      </c>
      <c r="B96" s="33" t="s">
        <v>172</v>
      </c>
      <c r="C96" s="34">
        <v>133</v>
      </c>
      <c r="D96" s="33">
        <v>8</v>
      </c>
      <c r="E96" s="33" t="s">
        <v>1413</v>
      </c>
      <c r="I96">
        <v>305</v>
      </c>
      <c r="J96" t="str">
        <f>_xlfn.XLOOKUP($I96,$A:$A,B:B)</f>
        <v>cantidad</v>
      </c>
      <c r="K96">
        <f>_xlfn.XLOOKUP($I96,$A:$A,C:C)</f>
        <v>55</v>
      </c>
      <c r="L96">
        <f>_xlfn.XLOOKUP($I96,$A:$A,D:D)</f>
        <v>2</v>
      </c>
      <c r="M96" t="str">
        <f>_xlfn.XLOOKUP($I96,$A:$A,E:E)</f>
        <v>L2</v>
      </c>
    </row>
    <row r="97" spans="1:13" customFormat="1" ht="20.25">
      <c r="A97" s="34"/>
      <c r="B97" s="33"/>
      <c r="C97" s="34"/>
      <c r="D97" s="33"/>
      <c r="E97" s="33"/>
      <c r="I97">
        <v>391</v>
      </c>
      <c r="J97" t="str">
        <f>_xlfn.XLOOKUP($I97,$A:$A,B:B)</f>
        <v>capacidad</v>
      </c>
      <c r="K97">
        <f>_xlfn.XLOOKUP($I97,$A:$A,C:C)</f>
        <v>44</v>
      </c>
      <c r="L97">
        <f>_xlfn.XLOOKUP($I97,$A:$A,D:D)</f>
        <v>6</v>
      </c>
      <c r="M97" t="str">
        <f>_xlfn.XLOOKUP($I97,$A:$A,E:E)</f>
        <v>L2</v>
      </c>
    </row>
    <row r="98" spans="1:13" customFormat="1" ht="20.25">
      <c r="A98" s="34">
        <v>97</v>
      </c>
      <c r="B98" s="33" t="s">
        <v>174</v>
      </c>
      <c r="C98" s="34">
        <v>132</v>
      </c>
      <c r="D98" s="33">
        <v>6</v>
      </c>
      <c r="E98" s="33" t="s">
        <v>1413</v>
      </c>
      <c r="I98">
        <v>669</v>
      </c>
      <c r="J98" t="str">
        <f>_xlfn.XLOOKUP($I98,$A:$A,B:B)</f>
        <v>capaz</v>
      </c>
      <c r="K98">
        <f>_xlfn.XLOOKUP($I98,$A:$A,C:C)</f>
        <v>29</v>
      </c>
      <c r="L98">
        <f>_xlfn.XLOOKUP($I98,$A:$A,D:D)</f>
        <v>7</v>
      </c>
      <c r="M98" t="str">
        <f>_xlfn.XLOOKUP($I98,$A:$A,E:E)</f>
        <v>L2</v>
      </c>
    </row>
    <row r="99" spans="1:13" customFormat="1" ht="20.25">
      <c r="A99" s="34">
        <v>98</v>
      </c>
      <c r="B99" s="33" t="s">
        <v>175</v>
      </c>
      <c r="C99" s="34">
        <v>131</v>
      </c>
      <c r="D99" s="33">
        <v>8</v>
      </c>
      <c r="E99" s="33" t="s">
        <v>1413</v>
      </c>
      <c r="I99">
        <v>522</v>
      </c>
      <c r="J99" t="str">
        <f>_xlfn.XLOOKUP($I99,$A:$A,B:B)</f>
        <v>capital</v>
      </c>
      <c r="K99">
        <f>_xlfn.XLOOKUP($I99,$A:$A,C:C)</f>
        <v>35</v>
      </c>
      <c r="L99">
        <f>_xlfn.XLOOKUP($I99,$A:$A,D:D)</f>
        <v>2</v>
      </c>
      <c r="M99" t="str">
        <f>_xlfn.XLOOKUP($I99,$A:$A,E:E)</f>
        <v>L2</v>
      </c>
    </row>
    <row r="100" spans="1:13" customFormat="1" ht="20.25">
      <c r="A100" s="34">
        <v>99</v>
      </c>
      <c r="B100" s="33" t="s">
        <v>176</v>
      </c>
      <c r="C100" s="34">
        <v>127</v>
      </c>
      <c r="D100" s="33">
        <v>5</v>
      </c>
      <c r="E100" s="33" t="s">
        <v>1416</v>
      </c>
      <c r="I100">
        <v>732</v>
      </c>
      <c r="J100" t="str">
        <f>_xlfn.XLOOKUP($I100,$A:$A,B:B)</f>
        <v>carácter</v>
      </c>
      <c r="K100">
        <f>_xlfn.XLOOKUP($I100,$A:$A,C:C)</f>
        <v>27</v>
      </c>
      <c r="L100">
        <f>_xlfn.XLOOKUP($I100,$A:$A,D:D)</f>
        <v>12</v>
      </c>
      <c r="M100" t="str">
        <f>_xlfn.XLOOKUP($I100,$A:$A,E:E)</f>
        <v>L3</v>
      </c>
    </row>
    <row r="101" spans="1:13" customFormat="1" ht="20.25">
      <c r="A101" s="34"/>
      <c r="B101" s="33"/>
      <c r="C101" s="34"/>
      <c r="D101" s="33"/>
      <c r="E101" s="33"/>
      <c r="I101">
        <v>443</v>
      </c>
      <c r="J101" t="str">
        <f>_xlfn.XLOOKUP($I101,$A:$A,B:B)</f>
        <v>características</v>
      </c>
      <c r="K101">
        <f>_xlfn.XLOOKUP($I101,$A:$A,C:C)</f>
        <v>40</v>
      </c>
      <c r="L101">
        <f>_xlfn.XLOOKUP($I101,$A:$A,D:D)</f>
        <v>6</v>
      </c>
      <c r="M101" t="str">
        <f>_xlfn.XLOOKUP($I101,$A:$A,E:E)</f>
        <v>L3</v>
      </c>
    </row>
    <row r="102" spans="1:13" customFormat="1" ht="20.25">
      <c r="A102" s="34">
        <v>101</v>
      </c>
      <c r="B102" s="33" t="s">
        <v>178</v>
      </c>
      <c r="C102" s="34">
        <v>125</v>
      </c>
      <c r="D102" s="33">
        <v>13</v>
      </c>
      <c r="E102" s="33" t="s">
        <v>1413</v>
      </c>
      <c r="I102">
        <v>670</v>
      </c>
      <c r="J102" t="str">
        <f>_xlfn.XLOOKUP($I102,$A:$A,B:B)</f>
        <v>carga</v>
      </c>
      <c r="K102">
        <f>_xlfn.XLOOKUP($I102,$A:$A,C:C)</f>
        <v>29</v>
      </c>
      <c r="L102">
        <f>_xlfn.XLOOKUP($I102,$A:$A,D:D)</f>
        <v>5</v>
      </c>
      <c r="M102" t="str">
        <f>_xlfn.XLOOKUP($I102,$A:$A,E:E)</f>
        <v>L2</v>
      </c>
    </row>
    <row r="103" spans="1:13" customFormat="1" ht="20.25">
      <c r="A103" s="34">
        <v>102</v>
      </c>
      <c r="B103" s="33" t="s">
        <v>179</v>
      </c>
      <c r="C103" s="34">
        <v>124</v>
      </c>
      <c r="D103" s="33">
        <v>8</v>
      </c>
      <c r="E103" s="33" t="s">
        <v>1413</v>
      </c>
      <c r="I103">
        <v>313</v>
      </c>
      <c r="J103" t="str">
        <f>_xlfn.XLOOKUP($I103,$A:$A,B:B)</f>
        <v>cargo</v>
      </c>
      <c r="K103">
        <f>_xlfn.XLOOKUP($I103,$A:$A,C:C)</f>
        <v>53</v>
      </c>
      <c r="L103">
        <f>_xlfn.XLOOKUP($I103,$A:$A,D:D)</f>
        <v>5</v>
      </c>
      <c r="M103" t="str">
        <f>_xlfn.XLOOKUP($I103,$A:$A,E:E)</f>
        <v>L2</v>
      </c>
    </row>
    <row r="104" spans="1:13" customFormat="1" ht="20.25">
      <c r="A104" s="34">
        <v>103</v>
      </c>
      <c r="B104" s="33" t="s">
        <v>180</v>
      </c>
      <c r="C104" s="34">
        <v>123</v>
      </c>
      <c r="D104" s="33">
        <v>12</v>
      </c>
      <c r="E104" s="33" t="s">
        <v>1413</v>
      </c>
      <c r="I104">
        <v>848</v>
      </c>
      <c r="J104" t="str">
        <f>_xlfn.XLOOKUP($I104,$A:$A,B:B)</f>
        <v>Carlos</v>
      </c>
      <c r="K104">
        <f>_xlfn.XLOOKUP($I104,$A:$A,C:C)</f>
        <v>24</v>
      </c>
      <c r="L104">
        <f>_xlfn.XLOOKUP($I104,$A:$A,D:D)</f>
        <v>3</v>
      </c>
      <c r="M104" t="str">
        <f>_xlfn.XLOOKUP($I104,$A:$A,E:E)</f>
        <v>L1</v>
      </c>
    </row>
    <row r="105" spans="1:13" customFormat="1" ht="20.25">
      <c r="A105" s="34">
        <v>104</v>
      </c>
      <c r="B105" s="33" t="s">
        <v>181</v>
      </c>
      <c r="C105" s="34">
        <v>122</v>
      </c>
      <c r="D105" s="33">
        <v>13</v>
      </c>
      <c r="E105" s="33" t="s">
        <v>1413</v>
      </c>
      <c r="I105">
        <v>238</v>
      </c>
      <c r="J105" t="str">
        <f>_xlfn.XLOOKUP($I105,$A:$A,B:B)</f>
        <v>carrera</v>
      </c>
      <c r="K105">
        <f>_xlfn.XLOOKUP($I105,$A:$A,C:C)</f>
        <v>66</v>
      </c>
      <c r="L105">
        <f>_xlfn.XLOOKUP($I105,$A:$A,D:D)</f>
        <v>7</v>
      </c>
      <c r="M105" t="str">
        <f>_xlfn.XLOOKUP($I105,$A:$A,E:E)</f>
        <v>L2</v>
      </c>
    </row>
    <row r="106" spans="1:13" customFormat="1" ht="20.25">
      <c r="A106" s="34"/>
      <c r="B106" s="33"/>
      <c r="C106" s="34"/>
      <c r="D106" s="33"/>
      <c r="E106" s="33"/>
      <c r="I106">
        <v>147</v>
      </c>
      <c r="J106" t="str">
        <f>_xlfn.XLOOKUP($I106,$A:$A,B:B)</f>
        <v>casa</v>
      </c>
      <c r="K106">
        <f>_xlfn.XLOOKUP($I106,$A:$A,C:C)</f>
        <v>94</v>
      </c>
      <c r="L106">
        <f>_xlfn.XLOOKUP($I106,$A:$A,D:D)</f>
        <v>13</v>
      </c>
      <c r="M106" t="str">
        <f>_xlfn.XLOOKUP($I106,$A:$A,E:E)</f>
        <v>L1</v>
      </c>
    </row>
    <row r="107" spans="1:13" customFormat="1" ht="20.25">
      <c r="A107" s="34">
        <v>106</v>
      </c>
      <c r="B107" s="33" t="s">
        <v>183</v>
      </c>
      <c r="C107" s="34">
        <v>120</v>
      </c>
      <c r="D107" s="33">
        <v>9</v>
      </c>
      <c r="E107" s="33" t="s">
        <v>1413</v>
      </c>
      <c r="I107">
        <v>671</v>
      </c>
      <c r="J107" t="str">
        <f>_xlfn.XLOOKUP($I107,$A:$A,B:B)</f>
        <v>casas</v>
      </c>
      <c r="K107">
        <f>_xlfn.XLOOKUP($I107,$A:$A,C:C)</f>
        <v>29</v>
      </c>
      <c r="L107">
        <f>_xlfn.XLOOKUP($I107,$A:$A,D:D)</f>
        <v>13</v>
      </c>
      <c r="M107" t="str">
        <f>_xlfn.XLOOKUP($I107,$A:$A,E:E)</f>
        <v>L1</v>
      </c>
    </row>
    <row r="108" spans="1:13" customFormat="1" ht="20.25">
      <c r="A108" s="34"/>
      <c r="B108" s="33"/>
      <c r="C108" s="34"/>
      <c r="D108" s="33"/>
      <c r="E108" s="33"/>
      <c r="I108">
        <v>230</v>
      </c>
      <c r="J108" t="str">
        <f>_xlfn.XLOOKUP($I108,$A:$A,B:B)</f>
        <v>casi</v>
      </c>
      <c r="K108">
        <f>_xlfn.XLOOKUP($I108,$A:$A,C:C)</f>
        <v>67</v>
      </c>
      <c r="L108">
        <f>_xlfn.XLOOKUP($I108,$A:$A,D:D)</f>
        <v>12</v>
      </c>
      <c r="M108" t="str">
        <f>_xlfn.XLOOKUP($I108,$A:$A,E:E)</f>
        <v>L1</v>
      </c>
    </row>
    <row r="109" spans="1:13" customFormat="1" ht="20.25">
      <c r="A109" s="34"/>
      <c r="B109" s="33"/>
      <c r="C109" s="34"/>
      <c r="D109" s="33"/>
      <c r="E109" s="33"/>
      <c r="I109">
        <v>194</v>
      </c>
      <c r="J109" t="str">
        <f>_xlfn.XLOOKUP($I109,$A:$A,B:B)</f>
        <v>caso</v>
      </c>
      <c r="K109">
        <f>_xlfn.XLOOKUP($I109,$A:$A,C:C)</f>
        <v>79</v>
      </c>
      <c r="L109">
        <f>_xlfn.XLOOKUP($I109,$A:$A,D:D)</f>
        <v>8</v>
      </c>
      <c r="M109" t="str">
        <f>_xlfn.XLOOKUP($I109,$A:$A,E:E)</f>
        <v>L2</v>
      </c>
    </row>
    <row r="110" spans="1:13" customFormat="1" ht="20.25">
      <c r="A110" s="34"/>
      <c r="B110" s="33"/>
      <c r="C110" s="34"/>
      <c r="D110" s="33"/>
      <c r="E110" s="33"/>
      <c r="I110">
        <v>859</v>
      </c>
      <c r="J110" t="str">
        <f>_xlfn.XLOOKUP($I110,$A:$A,B:B)</f>
        <v>casó</v>
      </c>
      <c r="K110">
        <f>_xlfn.XLOOKUP($I110,$A:$A,C:C)</f>
        <v>23</v>
      </c>
      <c r="L110">
        <f>_xlfn.XLOOKUP($I110,$A:$A,D:D)</f>
        <v>12</v>
      </c>
      <c r="M110" t="str">
        <f>_xlfn.XLOOKUP($I110,$A:$A,E:E)</f>
        <v>L1</v>
      </c>
    </row>
    <row r="111" spans="1:13" customFormat="1" ht="20.25">
      <c r="A111" s="34">
        <v>110</v>
      </c>
      <c r="B111" s="33" t="s">
        <v>187</v>
      </c>
      <c r="C111" s="34">
        <v>117</v>
      </c>
      <c r="D111" s="33">
        <v>7</v>
      </c>
      <c r="E111" s="33" t="s">
        <v>1416</v>
      </c>
      <c r="I111">
        <v>457</v>
      </c>
      <c r="J111" t="str">
        <f>_xlfn.XLOOKUP($I111,$A:$A,B:B)</f>
        <v>casos</v>
      </c>
      <c r="K111">
        <f>_xlfn.XLOOKUP($I111,$A:$A,C:C)</f>
        <v>39</v>
      </c>
      <c r="L111">
        <f>_xlfn.XLOOKUP($I111,$A:$A,D:D)</f>
        <v>8</v>
      </c>
      <c r="M111" t="str">
        <f>_xlfn.XLOOKUP($I111,$A:$A,E:E)</f>
        <v>L2</v>
      </c>
    </row>
    <row r="112" spans="1:13" customFormat="1" ht="20.25">
      <c r="A112" s="34">
        <v>111</v>
      </c>
      <c r="B112" s="33" t="s">
        <v>188</v>
      </c>
      <c r="C112" s="34">
        <v>115</v>
      </c>
      <c r="D112" s="33">
        <v>12</v>
      </c>
      <c r="E112" s="33" t="s">
        <v>1413</v>
      </c>
      <c r="I112">
        <v>995</v>
      </c>
      <c r="J112" t="str">
        <f>_xlfn.XLOOKUP($I112,$A:$A,B:B)</f>
        <v>castillo</v>
      </c>
      <c r="K112">
        <f>_xlfn.XLOOKUP($I112,$A:$A,C:C)</f>
        <v>21</v>
      </c>
      <c r="L112">
        <f>_xlfn.XLOOKUP($I112,$A:$A,D:D)</f>
        <v>9</v>
      </c>
      <c r="M112" t="str">
        <f>_xlfn.XLOOKUP($I112,$A:$A,E:E)</f>
        <v>L2</v>
      </c>
    </row>
    <row r="113" spans="1:13" customFormat="1" ht="20.25">
      <c r="A113" s="34">
        <v>112</v>
      </c>
      <c r="B113" s="33" t="s">
        <v>189</v>
      </c>
      <c r="C113" s="34">
        <v>115</v>
      </c>
      <c r="D113" s="33">
        <v>5</v>
      </c>
      <c r="E113" s="33" t="s">
        <v>1413</v>
      </c>
      <c r="I113">
        <v>767</v>
      </c>
      <c r="J113" t="str">
        <f>_xlfn.XLOOKUP($I113,$A:$A,B:B)</f>
        <v>categoría</v>
      </c>
      <c r="K113">
        <f>_xlfn.XLOOKUP($I113,$A:$A,C:C)</f>
        <v>26</v>
      </c>
      <c r="L113">
        <f>_xlfn.XLOOKUP($I113,$A:$A,D:D)</f>
        <v>15</v>
      </c>
      <c r="M113" t="str">
        <f>_xlfn.XLOOKUP($I113,$A:$A,E:E)</f>
        <v>L2</v>
      </c>
    </row>
    <row r="114" spans="1:13" customFormat="1" ht="20.25">
      <c r="A114" s="34"/>
      <c r="B114" s="33"/>
      <c r="C114" s="34"/>
      <c r="D114" s="33"/>
      <c r="E114" s="33"/>
      <c r="I114">
        <v>603</v>
      </c>
      <c r="J114" t="str">
        <f>_xlfn.XLOOKUP($I114,$A:$A,B:B)</f>
        <v>causa</v>
      </c>
      <c r="K114">
        <f>_xlfn.XLOOKUP($I114,$A:$A,C:C)</f>
        <v>31</v>
      </c>
      <c r="L114">
        <f>_xlfn.XLOOKUP($I114,$A:$A,D:D)</f>
        <v>8</v>
      </c>
      <c r="M114" t="str">
        <f>_xlfn.XLOOKUP($I114,$A:$A,E:E)</f>
        <v>L3</v>
      </c>
    </row>
    <row r="115" spans="1:13" customFormat="1" ht="20.25">
      <c r="A115" s="34">
        <v>114</v>
      </c>
      <c r="B115" s="33" t="s">
        <v>191</v>
      </c>
      <c r="C115" s="34">
        <v>111</v>
      </c>
      <c r="D115" s="33">
        <v>13</v>
      </c>
      <c r="E115" s="33" t="s">
        <v>1413</v>
      </c>
      <c r="I115">
        <v>374</v>
      </c>
      <c r="J115" t="str">
        <f>_xlfn.XLOOKUP($I115,$A:$A,B:B)</f>
        <v>central</v>
      </c>
      <c r="K115">
        <f>_xlfn.XLOOKUP($I115,$A:$A,C:C)</f>
        <v>46</v>
      </c>
      <c r="L115">
        <f>_xlfn.XLOOKUP($I115,$A:$A,D:D)</f>
        <v>1</v>
      </c>
      <c r="M115" t="str">
        <f>_xlfn.XLOOKUP($I115,$A:$A,E:E)</f>
        <v>L2</v>
      </c>
    </row>
    <row r="116" spans="1:13" customFormat="1" ht="20.25">
      <c r="A116" s="34"/>
      <c r="B116" s="33"/>
      <c r="C116" s="34"/>
      <c r="D116" s="33"/>
      <c r="E116" s="33"/>
      <c r="I116">
        <v>201</v>
      </c>
      <c r="J116" t="str">
        <f>_xlfn.XLOOKUP($I116,$A:$A,B:B)</f>
        <v>centro</v>
      </c>
      <c r="K116">
        <f>_xlfn.XLOOKUP($I116,$A:$A,C:C)</f>
        <v>77</v>
      </c>
      <c r="L116">
        <f>_xlfn.XLOOKUP($I116,$A:$A,D:D)</f>
        <v>10</v>
      </c>
      <c r="M116" t="str">
        <f>_xlfn.XLOOKUP($I116,$A:$A,E:E)</f>
        <v>L1</v>
      </c>
    </row>
    <row r="117" spans="1:13" customFormat="1" ht="20.25">
      <c r="A117" s="34">
        <v>116</v>
      </c>
      <c r="B117" s="33" t="s">
        <v>193</v>
      </c>
      <c r="C117" s="34">
        <v>109</v>
      </c>
      <c r="D117" s="33">
        <v>3</v>
      </c>
      <c r="E117" s="33" t="s">
        <v>1416</v>
      </c>
      <c r="I117">
        <v>300</v>
      </c>
      <c r="J117" t="str">
        <f>_xlfn.XLOOKUP($I117,$A:$A,B:B)</f>
        <v>cerca</v>
      </c>
      <c r="K117">
        <f>_xlfn.XLOOKUP($I117,$A:$A,C:C)</f>
        <v>55</v>
      </c>
      <c r="L117">
        <f>_xlfn.XLOOKUP($I117,$A:$A,D:D)</f>
        <v>10</v>
      </c>
      <c r="M117" t="str">
        <f>_xlfn.XLOOKUP($I117,$A:$A,E:E)</f>
        <v>L1</v>
      </c>
    </row>
    <row r="118" spans="1:13" customFormat="1" ht="20.25">
      <c r="A118" s="34">
        <v>117</v>
      </c>
      <c r="B118" s="33" t="s">
        <v>194</v>
      </c>
      <c r="C118" s="34">
        <v>107</v>
      </c>
      <c r="D118" s="33">
        <v>12</v>
      </c>
      <c r="E118" s="33" t="s">
        <v>1416</v>
      </c>
      <c r="I118">
        <v>545</v>
      </c>
      <c r="J118" t="str">
        <f>_xlfn.XLOOKUP($I118,$A:$A,B:B)</f>
        <v>Chile</v>
      </c>
      <c r="K118">
        <f>_xlfn.XLOOKUP($I118,$A:$A,C:C)</f>
        <v>34</v>
      </c>
      <c r="L118">
        <f>_xlfn.XLOOKUP($I118,$A:$A,D:D)</f>
        <v>1</v>
      </c>
      <c r="M118" t="str">
        <f>_xlfn.XLOOKUP($I118,$A:$A,E:E)</f>
        <v>L1</v>
      </c>
    </row>
    <row r="119" spans="1:13" customFormat="1" ht="20.25">
      <c r="A119" s="34">
        <v>118</v>
      </c>
      <c r="B119" s="33" t="s">
        <v>195</v>
      </c>
      <c r="C119" s="34">
        <v>107</v>
      </c>
      <c r="D119" s="33">
        <v>10</v>
      </c>
      <c r="E119" s="33" t="s">
        <v>1413</v>
      </c>
      <c r="I119">
        <v>897</v>
      </c>
      <c r="J119" t="str">
        <f>_xlfn.XLOOKUP($I119,$A:$A,B:B)</f>
        <v>China</v>
      </c>
      <c r="K119">
        <f>_xlfn.XLOOKUP($I119,$A:$A,C:C)</f>
        <v>23</v>
      </c>
      <c r="L119">
        <f>_xlfn.XLOOKUP($I119,$A:$A,D:D)</f>
        <v>13</v>
      </c>
      <c r="M119" t="str">
        <f>_xlfn.XLOOKUP($I119,$A:$A,E:E)</f>
        <v>L1</v>
      </c>
    </row>
    <row r="120" spans="1:13" customFormat="1" ht="20.25">
      <c r="A120" s="34">
        <v>119</v>
      </c>
      <c r="B120" s="33" t="s">
        <v>196</v>
      </c>
      <c r="C120" s="34">
        <v>106</v>
      </c>
      <c r="D120" s="33">
        <v>8</v>
      </c>
      <c r="E120" s="33" t="s">
        <v>1413</v>
      </c>
      <c r="I120">
        <v>914</v>
      </c>
      <c r="J120" t="str">
        <f>_xlfn.XLOOKUP($I120,$A:$A,B:B)</f>
        <v>cierto</v>
      </c>
      <c r="K120">
        <f>_xlfn.XLOOKUP($I120,$A:$A,C:C)</f>
        <v>22</v>
      </c>
      <c r="L120">
        <f>_xlfn.XLOOKUP($I120,$A:$A,D:D)</f>
        <v>1</v>
      </c>
      <c r="M120" t="str">
        <f>_xlfn.XLOOKUP($I120,$A:$A,E:E)</f>
        <v>L2</v>
      </c>
    </row>
    <row r="121" spans="1:13" customFormat="1" ht="20.25">
      <c r="A121" s="34">
        <v>120</v>
      </c>
      <c r="B121" s="33" t="s">
        <v>197</v>
      </c>
      <c r="C121" s="34">
        <v>106</v>
      </c>
      <c r="D121" s="33">
        <v>12</v>
      </c>
      <c r="E121" s="33" t="s">
        <v>1413</v>
      </c>
      <c r="I121">
        <v>292</v>
      </c>
      <c r="J121" t="str">
        <f>_xlfn.XLOOKUP($I121,$A:$A,B:B)</f>
        <v>cinco</v>
      </c>
      <c r="K121">
        <f>_xlfn.XLOOKUP($I121,$A:$A,C:C)</f>
        <v>56</v>
      </c>
      <c r="L121">
        <f>_xlfn.XLOOKUP($I121,$A:$A,D:D)</f>
        <v>4</v>
      </c>
      <c r="M121" t="str">
        <f>_xlfn.XLOOKUP($I121,$A:$A,E:E)</f>
        <v>L1</v>
      </c>
    </row>
    <row r="122" spans="1:13" customFormat="1" ht="20.25">
      <c r="A122" s="34">
        <v>121</v>
      </c>
      <c r="B122" s="33" t="s">
        <v>198</v>
      </c>
      <c r="C122" s="34">
        <v>106</v>
      </c>
      <c r="D122" s="33">
        <v>12</v>
      </c>
      <c r="E122" s="33" t="s">
        <v>1413</v>
      </c>
      <c r="I122">
        <v>70</v>
      </c>
      <c r="J122" t="str">
        <f>_xlfn.XLOOKUP($I122,$A:$A,B:B)</f>
        <v>ciudad</v>
      </c>
      <c r="K122">
        <f>_xlfn.XLOOKUP($I122,$A:$A,C:C)</f>
        <v>171</v>
      </c>
      <c r="L122">
        <f>_xlfn.XLOOKUP($I122,$A:$A,D:D)</f>
        <v>10</v>
      </c>
      <c r="M122" t="str">
        <f>_xlfn.XLOOKUP($I122,$A:$A,E:E)</f>
        <v>L1</v>
      </c>
    </row>
    <row r="123" spans="1:13" customFormat="1" ht="20.25">
      <c r="A123" s="34">
        <v>122</v>
      </c>
      <c r="B123" s="33" t="s">
        <v>199</v>
      </c>
      <c r="C123" s="34">
        <v>106</v>
      </c>
      <c r="D123" s="33">
        <v>12</v>
      </c>
      <c r="E123" s="33" t="s">
        <v>1413</v>
      </c>
      <c r="I123">
        <v>632</v>
      </c>
      <c r="J123" t="str">
        <f>_xlfn.XLOOKUP($I123,$A:$A,B:B)</f>
        <v>ciudades</v>
      </c>
      <c r="K123">
        <f>_xlfn.XLOOKUP($I123,$A:$A,C:C)</f>
        <v>30</v>
      </c>
      <c r="L123">
        <f>_xlfn.XLOOKUP($I123,$A:$A,D:D)</f>
        <v>12</v>
      </c>
      <c r="M123" t="str">
        <f>_xlfn.XLOOKUP($I123,$A:$A,E:E)</f>
        <v>L1</v>
      </c>
    </row>
    <row r="124" spans="1:13" customFormat="1" ht="20.25">
      <c r="A124" s="34">
        <v>123</v>
      </c>
      <c r="B124" s="33" t="s">
        <v>200</v>
      </c>
      <c r="C124" s="34">
        <v>105</v>
      </c>
      <c r="D124" s="33">
        <v>9</v>
      </c>
      <c r="E124" s="33" t="s">
        <v>1413</v>
      </c>
      <c r="I124">
        <v>860</v>
      </c>
      <c r="J124" t="str">
        <f>_xlfn.XLOOKUP($I124,$A:$A,B:B)</f>
        <v>civil</v>
      </c>
      <c r="K124">
        <f>_xlfn.XLOOKUP($I124,$A:$A,C:C)</f>
        <v>23</v>
      </c>
      <c r="L124">
        <f>_xlfn.XLOOKUP($I124,$A:$A,D:D)</f>
        <v>8</v>
      </c>
      <c r="M124" t="str">
        <f>_xlfn.XLOOKUP($I124,$A:$A,E:E)</f>
        <v>L2</v>
      </c>
    </row>
    <row r="125" spans="1:13" customFormat="1" ht="20.25">
      <c r="A125" s="34">
        <v>124</v>
      </c>
      <c r="B125" s="33" t="s">
        <v>201</v>
      </c>
      <c r="C125" s="34">
        <v>105</v>
      </c>
      <c r="D125" s="33">
        <v>1</v>
      </c>
      <c r="E125" s="33" t="s">
        <v>1413</v>
      </c>
      <c r="I125">
        <v>672</v>
      </c>
      <c r="J125" t="str">
        <f>_xlfn.XLOOKUP($I125,$A:$A,B:B)</f>
        <v>clase</v>
      </c>
      <c r="K125">
        <f>_xlfn.XLOOKUP($I125,$A:$A,C:C)</f>
        <v>29</v>
      </c>
      <c r="L125">
        <f>_xlfn.XLOOKUP($I125,$A:$A,D:D)</f>
        <v>7</v>
      </c>
      <c r="M125" t="str">
        <f>_xlfn.XLOOKUP($I125,$A:$A,E:E)</f>
        <v>L1</v>
      </c>
    </row>
    <row r="126" spans="1:13" customFormat="1" ht="20.25">
      <c r="A126" s="34">
        <v>125</v>
      </c>
      <c r="B126" s="33" t="s">
        <v>202</v>
      </c>
      <c r="C126" s="34">
        <v>105</v>
      </c>
      <c r="D126" s="33">
        <v>12</v>
      </c>
      <c r="E126" s="33" t="s">
        <v>1416</v>
      </c>
      <c r="I126">
        <v>996</v>
      </c>
      <c r="J126" t="str">
        <f>_xlfn.XLOOKUP($I126,$A:$A,B:B)</f>
        <v>clases</v>
      </c>
      <c r="K126">
        <f>_xlfn.XLOOKUP($I126,$A:$A,C:C)</f>
        <v>21</v>
      </c>
      <c r="L126">
        <f>_xlfn.XLOOKUP($I126,$A:$A,D:D)</f>
        <v>7</v>
      </c>
      <c r="M126" t="str">
        <f>_xlfn.XLOOKUP($I126,$A:$A,E:E)</f>
        <v>L1</v>
      </c>
    </row>
    <row r="127" spans="1:13" customFormat="1" ht="20.25">
      <c r="A127" s="34">
        <v>126</v>
      </c>
      <c r="B127" s="33" t="s">
        <v>203</v>
      </c>
      <c r="C127" s="34">
        <v>104</v>
      </c>
      <c r="D127" s="33">
        <v>12</v>
      </c>
      <c r="E127" s="33" t="s">
        <v>1413</v>
      </c>
      <c r="I127">
        <v>401</v>
      </c>
      <c r="J127" t="str">
        <f>_xlfn.XLOOKUP($I127,$A:$A,B:B)</f>
        <v>club</v>
      </c>
      <c r="K127">
        <f>_xlfn.XLOOKUP($I127,$A:$A,C:C)</f>
        <v>43</v>
      </c>
      <c r="L127">
        <f>_xlfn.XLOOKUP($I127,$A:$A,D:D)</f>
        <v>4</v>
      </c>
      <c r="M127" t="str">
        <f>_xlfn.XLOOKUP($I127,$A:$A,E:E)</f>
        <v>L2</v>
      </c>
    </row>
    <row r="128" spans="1:13" customFormat="1" ht="20.25">
      <c r="A128" s="34">
        <v>127</v>
      </c>
      <c r="B128" s="33" t="s">
        <v>204</v>
      </c>
      <c r="C128" s="34">
        <v>103</v>
      </c>
      <c r="D128" s="33">
        <v>2</v>
      </c>
      <c r="E128" s="33" t="s">
        <v>1416</v>
      </c>
      <c r="I128">
        <v>301</v>
      </c>
      <c r="J128" t="str">
        <f>_xlfn.XLOOKUP($I128,$A:$A,B:B)</f>
        <v>color</v>
      </c>
      <c r="K128">
        <f>_xlfn.XLOOKUP($I128,$A:$A,C:C)</f>
        <v>55</v>
      </c>
      <c r="L128">
        <f>_xlfn.XLOOKUP($I128,$A:$A,D:D)</f>
        <v>3</v>
      </c>
      <c r="M128" t="str">
        <f>_xlfn.XLOOKUP($I128,$A:$A,E:E)</f>
        <v>L1</v>
      </c>
    </row>
    <row r="129" spans="1:13" customFormat="1" ht="20.25">
      <c r="A129" s="34">
        <v>128</v>
      </c>
      <c r="B129" s="33" t="s">
        <v>205</v>
      </c>
      <c r="C129" s="34">
        <v>103</v>
      </c>
      <c r="D129" s="33">
        <v>13</v>
      </c>
      <c r="E129" s="33" t="s">
        <v>1413</v>
      </c>
      <c r="I129">
        <v>997</v>
      </c>
      <c r="J129" t="str">
        <f>_xlfn.XLOOKUP($I129,$A:$A,B:B)</f>
        <v>colores</v>
      </c>
      <c r="K129">
        <f>_xlfn.XLOOKUP($I129,$A:$A,C:C)</f>
        <v>21</v>
      </c>
      <c r="L129">
        <f>_xlfn.XLOOKUP($I129,$A:$A,D:D)</f>
        <v>3</v>
      </c>
      <c r="M129" t="str">
        <f>_xlfn.XLOOKUP($I129,$A:$A,E:E)</f>
        <v>L1</v>
      </c>
    </row>
    <row r="130" spans="1:13" customFormat="1" ht="20.25">
      <c r="A130" s="34">
        <v>129</v>
      </c>
      <c r="B130" s="33" t="s">
        <v>206</v>
      </c>
      <c r="C130" s="34">
        <v>103</v>
      </c>
      <c r="D130" s="33">
        <v>9</v>
      </c>
      <c r="E130" s="33" t="s">
        <v>1416</v>
      </c>
      <c r="I130">
        <v>998</v>
      </c>
      <c r="J130" t="str">
        <f>_xlfn.XLOOKUP($I130,$A:$A,B:B)</f>
        <v>combate</v>
      </c>
      <c r="K130">
        <f>_xlfn.XLOOKUP($I130,$A:$A,C:C)</f>
        <v>21</v>
      </c>
      <c r="L130">
        <f>_xlfn.XLOOKUP($I130,$A:$A,D:D)</f>
        <v>4</v>
      </c>
      <c r="M130" t="str">
        <f>_xlfn.XLOOKUP($I130,$A:$A,E:E)</f>
        <v>L2</v>
      </c>
    </row>
    <row r="131" spans="1:13" customFormat="1" ht="20.25">
      <c r="A131" s="34"/>
      <c r="B131" s="33"/>
      <c r="C131" s="34"/>
      <c r="D131" s="33"/>
      <c r="E131" s="33"/>
      <c r="I131">
        <v>733</v>
      </c>
      <c r="J131" t="str">
        <f>_xlfn.XLOOKUP($I131,$A:$A,B:B)</f>
        <v>comenzaron</v>
      </c>
      <c r="K131">
        <f>_xlfn.XLOOKUP($I131,$A:$A,C:C)</f>
        <v>27</v>
      </c>
      <c r="L131">
        <f>_xlfn.XLOOKUP($I131,$A:$A,D:D)</f>
        <v>9</v>
      </c>
      <c r="M131" t="str">
        <f>_xlfn.XLOOKUP($I131,$A:$A,E:E)</f>
        <v>L1</v>
      </c>
    </row>
    <row r="132" spans="1:13" customFormat="1" ht="20.25">
      <c r="A132" s="34">
        <v>131</v>
      </c>
      <c r="B132" s="33" t="s">
        <v>208</v>
      </c>
      <c r="C132" s="34">
        <v>102</v>
      </c>
      <c r="D132" s="33">
        <v>4</v>
      </c>
      <c r="E132" s="33" t="s">
        <v>1416</v>
      </c>
      <c r="I132">
        <v>215</v>
      </c>
      <c r="J132" t="str">
        <f>_xlfn.XLOOKUP($I132,$A:$A,B:B)</f>
        <v>comenzó</v>
      </c>
      <c r="K132">
        <f>_xlfn.XLOOKUP($I132,$A:$A,C:C)</f>
        <v>72</v>
      </c>
      <c r="L132">
        <f>_xlfn.XLOOKUP($I132,$A:$A,D:D)</f>
        <v>9</v>
      </c>
      <c r="M132" t="str">
        <f>_xlfn.XLOOKUP($I132,$A:$A,E:E)</f>
        <v>L2</v>
      </c>
    </row>
    <row r="133" spans="1:13" customFormat="1" ht="20.25">
      <c r="A133" s="34">
        <v>132</v>
      </c>
      <c r="B133" s="33" t="s">
        <v>209</v>
      </c>
      <c r="C133" s="34">
        <v>101</v>
      </c>
      <c r="D133" s="33">
        <v>1</v>
      </c>
      <c r="E133" s="33" t="s">
        <v>1416</v>
      </c>
      <c r="I133">
        <v>861</v>
      </c>
      <c r="J133" t="str">
        <f>_xlfn.XLOOKUP($I133,$A:$A,B:B)</f>
        <v>comercial</v>
      </c>
      <c r="K133">
        <f>_xlfn.XLOOKUP($I133,$A:$A,C:C)</f>
        <v>23</v>
      </c>
      <c r="L133">
        <f>_xlfn.XLOOKUP($I133,$A:$A,D:D)</f>
        <v>5</v>
      </c>
      <c r="M133" t="str">
        <f>_xlfn.XLOOKUP($I133,$A:$A,E:E)</f>
        <v>L2</v>
      </c>
    </row>
    <row r="134" spans="1:13" customFormat="1" ht="20.25">
      <c r="A134" s="34">
        <v>133</v>
      </c>
      <c r="B134" s="33" t="s">
        <v>210</v>
      </c>
      <c r="C134" s="34">
        <v>100</v>
      </c>
      <c r="D134" s="33">
        <v>12</v>
      </c>
      <c r="E134" s="33" t="s">
        <v>1413</v>
      </c>
      <c r="I134">
        <v>633</v>
      </c>
      <c r="J134" t="str">
        <f>_xlfn.XLOOKUP($I134,$A:$A,B:B)</f>
        <v>comienza</v>
      </c>
      <c r="K134">
        <f>_xlfn.XLOOKUP($I134,$A:$A,C:C)</f>
        <v>30</v>
      </c>
      <c r="L134">
        <f>_xlfn.XLOOKUP($I134,$A:$A,D:D)</f>
        <v>9</v>
      </c>
      <c r="M134" t="str">
        <f>_xlfn.XLOOKUP($I134,$A:$A,E:E)</f>
        <v>L2</v>
      </c>
    </row>
    <row r="135" spans="1:13" customFormat="1" ht="20.25">
      <c r="A135" s="34">
        <v>134</v>
      </c>
      <c r="B135" s="33" t="s">
        <v>211</v>
      </c>
      <c r="C135" s="34">
        <v>100</v>
      </c>
      <c r="D135" s="33">
        <v>6</v>
      </c>
      <c r="E135" s="33" t="s">
        <v>1416</v>
      </c>
      <c r="I135">
        <v>20</v>
      </c>
      <c r="J135" t="str">
        <f>_xlfn.XLOOKUP($I135,$A:$A,B:B)</f>
        <v>como</v>
      </c>
      <c r="K135">
        <f>_xlfn.XLOOKUP($I135,$A:$A,C:C)</f>
        <v>1140</v>
      </c>
      <c r="L135">
        <f>_xlfn.XLOOKUP($I135,$A:$A,D:D)</f>
        <v>12</v>
      </c>
      <c r="M135" t="str">
        <f>_xlfn.XLOOKUP($I135,$A:$A,E:E)</f>
        <v>L1</v>
      </c>
    </row>
    <row r="136" spans="1:13" customFormat="1" ht="20.25">
      <c r="A136" s="34">
        <v>135</v>
      </c>
      <c r="B136" s="33" t="s">
        <v>212</v>
      </c>
      <c r="C136" s="34">
        <v>99</v>
      </c>
      <c r="D136" s="33">
        <v>13</v>
      </c>
      <c r="E136" s="33" t="s">
        <v>1413</v>
      </c>
      <c r="I136">
        <v>549</v>
      </c>
      <c r="J136" t="str">
        <f>_xlfn.XLOOKUP($I136,$A:$A,B:B)</f>
        <v>cómo</v>
      </c>
      <c r="K136">
        <f>_xlfn.XLOOKUP($I136,$A:$A,C:C)</f>
        <v>34</v>
      </c>
      <c r="L136">
        <f>_xlfn.XLOOKUP($I136,$A:$A,D:D)</f>
        <v>6</v>
      </c>
      <c r="M136" t="str">
        <f>_xlfn.XLOOKUP($I136,$A:$A,E:E)</f>
        <v>L1</v>
      </c>
    </row>
    <row r="137" spans="1:13" customFormat="1" ht="20.25">
      <c r="A137" s="34">
        <v>136</v>
      </c>
      <c r="B137" s="33" t="s">
        <v>213</v>
      </c>
      <c r="C137" s="34">
        <v>99</v>
      </c>
      <c r="D137" s="33">
        <v>4</v>
      </c>
      <c r="E137" s="33" t="s">
        <v>1416</v>
      </c>
      <c r="I137">
        <v>999</v>
      </c>
      <c r="J137" t="str">
        <f>_xlfn.XLOOKUP($I137,$A:$A,B:B)</f>
        <v>compañeros</v>
      </c>
      <c r="K137">
        <f>_xlfn.XLOOKUP($I137,$A:$A,C:C)</f>
        <v>20</v>
      </c>
      <c r="L137">
        <f>_xlfn.XLOOKUP($I137,$A:$A,D:D)</f>
        <v>5</v>
      </c>
      <c r="M137" t="str">
        <f>_xlfn.XLOOKUP($I137,$A:$A,E:E)</f>
        <v>L2</v>
      </c>
    </row>
    <row r="138" spans="1:13" customFormat="1" ht="20.25">
      <c r="A138" s="34">
        <v>137</v>
      </c>
      <c r="B138" s="33" t="s">
        <v>214</v>
      </c>
      <c r="C138" s="34">
        <v>98</v>
      </c>
      <c r="D138" s="33">
        <v>12</v>
      </c>
      <c r="E138" s="33" t="s">
        <v>1413</v>
      </c>
      <c r="I138">
        <v>363</v>
      </c>
      <c r="J138" t="str">
        <f>_xlfn.XLOOKUP($I138,$A:$A,B:B)</f>
        <v>compañía</v>
      </c>
      <c r="K138">
        <f>_xlfn.XLOOKUP($I138,$A:$A,C:C)</f>
        <v>0</v>
      </c>
      <c r="L138">
        <f>_xlfn.XLOOKUP($I138,$A:$A,D:D)</f>
        <v>5</v>
      </c>
      <c r="M138" t="str">
        <f>_xlfn.XLOOKUP($I138,$A:$A,E:E)</f>
        <v>L2</v>
      </c>
    </row>
    <row r="139" spans="1:13" customFormat="1" ht="20.25">
      <c r="A139" s="34">
        <v>138</v>
      </c>
      <c r="B139" s="33" t="s">
        <v>215</v>
      </c>
      <c r="C139" s="34">
        <v>97</v>
      </c>
      <c r="D139" s="33">
        <v>2</v>
      </c>
      <c r="E139" s="33" t="s">
        <v>1413</v>
      </c>
      <c r="I139">
        <v>915</v>
      </c>
      <c r="J139" t="str">
        <f>_xlfn.XLOOKUP($I139,$A:$A,B:B)</f>
        <v>completamente</v>
      </c>
      <c r="K139">
        <f>_xlfn.XLOOKUP($I139,$A:$A,C:C)</f>
        <v>22</v>
      </c>
      <c r="L139">
        <f>_xlfn.XLOOKUP($I139,$A:$A,D:D)</f>
        <v>6</v>
      </c>
      <c r="M139" t="str">
        <f>_xlfn.XLOOKUP($I139,$A:$A,E:E)</f>
        <v>L3</v>
      </c>
    </row>
    <row r="140" spans="1:13" customFormat="1" ht="20.25">
      <c r="A140" s="34"/>
      <c r="B140" s="33"/>
      <c r="C140" s="34"/>
      <c r="D140" s="33"/>
      <c r="E140" s="33"/>
      <c r="I140">
        <v>673</v>
      </c>
      <c r="J140" t="str">
        <f>_xlfn.XLOOKUP($I140,$A:$A,B:B)</f>
        <v>completo</v>
      </c>
      <c r="K140">
        <f>_xlfn.XLOOKUP($I140,$A:$A,C:C)</f>
        <v>29</v>
      </c>
      <c r="L140">
        <f>_xlfn.XLOOKUP($I140,$A:$A,D:D)</f>
        <v>7</v>
      </c>
      <c r="M140" t="str">
        <f>_xlfn.XLOOKUP($I140,$A:$A,E:E)</f>
        <v>L2</v>
      </c>
    </row>
    <row r="141" spans="1:13" customFormat="1" ht="20.25">
      <c r="A141" s="34">
        <v>140</v>
      </c>
      <c r="B141" s="33" t="s">
        <v>217</v>
      </c>
      <c r="C141" s="34">
        <v>96</v>
      </c>
      <c r="D141" s="33">
        <v>1</v>
      </c>
      <c r="E141" s="33" t="s">
        <v>1416</v>
      </c>
      <c r="I141">
        <v>916</v>
      </c>
      <c r="J141" t="str">
        <f>_xlfn.XLOOKUP($I141,$A:$A,B:B)</f>
        <v>comportamiento</v>
      </c>
      <c r="K141">
        <f>_xlfn.XLOOKUP($I141,$A:$A,C:C)</f>
        <v>22</v>
      </c>
      <c r="L141">
        <f>_xlfn.XLOOKUP($I141,$A:$A,D:D)</f>
        <v>12</v>
      </c>
      <c r="M141" t="str">
        <f>_xlfn.XLOOKUP($I141,$A:$A,E:E)</f>
        <v>L3</v>
      </c>
    </row>
    <row r="142" spans="1:13" customFormat="1" ht="20.25">
      <c r="A142" s="34">
        <v>141</v>
      </c>
      <c r="B142" s="33" t="s">
        <v>218</v>
      </c>
      <c r="C142" s="34">
        <v>95</v>
      </c>
      <c r="D142" s="33">
        <v>12</v>
      </c>
      <c r="E142" s="33" t="s">
        <v>1413</v>
      </c>
      <c r="I142">
        <v>581</v>
      </c>
      <c r="J142" t="str">
        <f>_xlfn.XLOOKUP($I142,$A:$A,B:B)</f>
        <v>comunidad</v>
      </c>
      <c r="K142">
        <f>_xlfn.XLOOKUP($I142,$A:$A,C:C)</f>
        <v>32</v>
      </c>
      <c r="L142">
        <f>_xlfn.XLOOKUP($I142,$A:$A,D:D)</f>
        <v>12</v>
      </c>
      <c r="M142" t="str">
        <f>_xlfn.XLOOKUP($I142,$A:$A,E:E)</f>
        <v>L2</v>
      </c>
    </row>
    <row r="143" spans="1:13" customFormat="1" ht="20.25">
      <c r="A143" s="34">
        <v>142</v>
      </c>
      <c r="B143" s="33" t="s">
        <v>219</v>
      </c>
      <c r="C143" s="34">
        <v>95</v>
      </c>
      <c r="D143" s="33">
        <v>13</v>
      </c>
      <c r="E143" s="33" t="s">
        <v>1416</v>
      </c>
      <c r="I143">
        <v>14</v>
      </c>
      <c r="J143" t="str">
        <f>_xlfn.XLOOKUP($I143,$A:$A,B:B)</f>
        <v>con</v>
      </c>
      <c r="K143">
        <f>_xlfn.XLOOKUP($I143,$A:$A,C:C)</f>
        <v>2014</v>
      </c>
      <c r="L143">
        <f>_xlfn.XLOOKUP($I143,$A:$A,D:D)</f>
        <v>12</v>
      </c>
      <c r="M143" t="str">
        <f>_xlfn.XLOOKUP($I143,$A:$A,E:E)</f>
        <v>L1</v>
      </c>
    </row>
    <row r="144" spans="1:13" customFormat="1" ht="20.25">
      <c r="A144" s="34">
        <v>143</v>
      </c>
      <c r="B144" s="33" t="s">
        <v>220</v>
      </c>
      <c r="C144" s="34">
        <v>95</v>
      </c>
      <c r="D144" s="33">
        <v>13</v>
      </c>
      <c r="E144" s="33" t="s">
        <v>1416</v>
      </c>
      <c r="I144">
        <v>375</v>
      </c>
      <c r="J144" t="str">
        <f>_xlfn.XLOOKUP($I144,$A:$A,B:B)</f>
        <v>condiciones</v>
      </c>
      <c r="K144">
        <f>_xlfn.XLOOKUP($I144,$A:$A,C:C)</f>
        <v>46</v>
      </c>
      <c r="L144">
        <f>_xlfn.XLOOKUP($I144,$A:$A,D:D)</f>
        <v>5</v>
      </c>
      <c r="M144" t="str">
        <f>_xlfn.XLOOKUP($I144,$A:$A,E:E)</f>
        <v>L2</v>
      </c>
    </row>
    <row r="145" spans="1:13" customFormat="1" ht="20.25">
      <c r="A145" s="34">
        <v>144</v>
      </c>
      <c r="B145" s="33" t="s">
        <v>221</v>
      </c>
      <c r="C145" s="34">
        <v>95</v>
      </c>
      <c r="D145" s="33">
        <v>9</v>
      </c>
      <c r="E145" s="33" t="s">
        <v>1416</v>
      </c>
      <c r="I145">
        <v>702</v>
      </c>
      <c r="J145" t="str">
        <f>_xlfn.XLOOKUP($I145,$A:$A,B:B)</f>
        <v>conflicto</v>
      </c>
      <c r="K145">
        <f>_xlfn.XLOOKUP($I145,$A:$A,C:C)</f>
        <v>28</v>
      </c>
      <c r="L145">
        <f>_xlfn.XLOOKUP($I145,$A:$A,D:D)</f>
        <v>1</v>
      </c>
      <c r="M145" t="str">
        <f>_xlfn.XLOOKUP($I145,$A:$A,E:E)</f>
        <v>L2</v>
      </c>
    </row>
    <row r="146" spans="1:13" customFormat="1" ht="20.25">
      <c r="A146" s="34">
        <v>145</v>
      </c>
      <c r="B146" s="33" t="s">
        <v>222</v>
      </c>
      <c r="C146" s="34">
        <v>94</v>
      </c>
      <c r="D146" s="33">
        <v>12</v>
      </c>
      <c r="E146" s="33" t="s">
        <v>1416</v>
      </c>
      <c r="I146">
        <v>523</v>
      </c>
      <c r="J146" t="str">
        <f>_xlfn.XLOOKUP($I146,$A:$A,B:B)</f>
        <v>conjunto</v>
      </c>
      <c r="K146">
        <f>_xlfn.XLOOKUP($I146,$A:$A,C:C)</f>
        <v>35</v>
      </c>
      <c r="L146">
        <f>_xlfn.XLOOKUP($I146,$A:$A,D:D)</f>
        <v>6</v>
      </c>
      <c r="M146" t="str">
        <f>_xlfn.XLOOKUP($I146,$A:$A,E:E)</f>
        <v>L2</v>
      </c>
    </row>
    <row r="147" spans="1:13" customFormat="1" ht="20.25">
      <c r="A147" s="34"/>
      <c r="B147" s="33"/>
      <c r="C147" s="34"/>
      <c r="D147" s="33"/>
      <c r="E147" s="33"/>
      <c r="I147">
        <v>703</v>
      </c>
      <c r="J147" t="str">
        <f>_xlfn.XLOOKUP($I147,$A:$A,B:B)</f>
        <v>conoce</v>
      </c>
      <c r="K147">
        <f>_xlfn.XLOOKUP($I147,$A:$A,C:C)</f>
        <v>28</v>
      </c>
      <c r="L147">
        <f>_xlfn.XLOOKUP($I147,$A:$A,D:D)</f>
        <v>15</v>
      </c>
      <c r="M147" t="str">
        <f>_xlfn.XLOOKUP($I147,$A:$A,E:E)</f>
        <v>L1</v>
      </c>
    </row>
    <row r="148" spans="1:13" customFormat="1" ht="20.25">
      <c r="A148" s="34">
        <v>147</v>
      </c>
      <c r="B148" s="33" t="s">
        <v>224</v>
      </c>
      <c r="C148" s="34">
        <v>94</v>
      </c>
      <c r="D148" s="33">
        <v>13</v>
      </c>
      <c r="E148" s="33" t="s">
        <v>1413</v>
      </c>
      <c r="I148">
        <v>458</v>
      </c>
      <c r="J148" t="str">
        <f>_xlfn.XLOOKUP($I148,$A:$A,B:B)</f>
        <v>conocida</v>
      </c>
      <c r="K148">
        <f>_xlfn.XLOOKUP($I148,$A:$A,C:C)</f>
        <v>39</v>
      </c>
      <c r="L148">
        <f>_xlfn.XLOOKUP($I148,$A:$A,D:D)</f>
        <v>3</v>
      </c>
      <c r="M148" t="str">
        <f>_xlfn.XLOOKUP($I148,$A:$A,E:E)</f>
        <v>L2</v>
      </c>
    </row>
    <row r="149" spans="1:13" customFormat="1" ht="20.25">
      <c r="A149" s="34">
        <v>148</v>
      </c>
      <c r="B149" s="33" t="s">
        <v>225</v>
      </c>
      <c r="C149" s="34">
        <v>94</v>
      </c>
      <c r="D149" s="33">
        <v>1</v>
      </c>
      <c r="E149" s="33" t="s">
        <v>1416</v>
      </c>
      <c r="I149">
        <v>239</v>
      </c>
      <c r="J149" t="str">
        <f>_xlfn.XLOOKUP($I149,$A:$A,B:B)</f>
        <v>conocido</v>
      </c>
      <c r="K149">
        <f>_xlfn.XLOOKUP($I149,$A:$A,C:C)</f>
        <v>0</v>
      </c>
      <c r="L149">
        <f>_xlfn.XLOOKUP($I149,$A:$A,D:D)</f>
        <v>3</v>
      </c>
      <c r="M149" t="str">
        <f>_xlfn.XLOOKUP($I149,$A:$A,E:E)</f>
        <v>L2</v>
      </c>
    </row>
    <row r="150" spans="1:13" customFormat="1" ht="20.25">
      <c r="A150" s="34">
        <v>149</v>
      </c>
      <c r="B150" s="33" t="s">
        <v>226</v>
      </c>
      <c r="C150" s="34">
        <v>92</v>
      </c>
      <c r="D150" s="33">
        <v>12</v>
      </c>
      <c r="E150" s="33" t="s">
        <v>1416</v>
      </c>
      <c r="I150">
        <v>768</v>
      </c>
      <c r="J150" t="str">
        <f>_xlfn.XLOOKUP($I150,$A:$A,B:B)</f>
        <v>conocimiento</v>
      </c>
      <c r="K150">
        <f>_xlfn.XLOOKUP($I150,$A:$A,C:C)</f>
        <v>26</v>
      </c>
      <c r="L150">
        <f>_xlfn.XLOOKUP($I150,$A:$A,D:D)</f>
        <v>7</v>
      </c>
      <c r="M150" t="str">
        <f>_xlfn.XLOOKUP($I150,$A:$A,E:E)</f>
        <v>L3</v>
      </c>
    </row>
    <row r="151" spans="1:13" customFormat="1" ht="20.25">
      <c r="A151" s="34">
        <v>150</v>
      </c>
      <c r="B151" s="33" t="s">
        <v>227</v>
      </c>
      <c r="C151" s="34">
        <v>92</v>
      </c>
      <c r="D151" s="33">
        <v>10</v>
      </c>
      <c r="E151" s="33" t="s">
        <v>1413</v>
      </c>
      <c r="I151">
        <v>917</v>
      </c>
      <c r="J151" t="str">
        <f>_xlfn.XLOOKUP($I151,$A:$A,B:B)</f>
        <v>consecuencia</v>
      </c>
      <c r="K151">
        <f>_xlfn.XLOOKUP($I151,$A:$A,C:C)</f>
        <v>22</v>
      </c>
      <c r="L151">
        <f>_xlfn.XLOOKUP($I151,$A:$A,D:D)</f>
        <v>8</v>
      </c>
      <c r="M151" t="str">
        <f>_xlfn.XLOOKUP($I151,$A:$A,E:E)</f>
        <v>L3</v>
      </c>
    </row>
    <row r="152" spans="1:13" customFormat="1" ht="20.25">
      <c r="A152" s="34">
        <v>151</v>
      </c>
      <c r="B152" s="33" t="s">
        <v>228</v>
      </c>
      <c r="C152" s="34">
        <v>92</v>
      </c>
      <c r="D152" s="33">
        <v>6</v>
      </c>
      <c r="E152" s="33" t="s">
        <v>1416</v>
      </c>
      <c r="I152">
        <v>1000</v>
      </c>
      <c r="J152" t="str">
        <f>_xlfn.XLOOKUP($I152,$A:$A,B:B)</f>
        <v>conseguir</v>
      </c>
      <c r="K152">
        <f>_xlfn.XLOOKUP($I152,$A:$A,C:C)</f>
        <v>20</v>
      </c>
      <c r="L152">
        <f>_xlfn.XLOOKUP($I152,$A:$A,D:D)</f>
        <v>5</v>
      </c>
      <c r="M152" t="str">
        <f>_xlfn.XLOOKUP($I152,$A:$A,E:E)</f>
        <v>L2</v>
      </c>
    </row>
    <row r="153" spans="1:13" customFormat="1" ht="20.25">
      <c r="A153" s="34">
        <v>152</v>
      </c>
      <c r="B153" s="33" t="s">
        <v>229</v>
      </c>
      <c r="C153" s="34">
        <v>91</v>
      </c>
      <c r="D153" s="33">
        <v>14</v>
      </c>
      <c r="E153" s="33" t="s">
        <v>1416</v>
      </c>
      <c r="I153">
        <v>734</v>
      </c>
      <c r="J153" t="str">
        <f>_xlfn.XLOOKUP($I153,$A:$A,B:B)</f>
        <v>considerado</v>
      </c>
      <c r="K153">
        <f>_xlfn.XLOOKUP($I153,$A:$A,C:C)</f>
        <v>27</v>
      </c>
      <c r="L153">
        <f>_xlfn.XLOOKUP($I153,$A:$A,D:D)</f>
        <v>15</v>
      </c>
      <c r="M153" t="str">
        <f>_xlfn.XLOOKUP($I153,$A:$A,E:E)</f>
        <v>L2</v>
      </c>
    </row>
    <row r="154" spans="1:13" customFormat="1" ht="20.25">
      <c r="A154" s="34">
        <v>153</v>
      </c>
      <c r="B154" s="33" t="s">
        <v>230</v>
      </c>
      <c r="C154" s="34">
        <v>91</v>
      </c>
      <c r="D154" s="33">
        <v>9</v>
      </c>
      <c r="E154" s="33" t="s">
        <v>1413</v>
      </c>
      <c r="I154">
        <v>171</v>
      </c>
      <c r="J154" t="str">
        <f>_xlfn.XLOOKUP($I154,$A:$A,B:B)</f>
        <v>construcción</v>
      </c>
      <c r="K154">
        <f>_xlfn.XLOOKUP($I154,$A:$A,C:C)</f>
        <v>82</v>
      </c>
      <c r="L154">
        <f>_xlfn.XLOOKUP($I154,$A:$A,D:D)</f>
        <v>5</v>
      </c>
      <c r="M154" t="str">
        <f>_xlfn.XLOOKUP($I154,$A:$A,E:E)</f>
        <v>L2</v>
      </c>
    </row>
    <row r="155" spans="1:13" customFormat="1" ht="20.25">
      <c r="A155" s="34">
        <v>154</v>
      </c>
      <c r="B155" s="33" t="s">
        <v>231</v>
      </c>
      <c r="C155" s="34">
        <v>90</v>
      </c>
      <c r="D155" s="33">
        <v>12</v>
      </c>
      <c r="E155" s="33" t="s">
        <v>1413</v>
      </c>
      <c r="I155">
        <v>809</v>
      </c>
      <c r="J155" t="str">
        <f>_xlfn.XLOOKUP($I155,$A:$A,B:B)</f>
        <v>contiene</v>
      </c>
      <c r="K155">
        <f>_xlfn.XLOOKUP($I155,$A:$A,C:C)</f>
        <v>25</v>
      </c>
      <c r="L155">
        <f>_xlfn.XLOOKUP($I155,$A:$A,D:D)</f>
        <v>6</v>
      </c>
      <c r="M155" t="str">
        <f>_xlfn.XLOOKUP($I155,$A:$A,E:E)</f>
        <v>L2</v>
      </c>
    </row>
    <row r="156" spans="1:13" customFormat="1" ht="20.25">
      <c r="A156" s="34">
        <v>155</v>
      </c>
      <c r="B156" s="33" t="s">
        <v>232</v>
      </c>
      <c r="C156" s="34">
        <v>89</v>
      </c>
      <c r="D156" s="33">
        <v>4</v>
      </c>
      <c r="E156" s="33" t="s">
        <v>1416</v>
      </c>
      <c r="I156">
        <v>102</v>
      </c>
      <c r="J156" t="str">
        <f>_xlfn.XLOOKUP($I156,$A:$A,B:B)</f>
        <v>contra</v>
      </c>
      <c r="K156">
        <f>_xlfn.XLOOKUP($I156,$A:$A,C:C)</f>
        <v>124</v>
      </c>
      <c r="L156">
        <f>_xlfn.XLOOKUP($I156,$A:$A,D:D)</f>
        <v>8</v>
      </c>
      <c r="M156" t="str">
        <f>_xlfn.XLOOKUP($I156,$A:$A,E:E)</f>
        <v>L1</v>
      </c>
    </row>
    <row r="157" spans="1:13" customFormat="1" ht="20.25">
      <c r="A157" s="34">
        <v>156</v>
      </c>
      <c r="B157" s="33" t="s">
        <v>233</v>
      </c>
      <c r="C157" s="34">
        <v>89</v>
      </c>
      <c r="D157" s="33">
        <v>13</v>
      </c>
      <c r="E157" s="33" t="s">
        <v>1413</v>
      </c>
      <c r="I157">
        <v>862</v>
      </c>
      <c r="J157" t="str">
        <f>_xlfn.XLOOKUP($I157,$A:$A,B:B)</f>
        <v>contrato</v>
      </c>
      <c r="K157">
        <f>_xlfn.XLOOKUP($I157,$A:$A,C:C)</f>
        <v>23</v>
      </c>
      <c r="L157">
        <f>_xlfn.XLOOKUP($I157,$A:$A,D:D)</f>
        <v>5</v>
      </c>
      <c r="M157" t="str">
        <f>_xlfn.XLOOKUP($I157,$A:$A,E:E)</f>
        <v>L3</v>
      </c>
    </row>
    <row r="158" spans="1:13" customFormat="1" ht="20.25">
      <c r="A158" s="34">
        <v>157</v>
      </c>
      <c r="B158" s="33" t="s">
        <v>234</v>
      </c>
      <c r="C158" s="34">
        <v>89</v>
      </c>
      <c r="D158" s="33">
        <v>2</v>
      </c>
      <c r="E158" s="33" t="s">
        <v>1413</v>
      </c>
      <c r="I158">
        <v>426</v>
      </c>
      <c r="J158" t="str">
        <f>_xlfn.XLOOKUP($I158,$A:$A,B:B)</f>
        <v>control</v>
      </c>
      <c r="K158">
        <f>_xlfn.XLOOKUP($I158,$A:$A,C:C)</f>
        <v>41</v>
      </c>
      <c r="L158">
        <f>_xlfn.XLOOKUP($I158,$A:$A,D:D)</f>
        <v>6</v>
      </c>
      <c r="M158" t="str">
        <f>_xlfn.XLOOKUP($I158,$A:$A,E:E)</f>
        <v>L2</v>
      </c>
    </row>
    <row r="159" spans="1:13" customFormat="1" ht="20.25">
      <c r="A159" s="34">
        <v>158</v>
      </c>
      <c r="B159" s="33" t="s">
        <v>235</v>
      </c>
      <c r="C159" s="34">
        <v>88</v>
      </c>
      <c r="D159" s="33">
        <v>13</v>
      </c>
      <c r="E159" s="33" t="s">
        <v>1413</v>
      </c>
      <c r="I159">
        <v>810</v>
      </c>
      <c r="J159" t="str">
        <f>_xlfn.XLOOKUP($I159,$A:$A,B:B)</f>
        <v>convertirse</v>
      </c>
      <c r="K159">
        <f>_xlfn.XLOOKUP($I159,$A:$A,C:C)</f>
        <v>25</v>
      </c>
      <c r="L159">
        <f>_xlfn.XLOOKUP($I159,$A:$A,D:D)</f>
        <v>15</v>
      </c>
      <c r="M159" t="str">
        <f>_xlfn.XLOOKUP($I159,$A:$A,E:E)</f>
        <v>L2</v>
      </c>
    </row>
    <row r="160" spans="1:13" customFormat="1" ht="20.25">
      <c r="A160" s="34">
        <v>159</v>
      </c>
      <c r="B160" s="33" t="s">
        <v>236</v>
      </c>
      <c r="C160" s="34">
        <v>88</v>
      </c>
      <c r="D160" s="33">
        <v>12</v>
      </c>
      <c r="E160" s="33" t="s">
        <v>1413</v>
      </c>
      <c r="I160">
        <v>863</v>
      </c>
      <c r="J160" t="str">
        <f>_xlfn.XLOOKUP($I160,$A:$A,B:B)</f>
        <v>convierte</v>
      </c>
      <c r="K160">
        <f>_xlfn.XLOOKUP($I160,$A:$A,C:C)</f>
        <v>23</v>
      </c>
      <c r="L160">
        <f>_xlfn.XLOOKUP($I160,$A:$A,D:D)</f>
        <v>15</v>
      </c>
      <c r="M160" t="str">
        <f>_xlfn.XLOOKUP($I160,$A:$A,E:E)</f>
        <v>L2</v>
      </c>
    </row>
    <row r="161" spans="1:13" customFormat="1" ht="20.25">
      <c r="A161" s="34">
        <v>160</v>
      </c>
      <c r="B161" s="33" t="s">
        <v>237</v>
      </c>
      <c r="C161" s="34">
        <v>87</v>
      </c>
      <c r="D161" s="33">
        <v>9</v>
      </c>
      <c r="E161" s="33" t="s">
        <v>1413</v>
      </c>
      <c r="I161">
        <v>244</v>
      </c>
      <c r="J161" t="str">
        <f>_xlfn.XLOOKUP($I161,$A:$A,B:B)</f>
        <v>convirtió</v>
      </c>
      <c r="K161">
        <f>_xlfn.XLOOKUP($I161,$A:$A,C:C)</f>
        <v>65</v>
      </c>
      <c r="L161">
        <f>_xlfn.XLOOKUP($I161,$A:$A,D:D)</f>
        <v>9</v>
      </c>
      <c r="M161" t="str">
        <f>_xlfn.XLOOKUP($I161,$A:$A,E:E)</f>
        <v>L2</v>
      </c>
    </row>
    <row r="162" spans="1:13" customFormat="1" ht="20.25">
      <c r="A162" s="34">
        <v>161</v>
      </c>
      <c r="B162" s="33" t="s">
        <v>238</v>
      </c>
      <c r="C162" s="34">
        <v>87</v>
      </c>
      <c r="D162" s="33">
        <v>3</v>
      </c>
      <c r="E162" s="33" t="s">
        <v>1416</v>
      </c>
      <c r="I162">
        <v>811</v>
      </c>
      <c r="J162" t="str">
        <f>_xlfn.XLOOKUP($I162,$A:$A,B:B)</f>
        <v>corte</v>
      </c>
      <c r="K162">
        <f>_xlfn.XLOOKUP($I162,$A:$A,C:C)</f>
        <v>25</v>
      </c>
      <c r="L162">
        <f>_xlfn.XLOOKUP($I162,$A:$A,D:D)</f>
        <v>8</v>
      </c>
      <c r="M162" t="str">
        <f>_xlfn.XLOOKUP($I162,$A:$A,E:E)</f>
        <v>L2</v>
      </c>
    </row>
    <row r="163" spans="1:13" customFormat="1" ht="20.25">
      <c r="A163" s="34"/>
      <c r="B163" s="33"/>
      <c r="C163" s="34"/>
      <c r="D163" s="33"/>
      <c r="E163" s="33"/>
      <c r="I163">
        <v>864</v>
      </c>
      <c r="J163" t="str">
        <f>_xlfn.XLOOKUP($I163,$A:$A,B:B)</f>
        <v>costa</v>
      </c>
      <c r="K163">
        <f>_xlfn.XLOOKUP($I163,$A:$A,C:C)</f>
        <v>23</v>
      </c>
      <c r="L163">
        <f>_xlfn.XLOOKUP($I163,$A:$A,D:D)</f>
        <v>10</v>
      </c>
      <c r="M163" t="str">
        <f>_xlfn.XLOOKUP($I163,$A:$A,E:E)</f>
        <v>L1</v>
      </c>
    </row>
    <row r="164" spans="1:13" customFormat="1" ht="20.25">
      <c r="A164" s="34">
        <v>163</v>
      </c>
      <c r="B164" s="33" t="s">
        <v>240</v>
      </c>
      <c r="C164" s="34">
        <v>86</v>
      </c>
      <c r="D164" s="33">
        <v>13</v>
      </c>
      <c r="E164" s="33" t="s">
        <v>1413</v>
      </c>
      <c r="I164">
        <v>812</v>
      </c>
      <c r="J164" t="str">
        <f>_xlfn.XLOOKUP($I164,$A:$A,B:B)</f>
        <v>creación</v>
      </c>
      <c r="K164">
        <f>_xlfn.XLOOKUP($I164,$A:$A,C:C)</f>
        <v>0</v>
      </c>
      <c r="L164">
        <f>_xlfn.XLOOKUP($I164,$A:$A,D:D)</f>
        <v>3</v>
      </c>
      <c r="M164" t="str">
        <f>_xlfn.XLOOKUP($I164,$A:$A,E:E)</f>
        <v>L3</v>
      </c>
    </row>
    <row r="165" spans="1:13" customFormat="1" ht="20.25">
      <c r="A165" s="34">
        <v>164</v>
      </c>
      <c r="B165" s="33" t="s">
        <v>241</v>
      </c>
      <c r="C165" s="34">
        <v>86</v>
      </c>
      <c r="D165" s="33">
        <v>12</v>
      </c>
      <c r="E165" s="33" t="s">
        <v>1413</v>
      </c>
      <c r="I165">
        <v>524</v>
      </c>
      <c r="J165" t="str">
        <f>_xlfn.XLOOKUP($I165,$A:$A,B:B)</f>
        <v>crear</v>
      </c>
      <c r="K165">
        <f>_xlfn.XLOOKUP($I165,$A:$A,C:C)</f>
        <v>35</v>
      </c>
      <c r="L165">
        <f>_xlfn.XLOOKUP($I165,$A:$A,D:D)</f>
        <v>3</v>
      </c>
      <c r="M165" t="str">
        <f>_xlfn.XLOOKUP($I165,$A:$A,E:E)</f>
        <v>L2</v>
      </c>
    </row>
    <row r="166" spans="1:13" customFormat="1" ht="20.25">
      <c r="A166" s="34">
        <v>165</v>
      </c>
      <c r="B166" s="33" t="s">
        <v>242</v>
      </c>
      <c r="C166" s="34">
        <v>86</v>
      </c>
      <c r="D166" s="33">
        <v>3</v>
      </c>
      <c r="E166" s="33" t="s">
        <v>1416</v>
      </c>
      <c r="I166">
        <v>674</v>
      </c>
      <c r="J166" t="str">
        <f>_xlfn.XLOOKUP($I166,$A:$A,B:B)</f>
        <v>crecimiento</v>
      </c>
      <c r="K166">
        <f>_xlfn.XLOOKUP($I166,$A:$A,C:C)</f>
        <v>29</v>
      </c>
      <c r="L166">
        <f>_xlfn.XLOOKUP($I166,$A:$A,D:D)</f>
        <v>2</v>
      </c>
      <c r="M166" t="str">
        <f>_xlfn.XLOOKUP($I166,$A:$A,E:E)</f>
        <v>L3</v>
      </c>
    </row>
    <row r="167" spans="1:13" customFormat="1" ht="20.25">
      <c r="A167" s="34">
        <v>166</v>
      </c>
      <c r="B167" s="33" t="s">
        <v>243</v>
      </c>
      <c r="C167" s="34">
        <v>85</v>
      </c>
      <c r="D167" s="33">
        <v>12</v>
      </c>
      <c r="E167" s="33" t="s">
        <v>1413</v>
      </c>
      <c r="I167">
        <v>813</v>
      </c>
      <c r="J167" t="str">
        <f>_xlfn.XLOOKUP($I167,$A:$A,B:B)</f>
        <v>cree</v>
      </c>
      <c r="K167">
        <f>_xlfn.XLOOKUP($I167,$A:$A,C:C)</f>
        <v>0</v>
      </c>
      <c r="L167">
        <f>_xlfn.XLOOKUP($I167,$A:$A,D:D)</f>
        <v>9</v>
      </c>
      <c r="M167" t="str">
        <f>_xlfn.XLOOKUP($I167,$A:$A,E:E)</f>
        <v>L2</v>
      </c>
    </row>
    <row r="168" spans="1:13" customFormat="1" ht="20.25">
      <c r="A168" s="34">
        <v>167</v>
      </c>
      <c r="B168" s="33" t="s">
        <v>244</v>
      </c>
      <c r="C168" s="34">
        <v>85</v>
      </c>
      <c r="D168" s="33">
        <v>13</v>
      </c>
      <c r="E168" s="33" t="s">
        <v>1413</v>
      </c>
      <c r="I168">
        <v>865</v>
      </c>
      <c r="J168" t="str">
        <f>_xlfn.XLOOKUP($I168,$A:$A,B:B)</f>
        <v>creó</v>
      </c>
      <c r="K168">
        <f>_xlfn.XLOOKUP($I168,$A:$A,C:C)</f>
        <v>23</v>
      </c>
      <c r="L168">
        <f>_xlfn.XLOOKUP($I168,$A:$A,D:D)</f>
        <v>3</v>
      </c>
      <c r="M168" t="str">
        <f>_xlfn.XLOOKUP($I168,$A:$A,E:E)</f>
        <v>L2</v>
      </c>
    </row>
    <row r="169" spans="1:13" customFormat="1" ht="20.25">
      <c r="A169" s="34">
        <v>168</v>
      </c>
      <c r="B169" s="33" t="s">
        <v>245</v>
      </c>
      <c r="C169" s="34">
        <v>84</v>
      </c>
      <c r="D169" s="33">
        <v>12</v>
      </c>
      <c r="E169" s="33" t="s">
        <v>1416</v>
      </c>
      <c r="I169">
        <v>110</v>
      </c>
      <c r="J169" t="str">
        <f>_xlfn.XLOOKUP($I169,$A:$A,B:B)</f>
        <v>cual</v>
      </c>
      <c r="K169">
        <f>_xlfn.XLOOKUP($I169,$A:$A,C:C)</f>
        <v>117</v>
      </c>
      <c r="L169">
        <f>_xlfn.XLOOKUP($I169,$A:$A,D:D)</f>
        <v>7</v>
      </c>
      <c r="M169" t="str">
        <f>_xlfn.XLOOKUP($I169,$A:$A,E:E)</f>
        <v>L2</v>
      </c>
    </row>
    <row r="170" spans="1:13" customFormat="1" ht="20.25">
      <c r="A170" s="34">
        <v>169</v>
      </c>
      <c r="B170" s="33" t="s">
        <v>246</v>
      </c>
      <c r="C170" s="34">
        <v>84</v>
      </c>
      <c r="D170" s="33">
        <v>9</v>
      </c>
      <c r="E170" s="33" t="s">
        <v>1413</v>
      </c>
      <c r="I170">
        <v>324</v>
      </c>
      <c r="J170" t="str">
        <f>_xlfn.XLOOKUP($I170,$A:$A,B:B)</f>
        <v>cuales</v>
      </c>
      <c r="K170">
        <f>_xlfn.XLOOKUP($I170,$A:$A,C:C)</f>
        <v>51</v>
      </c>
      <c r="L170">
        <f>_xlfn.XLOOKUP($I170,$A:$A,D:D)</f>
        <v>12</v>
      </c>
      <c r="M170" t="str">
        <f>_xlfn.XLOOKUP($I170,$A:$A,E:E)</f>
        <v>L2</v>
      </c>
    </row>
    <row r="171" spans="1:13" customFormat="1" ht="20.25">
      <c r="A171" s="34">
        <v>170</v>
      </c>
      <c r="B171" s="33" t="s">
        <v>247</v>
      </c>
      <c r="C171" s="34">
        <v>83</v>
      </c>
      <c r="D171" s="33">
        <v>12</v>
      </c>
      <c r="E171" s="33" t="s">
        <v>1413</v>
      </c>
      <c r="I171">
        <v>355</v>
      </c>
      <c r="J171" t="str">
        <f>_xlfn.XLOOKUP($I171,$A:$A,B:B)</f>
        <v>cualquier</v>
      </c>
      <c r="K171">
        <f>_xlfn.XLOOKUP($I171,$A:$A,C:C)</f>
        <v>48</v>
      </c>
      <c r="L171">
        <f>_xlfn.XLOOKUP($I171,$A:$A,D:D)</f>
        <v>1</v>
      </c>
      <c r="M171" t="str">
        <f>_xlfn.XLOOKUP($I171,$A:$A,E:E)</f>
        <v>L2</v>
      </c>
    </row>
    <row r="172" spans="1:13" customFormat="1" ht="20.25">
      <c r="A172" s="34">
        <v>171</v>
      </c>
      <c r="B172" s="33" t="s">
        <v>248</v>
      </c>
      <c r="C172" s="34">
        <v>82</v>
      </c>
      <c r="D172" s="33">
        <v>5</v>
      </c>
      <c r="E172" s="33" t="s">
        <v>1416</v>
      </c>
      <c r="I172">
        <v>59</v>
      </c>
      <c r="J172" t="str">
        <f>_xlfn.XLOOKUP($I172,$A:$A,B:B)</f>
        <v>cuando</v>
      </c>
      <c r="K172">
        <f>_xlfn.XLOOKUP($I172,$A:$A,C:C)</f>
        <v>205</v>
      </c>
      <c r="L172">
        <f>_xlfn.XLOOKUP($I172,$A:$A,D:D)</f>
        <v>9</v>
      </c>
      <c r="M172" t="str">
        <f>_xlfn.XLOOKUP($I172,$A:$A,E:E)</f>
        <v>L1</v>
      </c>
    </row>
    <row r="173" spans="1:13" customFormat="1" ht="20.25">
      <c r="A173" s="34">
        <v>172</v>
      </c>
      <c r="B173" s="33" t="s">
        <v>249</v>
      </c>
      <c r="C173" s="34">
        <v>82</v>
      </c>
      <c r="D173" s="33">
        <v>12</v>
      </c>
      <c r="E173" s="33" t="s">
        <v>1413</v>
      </c>
      <c r="I173">
        <v>675</v>
      </c>
      <c r="J173" t="str">
        <f>_xlfn.XLOOKUP($I173,$A:$A,B:B)</f>
        <v>cuarto</v>
      </c>
      <c r="K173">
        <f>_xlfn.XLOOKUP($I173,$A:$A,C:C)</f>
        <v>29</v>
      </c>
      <c r="L173">
        <f>_xlfn.XLOOKUP($I173,$A:$A,D:D)</f>
        <v>13</v>
      </c>
      <c r="M173" t="str">
        <f>_xlfn.XLOOKUP($I173,$A:$A,E:E)</f>
        <v>L1</v>
      </c>
    </row>
    <row r="174" spans="1:13" customFormat="1" ht="20.25">
      <c r="A174" s="34">
        <v>173</v>
      </c>
      <c r="B174" s="33" t="s">
        <v>250</v>
      </c>
      <c r="C174" s="34">
        <v>82</v>
      </c>
      <c r="D174" s="33">
        <v>2</v>
      </c>
      <c r="E174" s="33" t="s">
        <v>1416</v>
      </c>
      <c r="I174">
        <v>138</v>
      </c>
      <c r="J174" t="str">
        <f>_xlfn.XLOOKUP($I174,$A:$A,B:B)</f>
        <v>cuatro</v>
      </c>
      <c r="K174">
        <f>_xlfn.XLOOKUP($I174,$A:$A,C:C)</f>
        <v>97</v>
      </c>
      <c r="L174">
        <f>_xlfn.XLOOKUP($I174,$A:$A,D:D)</f>
        <v>2</v>
      </c>
      <c r="M174" t="str">
        <f>_xlfn.XLOOKUP($I174,$A:$A,E:E)</f>
        <v>L1</v>
      </c>
    </row>
    <row r="175" spans="1:13" customFormat="1" ht="20.25">
      <c r="A175" s="34">
        <v>174</v>
      </c>
      <c r="B175" s="33" t="s">
        <v>251</v>
      </c>
      <c r="C175" s="34">
        <v>82</v>
      </c>
      <c r="D175" s="33">
        <v>12</v>
      </c>
      <c r="E175" s="33" t="s">
        <v>1413</v>
      </c>
      <c r="I175">
        <v>127</v>
      </c>
      <c r="J175" t="str">
        <f>_xlfn.XLOOKUP($I175,$A:$A,B:B)</f>
        <v>cuenta</v>
      </c>
      <c r="K175">
        <f>_xlfn.XLOOKUP($I175,$A:$A,C:C)</f>
        <v>103</v>
      </c>
      <c r="L175">
        <f>_xlfn.XLOOKUP($I175,$A:$A,D:D)</f>
        <v>2</v>
      </c>
      <c r="M175" t="str">
        <f>_xlfn.XLOOKUP($I175,$A:$A,E:E)</f>
        <v>L2</v>
      </c>
    </row>
    <row r="176" spans="1:13" customFormat="1" ht="20.25">
      <c r="A176" s="34">
        <v>175</v>
      </c>
      <c r="B176" s="33" t="s">
        <v>252</v>
      </c>
      <c r="C176" s="34">
        <v>82</v>
      </c>
      <c r="D176" s="33">
        <v>9</v>
      </c>
      <c r="E176" s="33" t="s">
        <v>1413</v>
      </c>
      <c r="I176">
        <v>219</v>
      </c>
      <c r="J176" t="str">
        <f>_xlfn.XLOOKUP($I176,$A:$A,B:B)</f>
        <v>cuerpo</v>
      </c>
      <c r="K176">
        <f>_xlfn.XLOOKUP($I176,$A:$A,C:C)</f>
        <v>71</v>
      </c>
      <c r="L176">
        <f>_xlfn.XLOOKUP($I176,$A:$A,D:D)</f>
        <v>11</v>
      </c>
      <c r="M176" t="str">
        <f>_xlfn.XLOOKUP($I176,$A:$A,E:E)</f>
        <v>L1</v>
      </c>
    </row>
    <row r="177" spans="1:13" customFormat="1" ht="20.25">
      <c r="A177" s="34"/>
      <c r="B177" s="33"/>
      <c r="C177" s="34"/>
      <c r="D177" s="33"/>
      <c r="E177" s="33"/>
      <c r="I177">
        <v>918</v>
      </c>
      <c r="J177" t="str">
        <f>_xlfn.XLOOKUP($I177,$A:$A,B:B)</f>
        <v>cultura</v>
      </c>
      <c r="K177">
        <f>_xlfn.XLOOKUP($I177,$A:$A,C:C)</f>
        <v>22</v>
      </c>
      <c r="L177">
        <f>_xlfn.XLOOKUP($I177,$A:$A,D:D)</f>
        <v>12</v>
      </c>
      <c r="M177" t="str">
        <f>_xlfn.XLOOKUP($I177,$A:$A,E:E)</f>
        <v>L2</v>
      </c>
    </row>
    <row r="178" spans="1:13" customFormat="1" ht="20.25">
      <c r="A178" s="34">
        <v>177</v>
      </c>
      <c r="B178" s="33" t="s">
        <v>254</v>
      </c>
      <c r="C178" s="34">
        <v>81</v>
      </c>
      <c r="D178" s="33">
        <v>13</v>
      </c>
      <c r="E178" s="33" t="s">
        <v>1413</v>
      </c>
      <c r="I178">
        <v>956</v>
      </c>
      <c r="J178" t="str">
        <f>_xlfn.XLOOKUP($I178,$A:$A,B:B)</f>
        <v>curso</v>
      </c>
      <c r="K178">
        <f>_xlfn.XLOOKUP($I178,$A:$A,C:C)</f>
        <v>21</v>
      </c>
      <c r="L178">
        <f>_xlfn.XLOOKUP($I178,$A:$A,D:D)</f>
        <v>7</v>
      </c>
      <c r="M178" t="str">
        <f>_xlfn.XLOOKUP($I178,$A:$A,E:E)</f>
        <v>L2</v>
      </c>
    </row>
    <row r="179" spans="1:13" customFormat="1" ht="20.25">
      <c r="A179" s="34">
        <v>178</v>
      </c>
      <c r="B179" s="33" t="s">
        <v>255</v>
      </c>
      <c r="C179" s="34">
        <v>81</v>
      </c>
      <c r="D179" s="33">
        <v>11</v>
      </c>
      <c r="E179" s="33" t="s">
        <v>1416</v>
      </c>
      <c r="I179">
        <v>866</v>
      </c>
      <c r="J179" t="str">
        <f>_xlfn.XLOOKUP($I179,$A:$A,B:B)</f>
        <v>cuyo</v>
      </c>
      <c r="K179">
        <f>_xlfn.XLOOKUP($I179,$A:$A,C:C)</f>
        <v>23</v>
      </c>
      <c r="L179">
        <f>_xlfn.XLOOKUP($I179,$A:$A,D:D)</f>
        <v>8</v>
      </c>
      <c r="M179" t="str">
        <f>_xlfn.XLOOKUP($I179,$A:$A,E:E)</f>
        <v>L3</v>
      </c>
    </row>
    <row r="180" spans="1:13" customFormat="1" ht="20.25">
      <c r="A180" s="34">
        <v>179</v>
      </c>
      <c r="B180" s="33" t="s">
        <v>256</v>
      </c>
      <c r="C180" s="34">
        <v>81</v>
      </c>
      <c r="D180" s="33">
        <v>10</v>
      </c>
      <c r="E180" s="33" t="s">
        <v>1416</v>
      </c>
      <c r="I180">
        <v>270</v>
      </c>
      <c r="J180" t="str">
        <f>_xlfn.XLOOKUP($I180,$A:$A,B:B)</f>
        <v>da</v>
      </c>
      <c r="K180">
        <f>_xlfn.XLOOKUP($I180,$A:$A,C:C)</f>
        <v>60</v>
      </c>
      <c r="L180">
        <f>_xlfn.XLOOKUP($I180,$A:$A,D:D)</f>
        <v>9</v>
      </c>
      <c r="M180" t="str">
        <f>_xlfn.XLOOKUP($I180,$A:$A,E:E)</f>
        <v>L1</v>
      </c>
    </row>
    <row r="181" spans="1:13" customFormat="1" ht="20.25">
      <c r="A181" s="34"/>
      <c r="B181" s="33"/>
      <c r="C181" s="34"/>
      <c r="D181" s="33"/>
      <c r="E181" s="33"/>
      <c r="I181">
        <v>634</v>
      </c>
      <c r="J181" t="str">
        <f>_xlfn.XLOOKUP($I181,$A:$A,B:B)</f>
        <v>dado</v>
      </c>
      <c r="K181">
        <f>_xlfn.XLOOKUP($I181,$A:$A,C:C)</f>
        <v>30</v>
      </c>
      <c r="L181">
        <f>_xlfn.XLOOKUP($I181,$A:$A,D:D)</f>
        <v>2</v>
      </c>
      <c r="M181" t="str">
        <f>_xlfn.XLOOKUP($I181,$A:$A,E:E)</f>
        <v>L2</v>
      </c>
    </row>
    <row r="182" spans="1:13" customFormat="1" ht="20.25">
      <c r="A182" s="34">
        <v>181</v>
      </c>
      <c r="B182" s="33" t="s">
        <v>258</v>
      </c>
      <c r="C182" s="34">
        <v>80</v>
      </c>
      <c r="D182" s="33">
        <v>9</v>
      </c>
      <c r="E182" s="33" t="s">
        <v>1413</v>
      </c>
      <c r="I182">
        <v>814</v>
      </c>
      <c r="J182" t="str">
        <f>_xlfn.XLOOKUP($I182,$A:$A,B:B)</f>
        <v>dan</v>
      </c>
      <c r="K182">
        <f>_xlfn.XLOOKUP($I182,$A:$A,C:C)</f>
        <v>0</v>
      </c>
      <c r="L182">
        <f>_xlfn.XLOOKUP($I182,$A:$A,D:D)</f>
        <v>15</v>
      </c>
      <c r="M182" t="str">
        <f>_xlfn.XLOOKUP($I182,$A:$A,E:E)</f>
        <v>L1</v>
      </c>
    </row>
    <row r="183" spans="1:13" customFormat="1" ht="20.25">
      <c r="A183" s="34"/>
      <c r="B183" s="33"/>
      <c r="C183" s="34"/>
      <c r="D183" s="33"/>
      <c r="E183" s="33"/>
      <c r="I183">
        <v>635</v>
      </c>
      <c r="J183" t="str">
        <f>_xlfn.XLOOKUP($I183,$A:$A,B:B)</f>
        <v>dar</v>
      </c>
      <c r="K183">
        <f>_xlfn.XLOOKUP($I183,$A:$A,C:C)</f>
        <v>30</v>
      </c>
      <c r="L183">
        <f>_xlfn.XLOOKUP($I183,$A:$A,D:D)</f>
        <v>11</v>
      </c>
      <c r="M183" t="str">
        <f>_xlfn.XLOOKUP($I183,$A:$A,E:E)</f>
        <v>L1</v>
      </c>
    </row>
    <row r="184" spans="1:13" customFormat="1" ht="20.25">
      <c r="A184" s="34">
        <v>183</v>
      </c>
      <c r="B184" s="33" t="s">
        <v>260</v>
      </c>
      <c r="C184" s="34">
        <v>80</v>
      </c>
      <c r="D184" s="33">
        <v>13</v>
      </c>
      <c r="E184" s="33" t="s">
        <v>1413</v>
      </c>
      <c r="I184">
        <v>346</v>
      </c>
      <c r="J184" t="str">
        <f>_xlfn.XLOOKUP($I184,$A:$A,B:B)</f>
        <v>datos</v>
      </c>
      <c r="K184">
        <f>_xlfn.XLOOKUP($I184,$A:$A,C:C)</f>
        <v>48</v>
      </c>
      <c r="L184">
        <f>_xlfn.XLOOKUP($I184,$A:$A,D:D)</f>
        <v>2</v>
      </c>
      <c r="M184" t="str">
        <f>_xlfn.XLOOKUP($I184,$A:$A,E:E)</f>
        <v>L2</v>
      </c>
    </row>
    <row r="185" spans="1:13" customFormat="1" ht="20.25">
      <c r="A185" s="34">
        <v>184</v>
      </c>
      <c r="B185" s="33" t="s">
        <v>261</v>
      </c>
      <c r="C185" s="34">
        <v>80</v>
      </c>
      <c r="D185" s="33">
        <v>12</v>
      </c>
      <c r="E185" s="33" t="s">
        <v>1416</v>
      </c>
      <c r="I185">
        <v>1</v>
      </c>
      <c r="J185" t="str">
        <f>_xlfn.XLOOKUP($I185,$A:$A,B:B)</f>
        <v>de</v>
      </c>
      <c r="K185">
        <f>_xlfn.XLOOKUP($I185,$A:$A,C:C)</f>
        <v>15226</v>
      </c>
      <c r="L185">
        <f>_xlfn.XLOOKUP($I185,$A:$A,D:D)</f>
        <v>1</v>
      </c>
      <c r="M185" t="str">
        <f>_xlfn.XLOOKUP($I185,$A:$A,E:E)</f>
        <v>L1</v>
      </c>
    </row>
    <row r="186" spans="1:13" customFormat="1" ht="20.25">
      <c r="A186" s="34">
        <v>185</v>
      </c>
      <c r="B186" s="33" t="s">
        <v>262</v>
      </c>
      <c r="C186" s="34">
        <v>80</v>
      </c>
      <c r="D186" s="33">
        <v>12</v>
      </c>
      <c r="E186" s="33" t="s">
        <v>1413</v>
      </c>
      <c r="I186">
        <v>231</v>
      </c>
      <c r="J186" t="str">
        <f>_xlfn.XLOOKUP($I186,$A:$A,B:B)</f>
        <v>debe</v>
      </c>
      <c r="K186">
        <f>_xlfn.XLOOKUP($I186,$A:$A,C:C)</f>
        <v>67</v>
      </c>
      <c r="L186">
        <f>_xlfn.XLOOKUP($I186,$A:$A,D:D)</f>
        <v>1</v>
      </c>
      <c r="M186" t="str">
        <f>_xlfn.XLOOKUP($I186,$A:$A,E:E)</f>
        <v>L2</v>
      </c>
    </row>
    <row r="187" spans="1:13" customFormat="1" ht="20.25">
      <c r="A187" s="34">
        <v>186</v>
      </c>
      <c r="B187" s="33" t="s">
        <v>263</v>
      </c>
      <c r="C187" s="34">
        <v>80</v>
      </c>
      <c r="D187" s="33">
        <v>12</v>
      </c>
      <c r="E187" s="33" t="s">
        <v>1413</v>
      </c>
      <c r="I187">
        <v>152</v>
      </c>
      <c r="J187" t="str">
        <f>_xlfn.XLOOKUP($I187,$A:$A,B:B)</f>
        <v>debido</v>
      </c>
      <c r="K187">
        <f>_xlfn.XLOOKUP($I187,$A:$A,C:C)</f>
        <v>91</v>
      </c>
      <c r="L187">
        <f>_xlfn.XLOOKUP($I187,$A:$A,D:D)</f>
        <v>14</v>
      </c>
      <c r="M187" t="str">
        <f>_xlfn.XLOOKUP($I187,$A:$A,E:E)</f>
        <v>L2</v>
      </c>
    </row>
    <row r="188" spans="1:13" customFormat="1" ht="20.25">
      <c r="A188" s="34">
        <v>187</v>
      </c>
      <c r="B188" s="33" t="s">
        <v>264</v>
      </c>
      <c r="C188" s="34">
        <v>80</v>
      </c>
      <c r="D188" s="33">
        <v>1</v>
      </c>
      <c r="E188" s="33" t="s">
        <v>1416</v>
      </c>
      <c r="I188">
        <v>532</v>
      </c>
      <c r="J188" t="str">
        <f>_xlfn.XLOOKUP($I188,$A:$A,B:B)</f>
        <v>década</v>
      </c>
      <c r="K188">
        <f>_xlfn.XLOOKUP($I188,$A:$A,C:C)</f>
        <v>35</v>
      </c>
      <c r="L188">
        <f>_xlfn.XLOOKUP($I188,$A:$A,D:D)</f>
        <v>9</v>
      </c>
      <c r="M188" t="str">
        <f>_xlfn.XLOOKUP($I188,$A:$A,E:E)</f>
        <v>L2</v>
      </c>
    </row>
    <row r="189" spans="1:13" customFormat="1" ht="20.25">
      <c r="A189" s="34">
        <v>188</v>
      </c>
      <c r="B189" s="33" t="s">
        <v>265</v>
      </c>
      <c r="C189" s="34">
        <v>80</v>
      </c>
      <c r="D189" s="33">
        <v>9</v>
      </c>
      <c r="E189" s="33" t="s">
        <v>1413</v>
      </c>
      <c r="I189">
        <v>364</v>
      </c>
      <c r="J189" t="str">
        <f>_xlfn.XLOOKUP($I189,$A:$A,B:B)</f>
        <v>decidió</v>
      </c>
      <c r="K189">
        <f>_xlfn.XLOOKUP($I189,$A:$A,C:C)</f>
        <v>46</v>
      </c>
      <c r="L189">
        <f>_xlfn.XLOOKUP($I189,$A:$A,D:D)</f>
        <v>8</v>
      </c>
      <c r="M189" t="str">
        <f>_xlfn.XLOOKUP($I189,$A:$A,E:E)</f>
        <v>L2</v>
      </c>
    </row>
    <row r="190" spans="1:13" customFormat="1" ht="20.25">
      <c r="A190" s="34"/>
      <c r="B190" s="33"/>
      <c r="C190" s="34"/>
      <c r="D190" s="33"/>
      <c r="E190" s="33"/>
      <c r="I190">
        <v>408</v>
      </c>
      <c r="J190" t="str">
        <f>_xlfn.XLOOKUP($I190,$A:$A,B:B)</f>
        <v>decir</v>
      </c>
      <c r="K190">
        <f>_xlfn.XLOOKUP($I190,$A:$A,C:C)</f>
        <v>42</v>
      </c>
      <c r="L190">
        <f>_xlfn.XLOOKUP($I190,$A:$A,D:D)</f>
        <v>12</v>
      </c>
      <c r="M190" t="str">
        <f>_xlfn.XLOOKUP($I190,$A:$A,E:E)</f>
        <v>L1</v>
      </c>
    </row>
    <row r="191" spans="1:13" customFormat="1" ht="20.25">
      <c r="A191" s="34">
        <v>190</v>
      </c>
      <c r="B191" s="33" t="s">
        <v>267</v>
      </c>
      <c r="C191" s="34">
        <v>79</v>
      </c>
      <c r="D191" s="33">
        <v>11</v>
      </c>
      <c r="E191" s="33" t="s">
        <v>1413</v>
      </c>
      <c r="I191">
        <v>735</v>
      </c>
      <c r="J191" t="str">
        <f>_xlfn.XLOOKUP($I191,$A:$A,B:B)</f>
        <v>declaró</v>
      </c>
      <c r="K191">
        <f>_xlfn.XLOOKUP($I191,$A:$A,C:C)</f>
        <v>27</v>
      </c>
      <c r="L191">
        <f>_xlfn.XLOOKUP($I191,$A:$A,D:D)</f>
        <v>1</v>
      </c>
      <c r="M191" t="str">
        <f>_xlfn.XLOOKUP($I191,$A:$A,E:E)</f>
        <v>L2</v>
      </c>
    </row>
    <row r="192" spans="1:13" customFormat="1" ht="20.25">
      <c r="A192" s="34">
        <v>191</v>
      </c>
      <c r="B192" s="33" t="s">
        <v>268</v>
      </c>
      <c r="C192" s="34">
        <v>79</v>
      </c>
      <c r="D192" s="33">
        <v>9</v>
      </c>
      <c r="E192" s="33" t="s">
        <v>1413</v>
      </c>
      <c r="I192">
        <v>636</v>
      </c>
      <c r="J192" t="str">
        <f>_xlfn.XLOOKUP($I192,$A:$A,B:B)</f>
        <v>defensa</v>
      </c>
      <c r="K192">
        <f>_xlfn.XLOOKUP($I192,$A:$A,C:C)</f>
        <v>30</v>
      </c>
      <c r="L192">
        <f>_xlfn.XLOOKUP($I192,$A:$A,D:D)</f>
        <v>1</v>
      </c>
      <c r="M192" t="str">
        <f>_xlfn.XLOOKUP($I192,$A:$A,E:E)</f>
        <v>L2</v>
      </c>
    </row>
    <row r="193" spans="1:13" customFormat="1" ht="20.25">
      <c r="A193" s="34">
        <v>192</v>
      </c>
      <c r="B193" s="33" t="s">
        <v>269</v>
      </c>
      <c r="C193" s="34">
        <v>79</v>
      </c>
      <c r="D193" s="33">
        <v>15</v>
      </c>
      <c r="E193" s="33" t="s">
        <v>1413</v>
      </c>
      <c r="I193">
        <v>919</v>
      </c>
      <c r="J193" t="str">
        <f>_xlfn.XLOOKUP($I193,$A:$A,B:B)</f>
        <v>dejar</v>
      </c>
      <c r="K193">
        <f>_xlfn.XLOOKUP($I193,$A:$A,C:C)</f>
        <v>22</v>
      </c>
      <c r="L193">
        <f>_xlfn.XLOOKUP($I193,$A:$A,D:D)</f>
        <v>5</v>
      </c>
      <c r="M193" t="str">
        <f>_xlfn.XLOOKUP($I193,$A:$A,E:E)</f>
        <v>L1</v>
      </c>
    </row>
    <row r="194" spans="1:13" customFormat="1" ht="20.25">
      <c r="A194" s="34">
        <v>193</v>
      </c>
      <c r="B194" s="33" t="s">
        <v>270</v>
      </c>
      <c r="C194" s="34">
        <v>79</v>
      </c>
      <c r="D194" s="33">
        <v>15</v>
      </c>
      <c r="E194" s="33" t="s">
        <v>1413</v>
      </c>
      <c r="I194">
        <v>550</v>
      </c>
      <c r="J194" t="str">
        <f>_xlfn.XLOOKUP($I194,$A:$A,B:B)</f>
        <v>dejó</v>
      </c>
      <c r="K194">
        <f>_xlfn.XLOOKUP($I194,$A:$A,C:C)</f>
        <v>34</v>
      </c>
      <c r="L194">
        <f>_xlfn.XLOOKUP($I194,$A:$A,D:D)</f>
        <v>9</v>
      </c>
      <c r="M194" t="str">
        <f>_xlfn.XLOOKUP($I194,$A:$A,E:E)</f>
        <v>L2</v>
      </c>
    </row>
    <row r="195" spans="1:13" customFormat="1" ht="20.25">
      <c r="A195" s="34">
        <v>194</v>
      </c>
      <c r="B195" s="33" t="s">
        <v>271</v>
      </c>
      <c r="C195" s="34">
        <v>79</v>
      </c>
      <c r="D195" s="33">
        <v>8</v>
      </c>
      <c r="E195" s="33" t="s">
        <v>1416</v>
      </c>
      <c r="I195">
        <v>10</v>
      </c>
      <c r="J195" t="str">
        <f>_xlfn.XLOOKUP($I195,$A:$A,B:B)</f>
        <v>del</v>
      </c>
      <c r="K195">
        <f>_xlfn.XLOOKUP($I195,$A:$A,C:C)</f>
        <v>2645</v>
      </c>
      <c r="L195">
        <f>_xlfn.XLOOKUP($I195,$A:$A,D:D)</f>
        <v>1</v>
      </c>
      <c r="M195" t="str">
        <f>_xlfn.XLOOKUP($I195,$A:$A,E:E)</f>
        <v>L1</v>
      </c>
    </row>
    <row r="196" spans="1:13" customFormat="1" ht="20.25">
      <c r="A196" s="34">
        <v>195</v>
      </c>
      <c r="B196" s="33" t="s">
        <v>272</v>
      </c>
      <c r="C196" s="34">
        <v>78</v>
      </c>
      <c r="D196" s="33">
        <v>7</v>
      </c>
      <c r="E196" s="33" t="s">
        <v>1416</v>
      </c>
      <c r="I196">
        <v>769</v>
      </c>
      <c r="J196" t="str">
        <f>_xlfn.XLOOKUP($I196,$A:$A,B:B)</f>
        <v>demás</v>
      </c>
      <c r="K196">
        <f>_xlfn.XLOOKUP($I196,$A:$A,C:C)</f>
        <v>26</v>
      </c>
      <c r="L196">
        <f>_xlfn.XLOOKUP($I196,$A:$A,D:D)</f>
        <v>12</v>
      </c>
      <c r="M196" t="str">
        <f>_xlfn.XLOOKUP($I196,$A:$A,E:E)</f>
        <v>L1</v>
      </c>
    </row>
    <row r="197" spans="1:13" customFormat="1" ht="20.25">
      <c r="A197" s="34">
        <v>196</v>
      </c>
      <c r="B197" s="33" t="s">
        <v>273</v>
      </c>
      <c r="C197" s="34">
        <v>78</v>
      </c>
      <c r="D197" s="33">
        <v>12</v>
      </c>
      <c r="E197" s="33" t="s">
        <v>1416</v>
      </c>
      <c r="I197">
        <v>183</v>
      </c>
      <c r="J197" t="str">
        <f>_xlfn.XLOOKUP($I197,$A:$A,B:B)</f>
        <v>dentro</v>
      </c>
      <c r="K197">
        <f>_xlfn.XLOOKUP($I197,$A:$A,C:C)</f>
        <v>80</v>
      </c>
      <c r="L197">
        <f>_xlfn.XLOOKUP($I197,$A:$A,D:D)</f>
        <v>13</v>
      </c>
      <c r="M197" t="str">
        <f>_xlfn.XLOOKUP($I197,$A:$A,E:E)</f>
        <v>L1</v>
      </c>
    </row>
    <row r="198" spans="1:13" customFormat="1" ht="20.25">
      <c r="A198" s="34">
        <v>197</v>
      </c>
      <c r="B198" s="33" t="s">
        <v>274</v>
      </c>
      <c r="C198" s="34">
        <v>78</v>
      </c>
      <c r="D198" s="33">
        <v>9</v>
      </c>
      <c r="E198" s="33" t="s">
        <v>1413</v>
      </c>
      <c r="I198">
        <v>489</v>
      </c>
      <c r="J198" t="str">
        <f>_xlfn.XLOOKUP($I198,$A:$A,B:B)</f>
        <v>derecho</v>
      </c>
      <c r="K198">
        <f>_xlfn.XLOOKUP($I198,$A:$A,C:C)</f>
        <v>37</v>
      </c>
      <c r="L198">
        <f>_xlfn.XLOOKUP($I198,$A:$A,D:D)</f>
        <v>8</v>
      </c>
      <c r="M198" t="str">
        <f>_xlfn.XLOOKUP($I198,$A:$A,E:E)</f>
        <v>L2</v>
      </c>
    </row>
    <row r="199" spans="1:13" customFormat="1" ht="20.25">
      <c r="A199" s="34">
        <v>198</v>
      </c>
      <c r="B199" s="33" t="s">
        <v>275</v>
      </c>
      <c r="C199" s="34">
        <v>78</v>
      </c>
      <c r="D199" s="33">
        <v>12</v>
      </c>
      <c r="E199" s="33" t="s">
        <v>1413</v>
      </c>
      <c r="I199">
        <v>551</v>
      </c>
      <c r="J199" t="str">
        <f>_xlfn.XLOOKUP($I199,$A:$A,B:B)</f>
        <v>derechos</v>
      </c>
      <c r="K199">
        <f>_xlfn.XLOOKUP($I199,$A:$A,C:C)</f>
        <v>34</v>
      </c>
      <c r="L199">
        <f>_xlfn.XLOOKUP($I199,$A:$A,D:D)</f>
        <v>8</v>
      </c>
      <c r="M199" t="str">
        <f>_xlfn.XLOOKUP($I199,$A:$A,E:E)</f>
        <v>L2</v>
      </c>
    </row>
    <row r="200" spans="1:13" customFormat="1" ht="20.25">
      <c r="A200" s="34">
        <v>199</v>
      </c>
      <c r="B200" s="33" t="s">
        <v>276</v>
      </c>
      <c r="C200" s="34">
        <v>77</v>
      </c>
      <c r="D200" s="33">
        <v>12</v>
      </c>
      <c r="E200" s="33" t="s">
        <v>1413</v>
      </c>
      <c r="I200">
        <v>240</v>
      </c>
      <c r="J200" t="str">
        <f>_xlfn.XLOOKUP($I200,$A:$A,B:B)</f>
        <v>desarrollo</v>
      </c>
      <c r="K200">
        <f>_xlfn.XLOOKUP($I200,$A:$A,C:C)</f>
        <v>65</v>
      </c>
      <c r="L200">
        <f>_xlfn.XLOOKUP($I200,$A:$A,D:D)</f>
        <v>6</v>
      </c>
      <c r="M200" t="str">
        <f>_xlfn.XLOOKUP($I200,$A:$A,E:E)</f>
        <v>L3</v>
      </c>
    </row>
    <row r="201" spans="1:13" customFormat="1" ht="20.25">
      <c r="A201" s="34">
        <v>200</v>
      </c>
      <c r="B201" s="33" t="s">
        <v>277</v>
      </c>
      <c r="C201" s="34">
        <v>77</v>
      </c>
      <c r="D201" s="33">
        <v>12</v>
      </c>
      <c r="E201" s="33" t="s">
        <v>1416</v>
      </c>
      <c r="I201">
        <v>867</v>
      </c>
      <c r="J201" t="str">
        <f>_xlfn.XLOOKUP($I201,$A:$A,B:B)</f>
        <v>descrito</v>
      </c>
      <c r="K201">
        <f>_xlfn.XLOOKUP($I201,$A:$A,C:C)</f>
        <v>23</v>
      </c>
      <c r="L201">
        <f>_xlfn.XLOOKUP($I201,$A:$A,D:D)</f>
        <v>6</v>
      </c>
      <c r="M201" t="str">
        <f>_xlfn.XLOOKUP($I201,$A:$A,E:E)</f>
        <v>L2</v>
      </c>
    </row>
    <row r="202" spans="1:13" customFormat="1" ht="20.25">
      <c r="A202" s="34">
        <v>201</v>
      </c>
      <c r="B202" s="33" t="s">
        <v>278</v>
      </c>
      <c r="C202" s="34">
        <v>77</v>
      </c>
      <c r="D202" s="33">
        <v>10</v>
      </c>
      <c r="E202" s="33" t="s">
        <v>1413</v>
      </c>
      <c r="I202">
        <v>770</v>
      </c>
      <c r="J202" t="str">
        <f>_xlfn.XLOOKUP($I202,$A:$A,B:B)</f>
        <v>descubre</v>
      </c>
      <c r="K202">
        <f>_xlfn.XLOOKUP($I202,$A:$A,C:C)</f>
        <v>26</v>
      </c>
      <c r="L202">
        <f>_xlfn.XLOOKUP($I202,$A:$A,D:D)</f>
        <v>6</v>
      </c>
      <c r="M202" t="str">
        <f>_xlfn.XLOOKUP($I202,$A:$A,E:E)</f>
        <v>L2</v>
      </c>
    </row>
    <row r="203" spans="1:13" customFormat="1" ht="20.25">
      <c r="A203" s="34">
        <v>202</v>
      </c>
      <c r="B203" s="33" t="s">
        <v>279</v>
      </c>
      <c r="C203" s="34">
        <v>76</v>
      </c>
      <c r="D203" s="33">
        <v>13</v>
      </c>
      <c r="E203" s="33" t="s">
        <v>1413</v>
      </c>
      <c r="I203">
        <v>49</v>
      </c>
      <c r="J203" t="str">
        <f>_xlfn.XLOOKUP($I203,$A:$A,B:B)</f>
        <v>desde</v>
      </c>
      <c r="K203">
        <f>_xlfn.XLOOKUP($I203,$A:$A,C:C)</f>
        <v>249</v>
      </c>
      <c r="L203">
        <f>_xlfn.XLOOKUP($I203,$A:$A,D:D)</f>
        <v>9</v>
      </c>
      <c r="M203" t="str">
        <f>_xlfn.XLOOKUP($I203,$A:$A,E:E)</f>
        <v>L1</v>
      </c>
    </row>
    <row r="204" spans="1:13" customFormat="1" ht="20.25">
      <c r="A204" s="34">
        <v>203</v>
      </c>
      <c r="B204" s="33" t="s">
        <v>280</v>
      </c>
      <c r="C204" s="34">
        <v>76</v>
      </c>
      <c r="D204" s="33">
        <v>9</v>
      </c>
      <c r="E204" s="33" t="s">
        <v>1413</v>
      </c>
      <c r="I204">
        <v>50</v>
      </c>
      <c r="J204" t="str">
        <f>_xlfn.XLOOKUP($I204,$A:$A,B:B)</f>
        <v>después</v>
      </c>
      <c r="K204">
        <f>_xlfn.XLOOKUP($I204,$A:$A,C:C)</f>
        <v>245</v>
      </c>
      <c r="L204">
        <f>_xlfn.XLOOKUP($I204,$A:$A,D:D)</f>
        <v>9</v>
      </c>
      <c r="M204" t="str">
        <f>_xlfn.XLOOKUP($I204,$A:$A,E:E)</f>
        <v>L1</v>
      </c>
    </row>
    <row r="205" spans="1:13" customFormat="1" ht="20.25">
      <c r="A205" s="34">
        <v>204</v>
      </c>
      <c r="B205" s="33" t="s">
        <v>281</v>
      </c>
      <c r="C205" s="34">
        <v>76</v>
      </c>
      <c r="D205" s="33">
        <v>9</v>
      </c>
      <c r="E205" s="33" t="s">
        <v>1413</v>
      </c>
      <c r="I205">
        <v>957</v>
      </c>
      <c r="J205" t="str">
        <f>_xlfn.XLOOKUP($I205,$A:$A,B:B)</f>
        <v>detrás</v>
      </c>
      <c r="K205">
        <f>_xlfn.XLOOKUP($I205,$A:$A,C:C)</f>
        <v>21</v>
      </c>
      <c r="L205">
        <f>_xlfn.XLOOKUP($I205,$A:$A,D:D)</f>
        <v>10</v>
      </c>
      <c r="M205" t="str">
        <f>_xlfn.XLOOKUP($I205,$A:$A,E:E)</f>
        <v>L1</v>
      </c>
    </row>
    <row r="206" spans="1:13" customFormat="1" ht="20.25">
      <c r="A206" s="34"/>
      <c r="B206" s="33"/>
      <c r="C206" s="34"/>
      <c r="D206" s="33"/>
      <c r="E206" s="33"/>
      <c r="I206">
        <v>101</v>
      </c>
      <c r="J206" t="str">
        <f>_xlfn.XLOOKUP($I206,$A:$A,B:B)</f>
        <v>día</v>
      </c>
      <c r="K206">
        <f>_xlfn.XLOOKUP($I206,$A:$A,C:C)</f>
        <v>125</v>
      </c>
      <c r="L206">
        <f>_xlfn.XLOOKUP($I206,$A:$A,D:D)</f>
        <v>13</v>
      </c>
      <c r="M206" t="str">
        <f>_xlfn.XLOOKUP($I206,$A:$A,E:E)</f>
        <v>L1</v>
      </c>
    </row>
    <row r="207" spans="1:13" customFormat="1" ht="20.25">
      <c r="A207" s="34">
        <v>206</v>
      </c>
      <c r="B207" s="33" t="s">
        <v>283</v>
      </c>
      <c r="C207" s="34">
        <v>75</v>
      </c>
      <c r="D207" s="33">
        <v>2</v>
      </c>
      <c r="E207" s="33" t="s">
        <v>1413</v>
      </c>
      <c r="I207">
        <v>163</v>
      </c>
      <c r="J207" t="str">
        <f>_xlfn.XLOOKUP($I207,$A:$A,B:B)</f>
        <v>días</v>
      </c>
      <c r="K207">
        <f>_xlfn.XLOOKUP($I207,$A:$A,C:C)</f>
        <v>86</v>
      </c>
      <c r="L207">
        <f>_xlfn.XLOOKUP($I207,$A:$A,D:D)</f>
        <v>13</v>
      </c>
      <c r="M207" t="str">
        <f>_xlfn.XLOOKUP($I207,$A:$A,E:E)</f>
        <v>L1</v>
      </c>
    </row>
    <row r="208" spans="1:13" customFormat="1" ht="20.25">
      <c r="A208" s="34">
        <v>207</v>
      </c>
      <c r="B208" s="33" t="s">
        <v>284</v>
      </c>
      <c r="C208" s="34">
        <v>75</v>
      </c>
      <c r="D208" s="33">
        <v>9</v>
      </c>
      <c r="E208" s="33" t="s">
        <v>1416</v>
      </c>
      <c r="I208">
        <v>282</v>
      </c>
      <c r="J208" t="str">
        <f>_xlfn.XLOOKUP($I208,$A:$A,B:B)</f>
        <v>dice</v>
      </c>
      <c r="K208">
        <f>_xlfn.XLOOKUP($I208,$A:$A,C:C)</f>
        <v>57</v>
      </c>
      <c r="L208">
        <f>_xlfn.XLOOKUP($I208,$A:$A,D:D)</f>
        <v>8</v>
      </c>
      <c r="M208" t="str">
        <f>_xlfn.XLOOKUP($I208,$A:$A,E:E)</f>
        <v>L1</v>
      </c>
    </row>
    <row r="209" spans="1:13" customFormat="1" ht="20.25">
      <c r="A209" s="34">
        <v>208</v>
      </c>
      <c r="B209" s="33" t="s">
        <v>285</v>
      </c>
      <c r="C209" s="34">
        <v>75</v>
      </c>
      <c r="D209" s="33">
        <v>3</v>
      </c>
      <c r="E209" s="33" t="s">
        <v>1416</v>
      </c>
      <c r="I209">
        <v>958</v>
      </c>
      <c r="J209" t="str">
        <f>_xlfn.XLOOKUP($I209,$A:$A,B:B)</f>
        <v>dicha</v>
      </c>
      <c r="K209">
        <f>_xlfn.XLOOKUP($I209,$A:$A,C:C)</f>
        <v>21</v>
      </c>
      <c r="L209">
        <f>_xlfn.XLOOKUP($I209,$A:$A,D:D)</f>
        <v>8</v>
      </c>
      <c r="M209" t="str">
        <f>_xlfn.XLOOKUP($I209,$A:$A,E:E)</f>
        <v>L3</v>
      </c>
    </row>
    <row r="210" spans="1:13" customFormat="1" ht="20.25">
      <c r="A210" s="34">
        <v>209</v>
      </c>
      <c r="B210" s="33" t="s">
        <v>286</v>
      </c>
      <c r="C210" s="34">
        <v>74</v>
      </c>
      <c r="D210" s="33">
        <v>12</v>
      </c>
      <c r="E210" s="33" t="s">
        <v>1416</v>
      </c>
      <c r="I210">
        <v>815</v>
      </c>
      <c r="J210" t="str">
        <f>_xlfn.XLOOKUP($I210,$A:$A,B:B)</f>
        <v>dicho</v>
      </c>
      <c r="K210">
        <f>_xlfn.XLOOKUP($I210,$A:$A,C:C)</f>
        <v>24</v>
      </c>
      <c r="L210">
        <f>_xlfn.XLOOKUP($I210,$A:$A,D:D)</f>
        <v>8</v>
      </c>
      <c r="M210" t="str">
        <f>_xlfn.XLOOKUP($I210,$A:$A,E:E)</f>
        <v>L3</v>
      </c>
    </row>
    <row r="211" spans="1:13" customFormat="1" ht="20.25">
      <c r="A211" s="34">
        <v>210</v>
      </c>
      <c r="B211" s="33" t="s">
        <v>287</v>
      </c>
      <c r="C211" s="34">
        <v>73</v>
      </c>
      <c r="D211" s="33">
        <v>10</v>
      </c>
      <c r="E211" s="33" t="s">
        <v>1413</v>
      </c>
      <c r="I211">
        <v>245</v>
      </c>
      <c r="J211" t="str">
        <f>_xlfn.XLOOKUP($I211,$A:$A,B:B)</f>
        <v>diciembre</v>
      </c>
      <c r="K211">
        <f>_xlfn.XLOOKUP($I211,$A:$A,C:C)</f>
        <v>65</v>
      </c>
      <c r="L211">
        <f>_xlfn.XLOOKUP($I211,$A:$A,D:D)</f>
        <v>13</v>
      </c>
      <c r="M211" t="str">
        <f>_xlfn.XLOOKUP($I211,$A:$A,E:E)</f>
        <v>L1</v>
      </c>
    </row>
    <row r="212" spans="1:13" customFormat="1" ht="20.25">
      <c r="A212" s="34">
        <v>211</v>
      </c>
      <c r="B212" s="33" t="s">
        <v>288</v>
      </c>
      <c r="C212" s="34">
        <v>72</v>
      </c>
      <c r="D212" s="33">
        <v>1</v>
      </c>
      <c r="E212" s="33" t="s">
        <v>1416</v>
      </c>
      <c r="I212">
        <v>604</v>
      </c>
      <c r="J212" t="str">
        <f>_xlfn.XLOOKUP($I212,$A:$A,B:B)</f>
        <v>diferencia</v>
      </c>
      <c r="K212">
        <f>_xlfn.XLOOKUP($I212,$A:$A,C:C)</f>
        <v>31</v>
      </c>
      <c r="L212">
        <f>_xlfn.XLOOKUP($I212,$A:$A,D:D)</f>
        <v>2</v>
      </c>
      <c r="M212" t="str">
        <f>_xlfn.XLOOKUP($I212,$A:$A,E:E)</f>
        <v>L2</v>
      </c>
    </row>
    <row r="213" spans="1:13" customFormat="1" ht="20.25">
      <c r="A213" s="34">
        <v>212</v>
      </c>
      <c r="B213" s="33" t="s">
        <v>289</v>
      </c>
      <c r="C213" s="34">
        <v>72</v>
      </c>
      <c r="D213" s="33">
        <v>12</v>
      </c>
      <c r="E213" s="33" t="s">
        <v>1413</v>
      </c>
      <c r="I213">
        <v>149</v>
      </c>
      <c r="J213" t="str">
        <f>_xlfn.XLOOKUP($I213,$A:$A,B:B)</f>
        <v>diferentes</v>
      </c>
      <c r="K213">
        <f>_xlfn.XLOOKUP($I213,$A:$A,C:C)</f>
        <v>92</v>
      </c>
      <c r="L213">
        <f>_xlfn.XLOOKUP($I213,$A:$A,D:D)</f>
        <v>12</v>
      </c>
      <c r="M213" t="str">
        <f>_xlfn.XLOOKUP($I213,$A:$A,E:E)</f>
        <v>L2</v>
      </c>
    </row>
    <row r="214" spans="1:13" customFormat="1" ht="20.25">
      <c r="A214" s="34">
        <v>213</v>
      </c>
      <c r="B214" s="33" t="s">
        <v>290</v>
      </c>
      <c r="C214" s="34">
        <v>72</v>
      </c>
      <c r="D214" s="33">
        <v>7</v>
      </c>
      <c r="E214" s="33" t="s">
        <v>1416</v>
      </c>
      <c r="I214">
        <v>771</v>
      </c>
      <c r="J214" t="str">
        <f>_xlfn.XLOOKUP($I214,$A:$A,B:B)</f>
        <v>difícil</v>
      </c>
      <c r="K214">
        <f>_xlfn.XLOOKUP($I214,$A:$A,C:C)</f>
        <v>26</v>
      </c>
      <c r="L214">
        <f>_xlfn.XLOOKUP($I214,$A:$A,D:D)</f>
        <v>15</v>
      </c>
      <c r="M214" t="str">
        <f>_xlfn.XLOOKUP($I214,$A:$A,E:E)</f>
        <v>L1</v>
      </c>
    </row>
    <row r="215" spans="1:13" customFormat="1" ht="20.25">
      <c r="A215" s="34">
        <v>214</v>
      </c>
      <c r="B215" s="33" t="s">
        <v>291</v>
      </c>
      <c r="C215" s="34">
        <v>72</v>
      </c>
      <c r="D215" s="33">
        <v>13</v>
      </c>
      <c r="E215" s="33" t="s">
        <v>1413</v>
      </c>
      <c r="I215">
        <v>444</v>
      </c>
      <c r="J215" t="str">
        <f>_xlfn.XLOOKUP($I215,$A:$A,B:B)</f>
        <v>dijo</v>
      </c>
      <c r="K215">
        <f>_xlfn.XLOOKUP($I215,$A:$A,C:C)</f>
        <v>40</v>
      </c>
      <c r="L215">
        <f>_xlfn.XLOOKUP($I215,$A:$A,D:D)</f>
        <v>8</v>
      </c>
      <c r="M215" t="str">
        <f>_xlfn.XLOOKUP($I215,$A:$A,E:E)</f>
        <v>L2</v>
      </c>
    </row>
    <row r="216" spans="1:13" customFormat="1" ht="20.25">
      <c r="A216" s="34">
        <v>215</v>
      </c>
      <c r="B216" s="33" t="s">
        <v>292</v>
      </c>
      <c r="C216" s="34">
        <v>72</v>
      </c>
      <c r="D216" s="33">
        <v>9</v>
      </c>
      <c r="E216" s="33" t="s">
        <v>1416</v>
      </c>
      <c r="I216">
        <v>552</v>
      </c>
      <c r="J216" t="str">
        <f>_xlfn.XLOOKUP($I216,$A:$A,B:B)</f>
        <v>dinero</v>
      </c>
      <c r="K216">
        <f>_xlfn.XLOOKUP($I216,$A:$A,C:C)</f>
        <v>34</v>
      </c>
      <c r="L216">
        <f>_xlfn.XLOOKUP($I216,$A:$A,D:D)</f>
        <v>2</v>
      </c>
      <c r="M216" t="str">
        <f>_xlfn.XLOOKUP($I216,$A:$A,E:E)</f>
        <v>L1</v>
      </c>
    </row>
    <row r="217" spans="1:13" customFormat="1" ht="20.25">
      <c r="A217" s="34">
        <v>216</v>
      </c>
      <c r="B217" s="33" t="s">
        <v>293</v>
      </c>
      <c r="C217" s="34">
        <v>71</v>
      </c>
      <c r="D217" s="33">
        <v>13</v>
      </c>
      <c r="E217" s="33" t="s">
        <v>1413</v>
      </c>
      <c r="I217">
        <v>385</v>
      </c>
      <c r="J217" t="str">
        <f>_xlfn.XLOOKUP($I217,$A:$A,B:B)</f>
        <v>dio</v>
      </c>
      <c r="K217">
        <f>_xlfn.XLOOKUP($I217,$A:$A,C:C)</f>
        <v>45</v>
      </c>
      <c r="L217">
        <f>_xlfn.XLOOKUP($I217,$A:$A,D:D)</f>
        <v>9</v>
      </c>
      <c r="M217" t="str">
        <f>_xlfn.XLOOKUP($I217,$A:$A,E:E)</f>
        <v>L2</v>
      </c>
    </row>
    <row r="218" spans="1:13" customFormat="1" ht="20.25">
      <c r="A218" s="34">
        <v>217</v>
      </c>
      <c r="B218" s="33" t="s">
        <v>294</v>
      </c>
      <c r="C218" s="34">
        <v>71</v>
      </c>
      <c r="D218" s="33">
        <v>15</v>
      </c>
      <c r="E218" s="33" t="s">
        <v>1413</v>
      </c>
      <c r="I218">
        <v>573</v>
      </c>
      <c r="J218" t="str">
        <f>_xlfn.XLOOKUP($I218,$A:$A,B:B)</f>
        <v>Dios</v>
      </c>
      <c r="K218">
        <f>_xlfn.XLOOKUP($I218,$A:$A,C:C)</f>
        <v>32</v>
      </c>
      <c r="L218">
        <f>_xlfn.XLOOKUP($I218,$A:$A,D:D)</f>
        <v>9</v>
      </c>
      <c r="M218" t="str">
        <f>_xlfn.XLOOKUP($I218,$A:$A,E:E)</f>
        <v>L1</v>
      </c>
    </row>
    <row r="219" spans="1:13" customFormat="1" ht="20.25">
      <c r="A219" s="34">
        <v>218</v>
      </c>
      <c r="B219" s="33" t="s">
        <v>295</v>
      </c>
      <c r="C219" s="34">
        <v>71</v>
      </c>
      <c r="D219" s="33">
        <v>12</v>
      </c>
      <c r="E219" s="33" t="s">
        <v>1416</v>
      </c>
      <c r="I219">
        <v>445</v>
      </c>
      <c r="J219" t="str">
        <f>_xlfn.XLOOKUP($I219,$A:$A,B:B)</f>
        <v>dirección</v>
      </c>
      <c r="K219">
        <f>_xlfn.XLOOKUP($I219,$A:$A,C:C)</f>
        <v>40</v>
      </c>
      <c r="L219">
        <f>_xlfn.XLOOKUP($I219,$A:$A,D:D)</f>
        <v>5</v>
      </c>
      <c r="M219" t="str">
        <f>_xlfn.XLOOKUP($I219,$A:$A,E:E)</f>
        <v>L2</v>
      </c>
    </row>
    <row r="220" spans="1:13" customFormat="1" ht="20.25">
      <c r="A220" s="34">
        <v>219</v>
      </c>
      <c r="B220" s="33" t="s">
        <v>296</v>
      </c>
      <c r="C220" s="34">
        <v>71</v>
      </c>
      <c r="D220" s="33">
        <v>11</v>
      </c>
      <c r="E220" s="33" t="s">
        <v>1413</v>
      </c>
      <c r="I220">
        <v>772</v>
      </c>
      <c r="J220" t="str">
        <f>_xlfn.XLOOKUP($I220,$A:$A,B:B)</f>
        <v>directamente</v>
      </c>
      <c r="K220">
        <f>_xlfn.XLOOKUP($I220,$A:$A,C:C)</f>
        <v>26</v>
      </c>
      <c r="L220">
        <f>_xlfn.XLOOKUP($I220,$A:$A,D:D)</f>
        <v>5</v>
      </c>
      <c r="M220" t="str">
        <f>_xlfn.XLOOKUP($I220,$A:$A,E:E)</f>
        <v>L2</v>
      </c>
    </row>
    <row r="221" spans="1:13" customFormat="1" ht="20.25">
      <c r="A221" s="34">
        <v>220</v>
      </c>
      <c r="B221" s="33" t="s">
        <v>297</v>
      </c>
      <c r="C221" s="34">
        <v>70</v>
      </c>
      <c r="D221" s="33">
        <v>15</v>
      </c>
      <c r="E221" s="33" t="s">
        <v>1413</v>
      </c>
      <c r="I221">
        <v>637</v>
      </c>
      <c r="J221" t="str">
        <f>_xlfn.XLOOKUP($I221,$A:$A,B:B)</f>
        <v>director</v>
      </c>
      <c r="K221">
        <f>_xlfn.XLOOKUP($I221,$A:$A,C:C)</f>
        <v>30</v>
      </c>
      <c r="L221">
        <f>_xlfn.XLOOKUP($I221,$A:$A,D:D)</f>
        <v>3</v>
      </c>
      <c r="M221" t="str">
        <f>_xlfn.XLOOKUP($I221,$A:$A,E:E)</f>
        <v>L2</v>
      </c>
    </row>
    <row r="222" spans="1:13" customFormat="1" ht="20.25">
      <c r="A222" s="34">
        <v>221</v>
      </c>
      <c r="B222" s="33" t="s">
        <v>298</v>
      </c>
      <c r="C222" s="34">
        <v>70</v>
      </c>
      <c r="D222" s="33">
        <v>12</v>
      </c>
      <c r="E222" s="33" t="s">
        <v>1413</v>
      </c>
      <c r="I222">
        <v>427</v>
      </c>
      <c r="J222" t="str">
        <f>_xlfn.XLOOKUP($I222,$A:$A,B:B)</f>
        <v>disco</v>
      </c>
      <c r="K222">
        <f>_xlfn.XLOOKUP($I222,$A:$A,C:C)</f>
        <v>41</v>
      </c>
      <c r="L222">
        <f>_xlfn.XLOOKUP($I222,$A:$A,D:D)</f>
        <v>3</v>
      </c>
      <c r="M222" t="str">
        <f>_xlfn.XLOOKUP($I222,$A:$A,E:E)</f>
        <v>L2</v>
      </c>
    </row>
    <row r="223" spans="1:13" customFormat="1" ht="20.25">
      <c r="A223" s="34">
        <v>222</v>
      </c>
      <c r="B223" s="33" t="s">
        <v>299</v>
      </c>
      <c r="C223" s="34">
        <v>70</v>
      </c>
      <c r="D223" s="33">
        <v>2</v>
      </c>
      <c r="E223" s="33" t="s">
        <v>1416</v>
      </c>
      <c r="I223">
        <v>376</v>
      </c>
      <c r="J223" t="str">
        <f>_xlfn.XLOOKUP($I223,$A:$A,B:B)</f>
        <v>diseño</v>
      </c>
      <c r="K223">
        <f>_xlfn.XLOOKUP($I223,$A:$A,C:C)</f>
        <v>0</v>
      </c>
      <c r="L223">
        <f>_xlfn.XLOOKUP($I223,$A:$A,D:D)</f>
        <v>6</v>
      </c>
      <c r="M223" t="str">
        <f>_xlfn.XLOOKUP($I223,$A:$A,E:E)</f>
        <v>L2</v>
      </c>
    </row>
    <row r="224" spans="1:13" customFormat="1" ht="20.25">
      <c r="A224" s="34">
        <v>223</v>
      </c>
      <c r="B224" s="33" t="s">
        <v>300</v>
      </c>
      <c r="C224" s="34">
        <v>70</v>
      </c>
      <c r="D224" s="33">
        <v>12</v>
      </c>
      <c r="E224" s="33" t="s">
        <v>1416</v>
      </c>
      <c r="I224">
        <v>582</v>
      </c>
      <c r="J224" t="str">
        <f>_xlfn.XLOOKUP($I224,$A:$A,B:B)</f>
        <v>distancia</v>
      </c>
      <c r="K224">
        <f>_xlfn.XLOOKUP($I224,$A:$A,C:C)</f>
        <v>32</v>
      </c>
      <c r="L224">
        <f>_xlfn.XLOOKUP($I224,$A:$A,D:D)</f>
        <v>10</v>
      </c>
      <c r="M224" t="str">
        <f>_xlfn.XLOOKUP($I224,$A:$A,E:E)</f>
        <v>L2</v>
      </c>
    </row>
    <row r="225" spans="1:13" customFormat="1" ht="20.25">
      <c r="A225" s="34">
        <v>224</v>
      </c>
      <c r="B225" s="33" t="s">
        <v>301</v>
      </c>
      <c r="C225" s="34">
        <v>69</v>
      </c>
      <c r="D225" s="33">
        <v>2</v>
      </c>
      <c r="E225" s="33" t="s">
        <v>1416</v>
      </c>
      <c r="I225">
        <v>704</v>
      </c>
      <c r="J225" t="str">
        <f>_xlfn.XLOOKUP($I225,$A:$A,B:B)</f>
        <v>distribución</v>
      </c>
      <c r="K225">
        <f>_xlfn.XLOOKUP($I225,$A:$A,C:C)</f>
        <v>28</v>
      </c>
      <c r="L225">
        <f>_xlfn.XLOOKUP($I225,$A:$A,D:D)</f>
        <v>5</v>
      </c>
      <c r="M225" t="str">
        <f>_xlfn.XLOOKUP($I225,$A:$A,E:E)</f>
        <v>L3</v>
      </c>
    </row>
    <row r="226" spans="1:13" customFormat="1" ht="20.25">
      <c r="A226" s="34">
        <v>225</v>
      </c>
      <c r="B226" s="33" t="s">
        <v>302</v>
      </c>
      <c r="C226" s="34">
        <v>69</v>
      </c>
      <c r="D226" s="33">
        <v>9</v>
      </c>
      <c r="E226" s="33" t="s">
        <v>1416</v>
      </c>
      <c r="I226">
        <v>428</v>
      </c>
      <c r="J226" t="str">
        <f>_xlfn.XLOOKUP($I226,$A:$A,B:B)</f>
        <v>diversas</v>
      </c>
      <c r="K226">
        <f>_xlfn.XLOOKUP($I226,$A:$A,C:C)</f>
        <v>41</v>
      </c>
      <c r="L226">
        <f>_xlfn.XLOOKUP($I226,$A:$A,D:D)</f>
        <v>12</v>
      </c>
      <c r="M226" t="str">
        <f>_xlfn.XLOOKUP($I226,$A:$A,E:E)</f>
        <v>L2</v>
      </c>
    </row>
    <row r="227" spans="1:13" customFormat="1" ht="20.25">
      <c r="A227" s="34">
        <v>226</v>
      </c>
      <c r="B227" s="33" t="s">
        <v>303</v>
      </c>
      <c r="C227" s="34">
        <v>69</v>
      </c>
      <c r="D227" s="33">
        <v>12</v>
      </c>
      <c r="E227" s="33" t="s">
        <v>1413</v>
      </c>
      <c r="I227">
        <v>583</v>
      </c>
      <c r="J227" t="str">
        <f>_xlfn.XLOOKUP($I227,$A:$A,B:B)</f>
        <v>diversos</v>
      </c>
      <c r="K227">
        <f>_xlfn.XLOOKUP($I227,$A:$A,C:C)</f>
        <v>0</v>
      </c>
      <c r="L227">
        <f>_xlfn.XLOOKUP($I227,$A:$A,D:D)</f>
        <v>12</v>
      </c>
      <c r="M227" t="str">
        <f>_xlfn.XLOOKUP($I227,$A:$A,E:E)</f>
        <v>L2</v>
      </c>
    </row>
    <row r="228" spans="1:13" customFormat="1" ht="20.25">
      <c r="A228" s="34">
        <v>227</v>
      </c>
      <c r="B228" s="33" t="s">
        <v>304</v>
      </c>
      <c r="C228" s="34">
        <v>68</v>
      </c>
      <c r="D228" s="33">
        <v>9</v>
      </c>
      <c r="E228" s="33" t="s">
        <v>1416</v>
      </c>
      <c r="I228">
        <v>920</v>
      </c>
      <c r="J228" t="str">
        <f>_xlfn.XLOOKUP($I228,$A:$A,B:B)</f>
        <v>división</v>
      </c>
      <c r="K228">
        <f>_xlfn.XLOOKUP($I228,$A:$A,C:C)</f>
        <v>22</v>
      </c>
      <c r="L228">
        <f>_xlfn.XLOOKUP($I228,$A:$A,D:D)</f>
        <v>4</v>
      </c>
      <c r="M228" t="str">
        <f>_xlfn.XLOOKUP($I228,$A:$A,E:E)</f>
        <v>L2</v>
      </c>
    </row>
    <row r="229" spans="1:13" customFormat="1" ht="20.25">
      <c r="A229" s="34">
        <v>228</v>
      </c>
      <c r="B229" s="33" t="s">
        <v>305</v>
      </c>
      <c r="C229" s="34">
        <v>68</v>
      </c>
      <c r="D229" s="33">
        <v>3</v>
      </c>
      <c r="E229" s="33" t="s">
        <v>1416</v>
      </c>
      <c r="I229">
        <v>48</v>
      </c>
      <c r="J229" t="str">
        <f>_xlfn.XLOOKUP($I229,$A:$A,B:B)</f>
        <v>donde</v>
      </c>
      <c r="K229">
        <f>_xlfn.XLOOKUP($I229,$A:$A,C:C)</f>
        <v>257</v>
      </c>
      <c r="L229">
        <f>_xlfn.XLOOKUP($I229,$A:$A,D:D)</f>
        <v>10</v>
      </c>
      <c r="M229" t="str">
        <f>_xlfn.XLOOKUP($I229,$A:$A,E:E)</f>
        <v>L1</v>
      </c>
    </row>
    <row r="230" spans="1:13" customFormat="1" ht="20.25">
      <c r="A230" s="34"/>
      <c r="B230" s="33"/>
      <c r="C230" s="34"/>
      <c r="D230" s="33"/>
      <c r="E230" s="33"/>
      <c r="I230">
        <v>31</v>
      </c>
      <c r="J230" t="str">
        <f>_xlfn.XLOOKUP($I230,$A:$A,B:B)</f>
        <v>dos</v>
      </c>
      <c r="K230">
        <f>_xlfn.XLOOKUP($I230,$A:$A,C:C)</f>
        <v>379</v>
      </c>
      <c r="L230">
        <f>_xlfn.XLOOKUP($I230,$A:$A,D:D)</f>
        <v>4</v>
      </c>
      <c r="M230" t="str">
        <f>_xlfn.XLOOKUP($I230,$A:$A,E:E)</f>
        <v>L1</v>
      </c>
    </row>
    <row r="231" spans="1:13" customFormat="1" ht="20.25">
      <c r="A231" s="34">
        <v>230</v>
      </c>
      <c r="B231" s="33" t="s">
        <v>307</v>
      </c>
      <c r="C231" s="34">
        <v>67</v>
      </c>
      <c r="D231" s="33">
        <v>12</v>
      </c>
      <c r="E231" s="33" t="s">
        <v>1413</v>
      </c>
      <c r="I231">
        <v>54</v>
      </c>
      <c r="J231" t="str">
        <f>_xlfn.XLOOKUP($I231,$A:$A,B:B)</f>
        <v>durante</v>
      </c>
      <c r="K231">
        <f>_xlfn.XLOOKUP($I231,$A:$A,C:C)</f>
        <v>230</v>
      </c>
      <c r="L231">
        <f>_xlfn.XLOOKUP($I231,$A:$A,D:D)</f>
        <v>9</v>
      </c>
      <c r="M231" t="str">
        <f>_xlfn.XLOOKUP($I231,$A:$A,E:E)</f>
        <v>L1</v>
      </c>
    </row>
    <row r="232" spans="1:13" customFormat="1" ht="20.25">
      <c r="A232" s="34">
        <v>231</v>
      </c>
      <c r="B232" s="33" t="s">
        <v>308</v>
      </c>
      <c r="C232" s="34">
        <v>67</v>
      </c>
      <c r="D232" s="33">
        <v>1</v>
      </c>
      <c r="E232" s="33" t="s">
        <v>1416</v>
      </c>
      <c r="I232">
        <v>83</v>
      </c>
      <c r="J232" t="str">
        <f>_xlfn.XLOOKUP($I232,$A:$A,B:B)</f>
        <v>e</v>
      </c>
      <c r="K232">
        <f>_xlfn.XLOOKUP($I232,$A:$A,C:C)</f>
        <v>147</v>
      </c>
      <c r="L232">
        <f>_xlfn.XLOOKUP($I232,$A:$A,D:D)</f>
        <v>12</v>
      </c>
      <c r="M232" t="str">
        <f>_xlfn.XLOOKUP($I232,$A:$A,E:E)</f>
        <v>L1</v>
      </c>
    </row>
    <row r="233" spans="1:13" customFormat="1" ht="20.25">
      <c r="A233" s="34">
        <v>232</v>
      </c>
      <c r="B233" s="33" t="s">
        <v>309</v>
      </c>
      <c r="C233" s="34">
        <v>67</v>
      </c>
      <c r="D233" s="33">
        <v>13</v>
      </c>
      <c r="E233" s="33" t="s">
        <v>1413</v>
      </c>
      <c r="I233">
        <v>736</v>
      </c>
      <c r="J233" t="str">
        <f>_xlfn.XLOOKUP($I233,$A:$A,B:B)</f>
        <v>economía</v>
      </c>
      <c r="K233">
        <f>_xlfn.XLOOKUP($I233,$A:$A,C:C)</f>
        <v>27</v>
      </c>
      <c r="L233">
        <f>_xlfn.XLOOKUP($I233,$A:$A,D:D)</f>
        <v>2</v>
      </c>
      <c r="M233" t="str">
        <f>_xlfn.XLOOKUP($I233,$A:$A,E:E)</f>
        <v>L2</v>
      </c>
    </row>
    <row r="234" spans="1:13" customFormat="1" ht="20.25">
      <c r="A234" s="34">
        <v>233</v>
      </c>
      <c r="B234" s="33" t="s">
        <v>310</v>
      </c>
      <c r="C234" s="34">
        <v>67</v>
      </c>
      <c r="D234" s="33">
        <v>13</v>
      </c>
      <c r="E234" s="33" t="s">
        <v>1413</v>
      </c>
      <c r="I234">
        <v>959</v>
      </c>
      <c r="J234" t="str">
        <f>_xlfn.XLOOKUP($I234,$A:$A,B:B)</f>
        <v>económica</v>
      </c>
      <c r="K234">
        <f>_xlfn.XLOOKUP($I234,$A:$A,C:C)</f>
        <v>21</v>
      </c>
      <c r="L234">
        <f>_xlfn.XLOOKUP($I234,$A:$A,D:D)</f>
        <v>2</v>
      </c>
      <c r="M234" t="str">
        <f>_xlfn.XLOOKUP($I234,$A:$A,E:E)</f>
        <v>L2</v>
      </c>
    </row>
    <row r="235" spans="1:13" customFormat="1" ht="20.25">
      <c r="A235" s="34">
        <v>234</v>
      </c>
      <c r="B235" s="33" t="s">
        <v>311</v>
      </c>
      <c r="C235" s="34">
        <v>67</v>
      </c>
      <c r="D235" s="33">
        <v>15</v>
      </c>
      <c r="E235" s="33" t="s">
        <v>1413</v>
      </c>
      <c r="I235">
        <v>226</v>
      </c>
      <c r="J235" t="str">
        <f>_xlfn.XLOOKUP($I235,$A:$A,B:B)</f>
        <v>edad</v>
      </c>
      <c r="K235">
        <f>_xlfn.XLOOKUP($I235,$A:$A,C:C)</f>
        <v>69</v>
      </c>
      <c r="L235">
        <f>_xlfn.XLOOKUP($I235,$A:$A,D:D)</f>
        <v>12</v>
      </c>
      <c r="M235" t="str">
        <f>_xlfn.XLOOKUP($I235,$A:$A,E:E)</f>
        <v>L1</v>
      </c>
    </row>
    <row r="236" spans="1:13" customFormat="1" ht="20.25">
      <c r="A236" s="34">
        <v>235</v>
      </c>
      <c r="B236" s="33" t="s">
        <v>312</v>
      </c>
      <c r="C236" s="34"/>
      <c r="D236" s="33">
        <v>13</v>
      </c>
      <c r="E236" s="33" t="s">
        <v>1413</v>
      </c>
      <c r="I236">
        <v>377</v>
      </c>
      <c r="J236" t="str">
        <f>_xlfn.XLOOKUP($I236,$A:$A,B:B)</f>
        <v>edición</v>
      </c>
      <c r="K236">
        <f>_xlfn.XLOOKUP($I236,$A:$A,C:C)</f>
        <v>0</v>
      </c>
      <c r="L236">
        <f>_xlfn.XLOOKUP($I236,$A:$A,D:D)</f>
        <v>3</v>
      </c>
      <c r="M236" t="str">
        <f>_xlfn.XLOOKUP($I236,$A:$A,E:E)</f>
        <v>L2</v>
      </c>
    </row>
    <row r="237" spans="1:13" customFormat="1" ht="20.25">
      <c r="A237" s="34">
        <v>236</v>
      </c>
      <c r="B237" s="33" t="s">
        <v>313</v>
      </c>
      <c r="C237" s="34">
        <v>66</v>
      </c>
      <c r="D237" s="33">
        <v>6</v>
      </c>
      <c r="E237" s="33" t="s">
        <v>1416</v>
      </c>
      <c r="I237">
        <v>314</v>
      </c>
      <c r="J237" t="str">
        <f>_xlfn.XLOOKUP($I237,$A:$A,B:B)</f>
        <v>edificio</v>
      </c>
      <c r="K237">
        <f>_xlfn.XLOOKUP($I237,$A:$A,C:C)</f>
        <v>53</v>
      </c>
      <c r="L237">
        <f>_xlfn.XLOOKUP($I237,$A:$A,D:D)</f>
        <v>6</v>
      </c>
      <c r="M237" t="str">
        <f>_xlfn.XLOOKUP($I237,$A:$A,E:E)</f>
        <v>L1</v>
      </c>
    </row>
    <row r="238" spans="1:13" customFormat="1" ht="20.25">
      <c r="A238" s="34">
        <v>237</v>
      </c>
      <c r="B238" s="33" t="s">
        <v>314</v>
      </c>
      <c r="C238" s="34">
        <v>66</v>
      </c>
      <c r="D238" s="33">
        <v>1</v>
      </c>
      <c r="E238" s="33" t="s">
        <v>1416</v>
      </c>
      <c r="I238">
        <v>960</v>
      </c>
      <c r="J238" t="str">
        <f>_xlfn.XLOOKUP($I238,$A:$A,B:B)</f>
        <v>edificios</v>
      </c>
      <c r="K238">
        <f>_xlfn.XLOOKUP($I238,$A:$A,C:C)</f>
        <v>21</v>
      </c>
      <c r="L238">
        <f>_xlfn.XLOOKUP($I238,$A:$A,D:D)</f>
        <v>10</v>
      </c>
      <c r="M238" t="str">
        <f>_xlfn.XLOOKUP($I238,$A:$A,E:E)</f>
        <v>L2</v>
      </c>
    </row>
    <row r="239" spans="1:13" customFormat="1" ht="20.25">
      <c r="A239" s="34">
        <v>238</v>
      </c>
      <c r="B239" s="33" t="s">
        <v>315</v>
      </c>
      <c r="C239" s="34">
        <v>66</v>
      </c>
      <c r="D239" s="33">
        <v>7</v>
      </c>
      <c r="E239" s="33" t="s">
        <v>1416</v>
      </c>
      <c r="I239">
        <v>409</v>
      </c>
      <c r="J239" t="str">
        <f>_xlfn.XLOOKUP($I239,$A:$A,B:B)</f>
        <v>educación</v>
      </c>
      <c r="K239">
        <f>_xlfn.XLOOKUP($I239,$A:$A,C:C)</f>
        <v>42</v>
      </c>
      <c r="L239">
        <f>_xlfn.XLOOKUP($I239,$A:$A,D:D)</f>
        <v>7</v>
      </c>
      <c r="M239" t="str">
        <f>_xlfn.XLOOKUP($I239,$A:$A,E:E)</f>
        <v>L2</v>
      </c>
    </row>
    <row r="240" spans="1:13" customFormat="1" ht="20.25">
      <c r="A240" s="34">
        <v>239</v>
      </c>
      <c r="B240" s="33" t="s">
        <v>316</v>
      </c>
      <c r="C240" s="34"/>
      <c r="D240" s="33">
        <v>3</v>
      </c>
      <c r="E240" s="33" t="s">
        <v>1416</v>
      </c>
      <c r="I240">
        <v>505</v>
      </c>
      <c r="J240" t="str">
        <f>_xlfn.XLOOKUP($I240,$A:$A,B:B)</f>
        <v>efecto</v>
      </c>
      <c r="K240">
        <f>_xlfn.XLOOKUP($I240,$A:$A,C:C)</f>
        <v>36</v>
      </c>
      <c r="L240">
        <f>_xlfn.XLOOKUP($I240,$A:$A,D:D)</f>
        <v>6</v>
      </c>
      <c r="M240" t="str">
        <f>_xlfn.XLOOKUP($I240,$A:$A,E:E)</f>
        <v>L2</v>
      </c>
    </row>
    <row r="241" spans="1:13" customFormat="1" ht="20.25">
      <c r="A241" s="34">
        <v>240</v>
      </c>
      <c r="B241" s="33" t="s">
        <v>317</v>
      </c>
      <c r="C241" s="34">
        <v>65</v>
      </c>
      <c r="D241" s="33">
        <v>6</v>
      </c>
      <c r="E241" s="33" t="s">
        <v>1419</v>
      </c>
      <c r="I241">
        <v>816</v>
      </c>
      <c r="J241" t="str">
        <f>_xlfn.XLOOKUP($I241,$A:$A,B:B)</f>
        <v>efectos</v>
      </c>
      <c r="K241">
        <f>_xlfn.XLOOKUP($I241,$A:$A,C:C)</f>
        <v>24</v>
      </c>
      <c r="L241">
        <f>_xlfn.XLOOKUP($I241,$A:$A,D:D)</f>
        <v>6</v>
      </c>
      <c r="M241" t="str">
        <f>_xlfn.XLOOKUP($I241,$A:$A,E:E)</f>
        <v>L3</v>
      </c>
    </row>
    <row r="242" spans="1:13" customFormat="1" ht="20.25">
      <c r="A242" s="34">
        <v>241</v>
      </c>
      <c r="B242" s="33" t="s">
        <v>318</v>
      </c>
      <c r="C242" s="34">
        <v>65</v>
      </c>
      <c r="D242" s="33">
        <v>13</v>
      </c>
      <c r="E242" s="33" t="s">
        <v>1413</v>
      </c>
      <c r="I242">
        <v>961</v>
      </c>
      <c r="J242" t="str">
        <f>_xlfn.XLOOKUP($I242,$A:$A,B:B)</f>
        <v>eje</v>
      </c>
      <c r="K242">
        <f>_xlfn.XLOOKUP($I242,$A:$A,C:C)</f>
        <v>21</v>
      </c>
      <c r="L242">
        <f>_xlfn.XLOOKUP($I242,$A:$A,D:D)</f>
        <v>6</v>
      </c>
      <c r="M242" t="str">
        <f>_xlfn.XLOOKUP($I242,$A:$A,E:E)</f>
        <v>L3</v>
      </c>
    </row>
    <row r="243" spans="1:13" customFormat="1" ht="20.25">
      <c r="A243" s="34">
        <v>242</v>
      </c>
      <c r="B243" s="33" t="s">
        <v>319</v>
      </c>
      <c r="C243" s="34">
        <v>65</v>
      </c>
      <c r="D243" s="33">
        <v>13</v>
      </c>
      <c r="E243" s="33" t="s">
        <v>1413</v>
      </c>
      <c r="I243">
        <v>325</v>
      </c>
      <c r="J243" t="str">
        <f>_xlfn.XLOOKUP($I243,$A:$A,B:B)</f>
        <v>ejemplo</v>
      </c>
      <c r="K243">
        <f>_xlfn.XLOOKUP($I243,$A:$A,C:C)</f>
        <v>51</v>
      </c>
      <c r="L243">
        <f>_xlfn.XLOOKUP($I243,$A:$A,D:D)</f>
        <v>7</v>
      </c>
      <c r="M243" t="str">
        <f>_xlfn.XLOOKUP($I243,$A:$A,E:E)</f>
        <v>L1</v>
      </c>
    </row>
    <row r="244" spans="1:13" customFormat="1" ht="20.25">
      <c r="A244" s="34">
        <v>243</v>
      </c>
      <c r="B244" s="33" t="s">
        <v>320</v>
      </c>
      <c r="C244" s="34">
        <v>65</v>
      </c>
      <c r="D244" s="33">
        <v>13</v>
      </c>
      <c r="E244" s="33" t="s">
        <v>1413</v>
      </c>
      <c r="I244">
        <v>347</v>
      </c>
      <c r="J244" t="str">
        <f>_xlfn.XLOOKUP($I244,$A:$A,B:B)</f>
        <v>ejército</v>
      </c>
      <c r="K244">
        <f>_xlfn.XLOOKUP($I244,$A:$A,C:C)</f>
        <v>48</v>
      </c>
      <c r="L244">
        <f>_xlfn.XLOOKUP($I244,$A:$A,D:D)</f>
        <v>1</v>
      </c>
      <c r="M244" t="str">
        <f>_xlfn.XLOOKUP($I244,$A:$A,E:E)</f>
        <v>L2</v>
      </c>
    </row>
    <row r="245" spans="1:13" customFormat="1" ht="20.25">
      <c r="A245" s="34">
        <v>244</v>
      </c>
      <c r="B245" s="33" t="s">
        <v>321</v>
      </c>
      <c r="C245" s="34">
        <v>65</v>
      </c>
      <c r="D245" s="33">
        <v>9</v>
      </c>
      <c r="E245" s="33" t="s">
        <v>1416</v>
      </c>
      <c r="I245">
        <v>4</v>
      </c>
      <c r="J245" t="str">
        <f>_xlfn.XLOOKUP($I245,$A:$A,B:B)</f>
        <v>el</v>
      </c>
      <c r="K245">
        <f>_xlfn.XLOOKUP($I245,$A:$A,C:C)</f>
        <v>5435</v>
      </c>
      <c r="L245">
        <f>_xlfn.XLOOKUP($I245,$A:$A,D:D)</f>
        <v>12</v>
      </c>
      <c r="M245" t="str">
        <f>_xlfn.XLOOKUP($I245,$A:$A,E:E)</f>
        <v>L1</v>
      </c>
    </row>
    <row r="246" spans="1:13" customFormat="1" ht="20.25">
      <c r="A246" s="34">
        <v>245</v>
      </c>
      <c r="B246" s="33" t="s">
        <v>322</v>
      </c>
      <c r="C246" s="34">
        <v>65</v>
      </c>
      <c r="D246" s="33">
        <v>13</v>
      </c>
      <c r="E246" s="33" t="s">
        <v>1413</v>
      </c>
      <c r="I246">
        <v>94</v>
      </c>
      <c r="J246" t="str">
        <f>_xlfn.XLOOKUP($I246,$A:$A,B:B)</f>
        <v>él</v>
      </c>
      <c r="K246">
        <f>_xlfn.XLOOKUP($I246,$A:$A,C:C)</f>
        <v>134</v>
      </c>
      <c r="L246">
        <f>_xlfn.XLOOKUP($I246,$A:$A,D:D)</f>
        <v>15</v>
      </c>
      <c r="M246" t="str">
        <f>_xlfn.XLOOKUP($I246,$A:$A,E:E)</f>
        <v>L1</v>
      </c>
    </row>
    <row r="247" spans="1:13" customFormat="1" ht="20.25">
      <c r="A247" s="34">
        <v>246</v>
      </c>
      <c r="B247" s="33" t="s">
        <v>323</v>
      </c>
      <c r="C247" s="34">
        <v>65</v>
      </c>
      <c r="D247" s="33">
        <v>13</v>
      </c>
      <c r="E247" s="33" t="s">
        <v>1413</v>
      </c>
      <c r="I247">
        <v>773</v>
      </c>
      <c r="J247" t="str">
        <f>_xlfn.XLOOKUP($I247,$A:$A,B:B)</f>
        <v>elecciones</v>
      </c>
      <c r="K247">
        <f>_xlfn.XLOOKUP($I247,$A:$A,C:C)</f>
        <v>26</v>
      </c>
      <c r="L247">
        <f>_xlfn.XLOOKUP($I247,$A:$A,D:D)</f>
        <v>1</v>
      </c>
      <c r="M247" t="str">
        <f>_xlfn.XLOOKUP($I247,$A:$A,E:E)</f>
        <v>L2</v>
      </c>
    </row>
    <row r="248" spans="1:13" customFormat="1" ht="20.25">
      <c r="A248" s="34">
        <v>247</v>
      </c>
      <c r="B248" s="33" t="s">
        <v>324</v>
      </c>
      <c r="C248" s="34">
        <v>64</v>
      </c>
      <c r="D248" s="33">
        <v>9</v>
      </c>
      <c r="E248" s="33" t="s">
        <v>1413</v>
      </c>
      <c r="I248">
        <v>868</v>
      </c>
      <c r="J248" t="str">
        <f>_xlfn.XLOOKUP($I248,$A:$A,B:B)</f>
        <v>elegido</v>
      </c>
      <c r="K248">
        <f>_xlfn.XLOOKUP($I248,$A:$A,C:C)</f>
        <v>23</v>
      </c>
      <c r="L248">
        <f>_xlfn.XLOOKUP($I248,$A:$A,D:D)</f>
        <v>1</v>
      </c>
      <c r="M248" t="str">
        <f>_xlfn.XLOOKUP($I248,$A:$A,E:E)</f>
        <v>L2</v>
      </c>
    </row>
    <row r="249" spans="1:13" customFormat="1" ht="20.25">
      <c r="A249" s="34">
        <v>248</v>
      </c>
      <c r="B249" s="33" t="s">
        <v>325</v>
      </c>
      <c r="C249" s="34">
        <v>64</v>
      </c>
      <c r="D249" s="33">
        <v>12</v>
      </c>
      <c r="E249" s="33" t="s">
        <v>1413</v>
      </c>
      <c r="I249">
        <v>459</v>
      </c>
      <c r="J249" t="str">
        <f>_xlfn.XLOOKUP($I249,$A:$A,B:B)</f>
        <v>elementos</v>
      </c>
      <c r="K249">
        <f>_xlfn.XLOOKUP($I249,$A:$A,C:C)</f>
        <v>39</v>
      </c>
      <c r="L249">
        <f>_xlfn.XLOOKUP($I249,$A:$A,D:D)</f>
        <v>6</v>
      </c>
      <c r="M249" t="str">
        <f>_xlfn.XLOOKUP($I249,$A:$A,E:E)</f>
        <v>L2</v>
      </c>
    </row>
    <row r="250" spans="1:13" customFormat="1" ht="20.25">
      <c r="A250" s="34">
        <v>249</v>
      </c>
      <c r="B250" s="33" t="s">
        <v>326</v>
      </c>
      <c r="C250" s="34">
        <v>64</v>
      </c>
      <c r="D250" s="33">
        <v>13</v>
      </c>
      <c r="E250" s="33" t="s">
        <v>1413</v>
      </c>
      <c r="I250">
        <v>546</v>
      </c>
      <c r="J250" t="str">
        <f>_xlfn.XLOOKUP($I250,$A:$A,B:B)</f>
        <v>Ella</v>
      </c>
      <c r="K250">
        <f>_xlfn.XLOOKUP($I250,$A:$A,C:C)</f>
        <v>34</v>
      </c>
      <c r="L250">
        <f>_xlfn.XLOOKUP($I250,$A:$A,D:D)</f>
        <v>12</v>
      </c>
      <c r="M250" t="str">
        <f>_xlfn.XLOOKUP($I250,$A:$A,E:E)</f>
        <v>L1</v>
      </c>
    </row>
    <row r="251" spans="1:13" customFormat="1" ht="20.25">
      <c r="A251" s="34">
        <v>250</v>
      </c>
      <c r="B251" s="33" t="s">
        <v>327</v>
      </c>
      <c r="C251" s="34">
        <v>64</v>
      </c>
      <c r="D251" s="33">
        <v>1</v>
      </c>
      <c r="E251" s="33" t="s">
        <v>1413</v>
      </c>
      <c r="I251">
        <v>584</v>
      </c>
      <c r="J251" t="str">
        <f>_xlfn.XLOOKUP($I251,$A:$A,B:B)</f>
        <v>ellas</v>
      </c>
      <c r="K251">
        <f>_xlfn.XLOOKUP($I251,$A:$A,C:C)</f>
        <v>31</v>
      </c>
      <c r="L251">
        <f>_xlfn.XLOOKUP($I251,$A:$A,D:D)</f>
        <v>12</v>
      </c>
      <c r="M251" t="str">
        <f>_xlfn.XLOOKUP($I251,$A:$A,E:E)</f>
        <v>L1</v>
      </c>
    </row>
    <row r="252" spans="1:13" customFormat="1" ht="20.25">
      <c r="A252" s="34">
        <v>251</v>
      </c>
      <c r="B252" s="33" t="s">
        <v>328</v>
      </c>
      <c r="C252" s="34">
        <v>64</v>
      </c>
      <c r="D252" s="33">
        <v>1</v>
      </c>
      <c r="E252" s="33" t="s">
        <v>1416</v>
      </c>
      <c r="I252">
        <v>329</v>
      </c>
      <c r="J252" t="str">
        <f>_xlfn.XLOOKUP($I252,$A:$A,B:B)</f>
        <v>ello</v>
      </c>
      <c r="K252">
        <f>_xlfn.XLOOKUP($I252,$A:$A,C:C)</f>
        <v>51</v>
      </c>
      <c r="L252">
        <f>_xlfn.XLOOKUP($I252,$A:$A,D:D)</f>
        <v>12</v>
      </c>
      <c r="M252" t="str">
        <f>_xlfn.XLOOKUP($I252,$A:$A,E:E)</f>
        <v>L2</v>
      </c>
    </row>
    <row r="253" spans="1:13" customFormat="1" ht="20.25">
      <c r="A253" s="34">
        <v>252</v>
      </c>
      <c r="B253" s="33" t="s">
        <v>329</v>
      </c>
      <c r="C253" s="34">
        <v>63</v>
      </c>
      <c r="D253" s="33">
        <v>13</v>
      </c>
      <c r="E253" s="33" t="s">
        <v>1413</v>
      </c>
      <c r="I253">
        <v>141</v>
      </c>
      <c r="J253" t="str">
        <f>_xlfn.XLOOKUP($I253,$A:$A,B:B)</f>
        <v>ellos</v>
      </c>
      <c r="K253">
        <f>_xlfn.XLOOKUP($I253,$A:$A,C:C)</f>
        <v>95</v>
      </c>
      <c r="L253">
        <f>_xlfn.XLOOKUP($I253,$A:$A,D:D)</f>
        <v>12</v>
      </c>
      <c r="M253" t="str">
        <f>_xlfn.XLOOKUP($I253,$A:$A,E:E)</f>
        <v>L1</v>
      </c>
    </row>
    <row r="254" spans="1:13" customFormat="1" ht="20.25">
      <c r="A254" s="34">
        <v>253</v>
      </c>
      <c r="B254" s="33" t="s">
        <v>330</v>
      </c>
      <c r="C254" s="34">
        <v>62</v>
      </c>
      <c r="D254" s="33">
        <v>13</v>
      </c>
      <c r="E254" s="33" t="s">
        <v>1416</v>
      </c>
      <c r="I254">
        <v>71</v>
      </c>
      <c r="J254" t="str">
        <f>_xlfn.XLOOKUP($I254,$A:$A,B:B)</f>
        <v>embargo</v>
      </c>
      <c r="K254">
        <f>_xlfn.XLOOKUP($I254,$A:$A,C:C)</f>
        <v>171</v>
      </c>
      <c r="L254">
        <f>_xlfn.XLOOKUP($I254,$A:$A,D:D)</f>
        <v>2</v>
      </c>
      <c r="M254" t="str">
        <f>_xlfn.XLOOKUP($I254,$A:$A,E:E)</f>
        <v>L2</v>
      </c>
    </row>
    <row r="255" spans="1:13" customFormat="1" ht="20.25">
      <c r="A255" s="34">
        <v>254</v>
      </c>
      <c r="B255" s="33" t="s">
        <v>331</v>
      </c>
      <c r="C255" s="34">
        <v>62</v>
      </c>
      <c r="D255" s="33">
        <v>10</v>
      </c>
      <c r="E255" s="33" t="s">
        <v>1416</v>
      </c>
      <c r="I255">
        <v>774</v>
      </c>
      <c r="J255" t="str">
        <f>_xlfn.XLOOKUP($I255,$A:$A,B:B)</f>
        <v>empezó</v>
      </c>
      <c r="K255">
        <f>_xlfn.XLOOKUP($I255,$A:$A,C:C)</f>
        <v>26</v>
      </c>
      <c r="L255">
        <f>_xlfn.XLOOKUP($I255,$A:$A,D:D)</f>
        <v>9</v>
      </c>
      <c r="M255" t="str">
        <f>_xlfn.XLOOKUP($I255,$A:$A,E:E)</f>
        <v>L1</v>
      </c>
    </row>
    <row r="256" spans="1:13" customFormat="1" ht="20.25">
      <c r="A256" s="34">
        <v>255</v>
      </c>
      <c r="B256" s="33" t="s">
        <v>332</v>
      </c>
      <c r="C256" s="34">
        <v>62</v>
      </c>
      <c r="D256" s="33">
        <v>3</v>
      </c>
      <c r="E256" s="33" t="s">
        <v>1416</v>
      </c>
      <c r="I256">
        <v>446</v>
      </c>
      <c r="J256" t="str">
        <f>_xlfn.XLOOKUP($I256,$A:$A,B:B)</f>
        <v>empresa</v>
      </c>
      <c r="K256">
        <f>_xlfn.XLOOKUP($I256,$A:$A,C:C)</f>
        <v>40</v>
      </c>
      <c r="L256">
        <f>_xlfn.XLOOKUP($I256,$A:$A,D:D)</f>
        <v>5</v>
      </c>
      <c r="M256" t="str">
        <f>_xlfn.XLOOKUP($I256,$A:$A,E:E)</f>
        <v>L2</v>
      </c>
    </row>
    <row r="257" spans="1:13" customFormat="1" ht="20.25">
      <c r="A257" s="34">
        <v>256</v>
      </c>
      <c r="B257" s="33" t="s">
        <v>333</v>
      </c>
      <c r="C257" s="34">
        <v>62</v>
      </c>
      <c r="D257" s="33">
        <v>1</v>
      </c>
      <c r="E257" s="33" t="s">
        <v>1416</v>
      </c>
      <c r="I257">
        <v>869</v>
      </c>
      <c r="J257" t="str">
        <f>_xlfn.XLOOKUP($I257,$A:$A,B:B)</f>
        <v>empresas</v>
      </c>
      <c r="K257">
        <f>_xlfn.XLOOKUP($I257,$A:$A,C:C)</f>
        <v>23</v>
      </c>
      <c r="L257">
        <f>_xlfn.XLOOKUP($I257,$A:$A,D:D)</f>
        <v>5</v>
      </c>
      <c r="M257" t="str">
        <f>_xlfn.XLOOKUP($I257,$A:$A,E:E)</f>
        <v>L2</v>
      </c>
    </row>
    <row r="258" spans="1:13" customFormat="1" ht="20.25">
      <c r="A258" s="34"/>
      <c r="B258" s="33"/>
      <c r="C258" s="34"/>
      <c r="D258" s="33"/>
      <c r="E258" s="33"/>
      <c r="I258">
        <v>3</v>
      </c>
      <c r="J258" t="str">
        <f>_xlfn.XLOOKUP($I258,$A:$A,B:B)</f>
        <v>en</v>
      </c>
      <c r="K258">
        <f>_xlfn.XLOOKUP($I258,$A:$A,C:C)</f>
        <v>5973</v>
      </c>
      <c r="L258">
        <f>_xlfn.XLOOKUP($I258,$A:$A,D:D)</f>
        <v>10</v>
      </c>
      <c r="M258" t="str">
        <f>_xlfn.XLOOKUP($I258,$A:$A,E:E)</f>
        <v>L1</v>
      </c>
    </row>
    <row r="259" spans="1:13" customFormat="1" ht="20.25">
      <c r="A259" s="34"/>
      <c r="B259" s="33"/>
      <c r="C259" s="34"/>
      <c r="D259" s="33"/>
      <c r="E259" s="33"/>
      <c r="I259">
        <v>638</v>
      </c>
      <c r="J259" t="str">
        <f>_xlfn.XLOOKUP($I259,$A:$A,B:B)</f>
        <v>encontrar</v>
      </c>
      <c r="K259">
        <f>_xlfn.XLOOKUP($I259,$A:$A,C:C)</f>
        <v>30</v>
      </c>
      <c r="L259">
        <f>_xlfn.XLOOKUP($I259,$A:$A,D:D)</f>
        <v>6</v>
      </c>
      <c r="M259" t="str">
        <f>_xlfn.XLOOKUP($I259,$A:$A,E:E)</f>
        <v>L2</v>
      </c>
    </row>
    <row r="260" spans="1:13" customFormat="1" ht="20.25">
      <c r="A260" s="34">
        <v>260</v>
      </c>
      <c r="B260" s="33" t="s">
        <v>337</v>
      </c>
      <c r="C260" s="34">
        <v>61</v>
      </c>
      <c r="D260" s="33">
        <v>9</v>
      </c>
      <c r="E260" s="33" t="s">
        <v>1416</v>
      </c>
      <c r="I260">
        <v>142</v>
      </c>
      <c r="J260" t="str">
        <f>_xlfn.XLOOKUP($I260,$A:$A,B:B)</f>
        <v>encuentra</v>
      </c>
      <c r="K260">
        <f>_xlfn.XLOOKUP($I260,$A:$A,C:C)</f>
        <v>95</v>
      </c>
      <c r="L260">
        <f>_xlfn.XLOOKUP($I260,$A:$A,D:D)</f>
        <v>13</v>
      </c>
      <c r="M260" t="str">
        <f>_xlfn.XLOOKUP($I260,$A:$A,E:E)</f>
        <v>L2</v>
      </c>
    </row>
    <row r="261" spans="1:13" customFormat="1" ht="20.25">
      <c r="A261" s="34">
        <v>261</v>
      </c>
      <c r="B261" s="33" t="s">
        <v>338</v>
      </c>
      <c r="C261" s="34">
        <v>61</v>
      </c>
      <c r="D261" s="33">
        <v>12</v>
      </c>
      <c r="E261" s="33" t="s">
        <v>1413</v>
      </c>
      <c r="I261">
        <v>253</v>
      </c>
      <c r="J261" t="str">
        <f>_xlfn.XLOOKUP($I261,$A:$A,B:B)</f>
        <v>encuentran</v>
      </c>
      <c r="K261">
        <f>_xlfn.XLOOKUP($I261,$A:$A,C:C)</f>
        <v>62</v>
      </c>
      <c r="L261">
        <f>_xlfn.XLOOKUP($I261,$A:$A,D:D)</f>
        <v>13</v>
      </c>
      <c r="M261" t="str">
        <f>_xlfn.XLOOKUP($I261,$A:$A,E:E)</f>
        <v>L2</v>
      </c>
    </row>
    <row r="262" spans="1:13" customFormat="1" ht="20.25">
      <c r="A262" s="34">
        <v>262</v>
      </c>
      <c r="B262" s="33" t="s">
        <v>339</v>
      </c>
      <c r="C262" s="34">
        <v>61</v>
      </c>
      <c r="D262" s="33">
        <v>9</v>
      </c>
      <c r="E262" s="33" t="s">
        <v>1413</v>
      </c>
      <c r="I262">
        <v>775</v>
      </c>
      <c r="J262" t="str">
        <f>_xlfn.XLOOKUP($I262,$A:$A,B:B)</f>
        <v>energía</v>
      </c>
      <c r="K262">
        <f>_xlfn.XLOOKUP($I262,$A:$A,C:C)</f>
        <v>26</v>
      </c>
      <c r="L262">
        <f>_xlfn.XLOOKUP($I262,$A:$A,D:D)</f>
        <v>6</v>
      </c>
      <c r="M262" t="str">
        <f>_xlfn.XLOOKUP($I262,$A:$A,E:E)</f>
        <v>L2</v>
      </c>
    </row>
    <row r="263" spans="1:13" customFormat="1" ht="20.25">
      <c r="A263" s="34">
        <v>263</v>
      </c>
      <c r="B263" s="33" t="s">
        <v>340</v>
      </c>
      <c r="C263" s="34">
        <v>61</v>
      </c>
      <c r="D263" s="33">
        <v>5</v>
      </c>
      <c r="E263" s="33" t="s">
        <v>1416</v>
      </c>
      <c r="I263">
        <v>202</v>
      </c>
      <c r="J263" t="str">
        <f>_xlfn.XLOOKUP($I263,$A:$A,B:B)</f>
        <v>enero</v>
      </c>
      <c r="K263">
        <f>_xlfn.XLOOKUP($I263,$A:$A,C:C)</f>
        <v>76</v>
      </c>
      <c r="L263">
        <f>_xlfn.XLOOKUP($I263,$A:$A,D:D)</f>
        <v>13</v>
      </c>
      <c r="M263" t="str">
        <f>_xlfn.XLOOKUP($I263,$A:$A,E:E)</f>
        <v>L1</v>
      </c>
    </row>
    <row r="264" spans="1:13" customFormat="1" ht="20.25">
      <c r="A264" s="34">
        <v>264</v>
      </c>
      <c r="B264" s="33" t="s">
        <v>341</v>
      </c>
      <c r="C264" s="34"/>
      <c r="D264" s="33">
        <v>9</v>
      </c>
      <c r="E264" s="33" t="s">
        <v>1413</v>
      </c>
      <c r="I264">
        <v>123</v>
      </c>
      <c r="J264" t="str">
        <f>_xlfn.XLOOKUP($I264,$A:$A,B:B)</f>
        <v>entonces</v>
      </c>
      <c r="K264">
        <f>_xlfn.XLOOKUP($I264,$A:$A,C:C)</f>
        <v>105</v>
      </c>
      <c r="L264">
        <f>_xlfn.XLOOKUP($I264,$A:$A,D:D)</f>
        <v>9</v>
      </c>
      <c r="M264" t="str">
        <f>_xlfn.XLOOKUP($I264,$A:$A,E:E)</f>
        <v>L1</v>
      </c>
    </row>
    <row r="265" spans="1:13" customFormat="1" ht="20.25">
      <c r="A265" s="34">
        <v>265</v>
      </c>
      <c r="B265" s="33" t="s">
        <v>342</v>
      </c>
      <c r="C265" s="34">
        <v>60</v>
      </c>
      <c r="D265" s="33">
        <v>7</v>
      </c>
      <c r="E265" s="33" t="s">
        <v>1416</v>
      </c>
      <c r="I265">
        <v>870</v>
      </c>
      <c r="J265" t="str">
        <f>_xlfn.XLOOKUP($I265,$A:$A,B:B)</f>
        <v>entorno</v>
      </c>
      <c r="K265">
        <f>_xlfn.XLOOKUP($I265,$A:$A,C:C)</f>
        <v>23</v>
      </c>
      <c r="L265">
        <f>_xlfn.XLOOKUP($I265,$A:$A,D:D)</f>
        <v>10</v>
      </c>
      <c r="M265" t="str">
        <f>_xlfn.XLOOKUP($I265,$A:$A,E:E)</f>
        <v>L3</v>
      </c>
    </row>
    <row r="266" spans="1:13" customFormat="1" ht="20.25">
      <c r="A266" s="34">
        <v>266</v>
      </c>
      <c r="B266" s="33" t="s">
        <v>343</v>
      </c>
      <c r="C266" s="34">
        <v>60</v>
      </c>
      <c r="D266" s="33">
        <v>3</v>
      </c>
      <c r="E266" s="33" t="s">
        <v>1413</v>
      </c>
      <c r="I266">
        <v>490</v>
      </c>
      <c r="J266" t="str">
        <f>_xlfn.XLOOKUP($I266,$A:$A,B:B)</f>
        <v>entrada</v>
      </c>
      <c r="K266">
        <f>_xlfn.XLOOKUP($I266,$A:$A,C:C)</f>
        <v>37</v>
      </c>
      <c r="L266">
        <f>_xlfn.XLOOKUP($I266,$A:$A,D:D)</f>
        <v>13</v>
      </c>
      <c r="M266" t="str">
        <f>_xlfn.XLOOKUP($I266,$A:$A,E:E)</f>
        <v>L1</v>
      </c>
    </row>
    <row r="267" spans="1:13" customFormat="1" ht="20.25">
      <c r="A267" s="34">
        <v>267</v>
      </c>
      <c r="B267" s="33" t="s">
        <v>344</v>
      </c>
      <c r="C267" s="34">
        <v>60</v>
      </c>
      <c r="D267" s="33">
        <v>3</v>
      </c>
      <c r="E267" s="33" t="s">
        <v>1416</v>
      </c>
      <c r="I267">
        <v>33</v>
      </c>
      <c r="J267" t="str">
        <f>_xlfn.XLOOKUP($I267,$A:$A,B:B)</f>
        <v>entre</v>
      </c>
      <c r="K267">
        <f>_xlfn.XLOOKUP($I267,$A:$A,C:C)</f>
        <v>373</v>
      </c>
      <c r="L267">
        <f>_xlfn.XLOOKUP($I267,$A:$A,D:D)</f>
        <v>12</v>
      </c>
      <c r="M267" t="str">
        <f>_xlfn.XLOOKUP($I267,$A:$A,E:E)</f>
        <v>L2</v>
      </c>
    </row>
    <row r="268" spans="1:13" customFormat="1" ht="20.25">
      <c r="A268" s="34">
        <v>268</v>
      </c>
      <c r="B268" s="33" t="s">
        <v>345</v>
      </c>
      <c r="C268" s="34">
        <v>60</v>
      </c>
      <c r="D268" s="33">
        <v>6</v>
      </c>
      <c r="E268" s="33" t="s">
        <v>1416</v>
      </c>
      <c r="I268">
        <v>225</v>
      </c>
      <c r="J268" t="str">
        <f>_xlfn.XLOOKUP($I268,$A:$A,B:B)</f>
        <v>época</v>
      </c>
      <c r="K268">
        <f>_xlfn.XLOOKUP($I268,$A:$A,C:C)</f>
        <v>69</v>
      </c>
      <c r="L268">
        <f>_xlfn.XLOOKUP($I268,$A:$A,D:D)</f>
        <v>9</v>
      </c>
      <c r="M268" t="str">
        <f>_xlfn.XLOOKUP($I268,$A:$A,E:E)</f>
        <v>L2</v>
      </c>
    </row>
    <row r="269" spans="1:13" customFormat="1" ht="20.25">
      <c r="A269" s="34">
        <v>269</v>
      </c>
      <c r="B269" s="33" t="s">
        <v>346</v>
      </c>
      <c r="C269" s="34">
        <v>60</v>
      </c>
      <c r="D269" s="33">
        <v>9</v>
      </c>
      <c r="E269" s="33" t="s">
        <v>1416</v>
      </c>
      <c r="I269">
        <v>131</v>
      </c>
      <c r="J269" t="str">
        <f>_xlfn.XLOOKUP($I269,$A:$A,B:B)</f>
        <v>equipo</v>
      </c>
      <c r="K269">
        <f>_xlfn.XLOOKUP($I269,$A:$A,C:C)</f>
        <v>102</v>
      </c>
      <c r="L269">
        <f>_xlfn.XLOOKUP($I269,$A:$A,D:D)</f>
        <v>4</v>
      </c>
      <c r="M269" t="str">
        <f>_xlfn.XLOOKUP($I269,$A:$A,E:E)</f>
        <v>L2</v>
      </c>
    </row>
    <row r="270" spans="1:13" customFormat="1" ht="20.25">
      <c r="A270" s="34">
        <v>270</v>
      </c>
      <c r="B270" s="33" t="s">
        <v>347</v>
      </c>
      <c r="C270" s="34">
        <v>60</v>
      </c>
      <c r="D270" s="33">
        <v>9</v>
      </c>
      <c r="E270" s="33" t="s">
        <v>1413</v>
      </c>
      <c r="I270">
        <v>605</v>
      </c>
      <c r="J270" t="str">
        <f>_xlfn.XLOOKUP($I270,$A:$A,B:B)</f>
        <v>equipos</v>
      </c>
      <c r="K270">
        <f>_xlfn.XLOOKUP($I270,$A:$A,C:C)</f>
        <v>31</v>
      </c>
      <c r="L270">
        <f>_xlfn.XLOOKUP($I270,$A:$A,D:D)</f>
        <v>4</v>
      </c>
      <c r="M270" t="str">
        <f>_xlfn.XLOOKUP($I270,$A:$A,E:E)</f>
        <v>L2</v>
      </c>
    </row>
    <row r="271" spans="1:13" customFormat="1" ht="20.25">
      <c r="A271" s="34">
        <v>271</v>
      </c>
      <c r="B271" s="33" t="s">
        <v>348</v>
      </c>
      <c r="C271" s="34">
        <v>59</v>
      </c>
      <c r="D271" s="33">
        <v>7</v>
      </c>
      <c r="E271" s="33" t="s">
        <v>1416</v>
      </c>
      <c r="I271">
        <v>43</v>
      </c>
      <c r="J271" t="str">
        <f>_xlfn.XLOOKUP($I271,$A:$A,B:B)</f>
        <v>era</v>
      </c>
      <c r="K271">
        <f>_xlfn.XLOOKUP($I271,$A:$A,C:C)</f>
        <v>283</v>
      </c>
      <c r="L271">
        <f>_xlfn.XLOOKUP($I271,$A:$A,D:D)</f>
        <v>9</v>
      </c>
      <c r="M271" t="str">
        <f>_xlfn.XLOOKUP($I271,$A:$A,E:E)</f>
        <v>L1</v>
      </c>
    </row>
    <row r="272" spans="1:13" customFormat="1" ht="20.25">
      <c r="A272" s="34">
        <v>272</v>
      </c>
      <c r="B272" s="33" t="s">
        <v>349</v>
      </c>
      <c r="C272" s="34">
        <v>59</v>
      </c>
      <c r="D272" s="33">
        <v>2</v>
      </c>
      <c r="E272" s="33" t="s">
        <v>1413</v>
      </c>
      <c r="I272">
        <v>203</v>
      </c>
      <c r="J272" t="str">
        <f>_xlfn.XLOOKUP($I272,$A:$A,B:B)</f>
        <v>eran</v>
      </c>
      <c r="K272">
        <f>_xlfn.XLOOKUP($I272,$A:$A,C:C)</f>
        <v>76</v>
      </c>
      <c r="L272">
        <f>_xlfn.XLOOKUP($I272,$A:$A,D:D)</f>
        <v>9</v>
      </c>
      <c r="M272" t="str">
        <f>_xlfn.XLOOKUP($I272,$A:$A,E:E)</f>
        <v>L1</v>
      </c>
    </row>
    <row r="273" spans="1:13" customFormat="1" ht="20.25">
      <c r="A273" s="34">
        <v>273</v>
      </c>
      <c r="B273" s="33" t="s">
        <v>350</v>
      </c>
      <c r="C273" s="34">
        <v>58</v>
      </c>
      <c r="D273" s="33">
        <v>12</v>
      </c>
      <c r="E273" s="33" t="s">
        <v>1416</v>
      </c>
      <c r="I273">
        <v>18</v>
      </c>
      <c r="J273" t="str">
        <f>_xlfn.XLOOKUP($I273,$A:$A,B:B)</f>
        <v>es</v>
      </c>
      <c r="K273">
        <f>_xlfn.XLOOKUP($I273,$A:$A,C:C)</f>
        <v>1206</v>
      </c>
      <c r="L273">
        <f>_xlfn.XLOOKUP($I273,$A:$A,D:D)</f>
        <v>1</v>
      </c>
      <c r="M273" t="str">
        <f>_xlfn.XLOOKUP($I273,$A:$A,E:E)</f>
        <v>L1</v>
      </c>
    </row>
    <row r="274" spans="1:13" customFormat="1" ht="20.25">
      <c r="A274" s="34">
        <v>274</v>
      </c>
      <c r="B274" s="33" t="s">
        <v>351</v>
      </c>
      <c r="C274" s="34">
        <v>58</v>
      </c>
      <c r="D274" s="33">
        <v>4</v>
      </c>
      <c r="E274" s="33" t="s">
        <v>1413</v>
      </c>
      <c r="I274">
        <v>283</v>
      </c>
      <c r="J274" t="str">
        <f>_xlfn.XLOOKUP($I274,$A:$A,B:B)</f>
        <v>esa</v>
      </c>
      <c r="K274">
        <f>_xlfn.XLOOKUP($I274,$A:$A,C:C)</f>
        <v>57</v>
      </c>
      <c r="L274">
        <f>_xlfn.XLOOKUP($I274,$A:$A,D:D)</f>
        <v>12</v>
      </c>
      <c r="M274" t="str">
        <f>_xlfn.XLOOKUP($I274,$A:$A,E:E)</f>
        <v>L1</v>
      </c>
    </row>
    <row r="275" spans="1:13" customFormat="1" ht="20.25">
      <c r="A275" s="34">
        <v>275</v>
      </c>
      <c r="B275" s="33" t="s">
        <v>352</v>
      </c>
      <c r="C275" s="34">
        <v>58</v>
      </c>
      <c r="D275" s="33">
        <v>10</v>
      </c>
      <c r="E275" s="33" t="s">
        <v>1416</v>
      </c>
      <c r="I275">
        <v>871</v>
      </c>
      <c r="J275" t="str">
        <f>_xlfn.XLOOKUP($I275,$A:$A,B:B)</f>
        <v>escapar</v>
      </c>
      <c r="K275">
        <f>_xlfn.XLOOKUP($I275,$A:$A,C:C)</f>
        <v>23</v>
      </c>
      <c r="L275">
        <f>_xlfn.XLOOKUP($I275,$A:$A,D:D)</f>
        <v>8</v>
      </c>
      <c r="M275" t="str">
        <f>_xlfn.XLOOKUP($I275,$A:$A,E:E)</f>
        <v>L2</v>
      </c>
    </row>
    <row r="276" spans="1:13" customFormat="1" ht="20.25">
      <c r="A276" s="34">
        <v>276</v>
      </c>
      <c r="B276" s="33" t="s">
        <v>353</v>
      </c>
      <c r="C276" s="34">
        <v>58</v>
      </c>
      <c r="D276" s="33">
        <v>9</v>
      </c>
      <c r="E276" s="33" t="s">
        <v>1416</v>
      </c>
      <c r="I276">
        <v>776</v>
      </c>
      <c r="J276" t="str">
        <f>_xlfn.XLOOKUP($I276,$A:$A,B:B)</f>
        <v>escrito</v>
      </c>
      <c r="K276">
        <f>_xlfn.XLOOKUP($I276,$A:$A,C:C)</f>
        <v>25</v>
      </c>
      <c r="L276">
        <f>_xlfn.XLOOKUP($I276,$A:$A,D:D)</f>
        <v>3</v>
      </c>
      <c r="M276" t="str">
        <f>_xlfn.XLOOKUP($I276,$A:$A,E:E)</f>
        <v>L1</v>
      </c>
    </row>
    <row r="277" spans="1:13" customFormat="1" ht="20.25">
      <c r="A277" s="34">
        <v>277</v>
      </c>
      <c r="B277" s="33" t="s">
        <v>354</v>
      </c>
      <c r="C277" s="34">
        <v>58</v>
      </c>
      <c r="D277" s="33">
        <v>11</v>
      </c>
      <c r="E277" s="33" t="s">
        <v>1413</v>
      </c>
      <c r="I277">
        <v>330</v>
      </c>
      <c r="J277" t="str">
        <f>_xlfn.XLOOKUP($I277,$A:$A,B:B)</f>
        <v>escuela</v>
      </c>
      <c r="K277">
        <f>_xlfn.XLOOKUP($I277,$A:$A,C:C)</f>
        <v>0</v>
      </c>
      <c r="L277">
        <f>_xlfn.XLOOKUP($I277,$A:$A,D:D)</f>
        <v>7</v>
      </c>
      <c r="M277" t="str">
        <f>_xlfn.XLOOKUP($I277,$A:$A,E:E)</f>
        <v>L1</v>
      </c>
    </row>
    <row r="278" spans="1:13" customFormat="1" ht="20.25">
      <c r="A278" s="34">
        <v>278</v>
      </c>
      <c r="B278" s="33" t="s">
        <v>355</v>
      </c>
      <c r="C278" s="34">
        <v>58</v>
      </c>
      <c r="D278" s="33">
        <v>4</v>
      </c>
      <c r="E278" s="33" t="s">
        <v>1413</v>
      </c>
      <c r="I278">
        <v>737</v>
      </c>
      <c r="J278" t="str">
        <f>_xlfn.XLOOKUP($I278,$A:$A,B:B)</f>
        <v>escuelas</v>
      </c>
      <c r="K278">
        <f>_xlfn.XLOOKUP($I278,$A:$A,C:C)</f>
        <v>27</v>
      </c>
      <c r="L278">
        <f>_xlfn.XLOOKUP($I278,$A:$A,D:D)</f>
        <v>7</v>
      </c>
      <c r="M278" t="str">
        <f>_xlfn.XLOOKUP($I278,$A:$A,E:E)</f>
        <v>L1</v>
      </c>
    </row>
    <row r="279" spans="1:13" customFormat="1" ht="20.25">
      <c r="A279" s="34">
        <v>279</v>
      </c>
      <c r="B279" s="33" t="s">
        <v>356</v>
      </c>
      <c r="C279" s="34">
        <v>57</v>
      </c>
      <c r="D279" s="33">
        <v>9</v>
      </c>
      <c r="E279" s="33" t="s">
        <v>1413</v>
      </c>
      <c r="I279">
        <v>104</v>
      </c>
      <c r="J279" t="str">
        <f>_xlfn.XLOOKUP($I279,$A:$A,B:B)</f>
        <v>ese</v>
      </c>
      <c r="K279">
        <f>_xlfn.XLOOKUP($I279,$A:$A,C:C)</f>
        <v>122</v>
      </c>
      <c r="L279">
        <f>_xlfn.XLOOKUP($I279,$A:$A,D:D)</f>
        <v>13</v>
      </c>
      <c r="M279" t="str">
        <f>_xlfn.XLOOKUP($I279,$A:$A,E:E)</f>
        <v>L1</v>
      </c>
    </row>
    <row r="280" spans="1:13" customFormat="1" ht="20.25">
      <c r="A280" s="34">
        <v>280</v>
      </c>
      <c r="B280" s="33" t="s">
        <v>357</v>
      </c>
      <c r="C280" s="34">
        <v>57</v>
      </c>
      <c r="D280" s="33">
        <v>1</v>
      </c>
      <c r="E280" s="33" t="s">
        <v>1413</v>
      </c>
      <c r="I280">
        <v>676</v>
      </c>
      <c r="J280" t="str">
        <f>_xlfn.XLOOKUP($I280,$A:$A,B:B)</f>
        <v>eso</v>
      </c>
      <c r="K280">
        <f>_xlfn.XLOOKUP($I280,$A:$A,C:C)</f>
        <v>0</v>
      </c>
      <c r="L280">
        <f>_xlfn.XLOOKUP($I280,$A:$A,D:D)</f>
        <v>12</v>
      </c>
      <c r="M280" t="str">
        <f>_xlfn.XLOOKUP($I280,$A:$A,E:E)</f>
        <v>L1</v>
      </c>
    </row>
    <row r="281" spans="1:13" customFormat="1" ht="20.25">
      <c r="A281" s="34">
        <v>281</v>
      </c>
      <c r="B281" s="33" t="s">
        <v>358</v>
      </c>
      <c r="C281" s="34">
        <v>57</v>
      </c>
      <c r="D281" s="33">
        <v>10</v>
      </c>
      <c r="E281" s="33" t="s">
        <v>1413</v>
      </c>
      <c r="I281">
        <v>606</v>
      </c>
      <c r="J281" t="str">
        <f>_xlfn.XLOOKUP($I281,$A:$A,B:B)</f>
        <v>esos</v>
      </c>
      <c r="K281">
        <f>_xlfn.XLOOKUP($I281,$A:$A,C:C)</f>
        <v>31</v>
      </c>
      <c r="L281">
        <f>_xlfn.XLOOKUP($I281,$A:$A,D:D)</f>
        <v>12</v>
      </c>
      <c r="M281" t="str">
        <f>_xlfn.XLOOKUP($I281,$A:$A,E:E)</f>
        <v>L1</v>
      </c>
    </row>
    <row r="282" spans="1:13" customFormat="1" ht="20.25">
      <c r="A282" s="34">
        <v>282</v>
      </c>
      <c r="B282" s="33" t="s">
        <v>359</v>
      </c>
      <c r="C282" s="34">
        <v>57</v>
      </c>
      <c r="D282" s="33">
        <v>8</v>
      </c>
      <c r="E282" s="33" t="s">
        <v>1413</v>
      </c>
      <c r="I282">
        <v>337</v>
      </c>
      <c r="J282" t="str">
        <f>_xlfn.XLOOKUP($I282,$A:$A,B:B)</f>
        <v>espacio</v>
      </c>
      <c r="K282">
        <f>_xlfn.XLOOKUP($I282,$A:$A,C:C)</f>
        <v>50</v>
      </c>
      <c r="L282">
        <f>_xlfn.XLOOKUP($I282,$A:$A,D:D)</f>
        <v>6</v>
      </c>
      <c r="M282" t="str">
        <f>_xlfn.XLOOKUP($I282,$A:$A,E:E)</f>
        <v>L2</v>
      </c>
    </row>
    <row r="283" spans="1:13" customFormat="1" ht="20.25">
      <c r="A283" s="34">
        <v>283</v>
      </c>
      <c r="B283" s="33" t="s">
        <v>360</v>
      </c>
      <c r="C283" s="34">
        <v>57</v>
      </c>
      <c r="D283" s="33">
        <v>12</v>
      </c>
      <c r="E283" s="33" t="s">
        <v>1413</v>
      </c>
      <c r="I283">
        <v>280</v>
      </c>
      <c r="J283" t="str">
        <f>_xlfn.XLOOKUP($I283,$A:$A,B:B)</f>
        <v>España</v>
      </c>
      <c r="K283">
        <f>_xlfn.XLOOKUP($I283,$A:$A,C:C)</f>
        <v>57</v>
      </c>
      <c r="L283">
        <f>_xlfn.XLOOKUP($I283,$A:$A,D:D)</f>
        <v>1</v>
      </c>
      <c r="M283" t="str">
        <f>_xlfn.XLOOKUP($I283,$A:$A,E:E)</f>
        <v>L1</v>
      </c>
    </row>
    <row r="284" spans="1:13" customFormat="1" ht="20.25">
      <c r="A284" s="34">
        <v>284</v>
      </c>
      <c r="B284" s="33" t="s">
        <v>361</v>
      </c>
      <c r="C284" s="34">
        <v>56</v>
      </c>
      <c r="D284" s="33">
        <v>12</v>
      </c>
      <c r="E284" s="33" t="s">
        <v>1413</v>
      </c>
      <c r="I284">
        <v>506</v>
      </c>
      <c r="J284" t="str">
        <f>_xlfn.XLOOKUP($I284,$A:$A,B:B)</f>
        <v>español</v>
      </c>
      <c r="K284">
        <f>_xlfn.XLOOKUP($I284,$A:$A,C:C)</f>
        <v>36</v>
      </c>
      <c r="L284">
        <f>_xlfn.XLOOKUP($I284,$A:$A,D:D)</f>
        <v>12</v>
      </c>
      <c r="M284" t="str">
        <f>_xlfn.XLOOKUP($I284,$A:$A,E:E)</f>
        <v>L1</v>
      </c>
    </row>
    <row r="285" spans="1:13" customFormat="1" ht="20.25">
      <c r="A285" s="34">
        <v>285</v>
      </c>
      <c r="B285" s="33" t="s">
        <v>362</v>
      </c>
      <c r="C285" s="34">
        <v>56</v>
      </c>
      <c r="D285" s="33">
        <v>6</v>
      </c>
      <c r="E285" s="33" t="s">
        <v>1416</v>
      </c>
      <c r="I285">
        <v>553</v>
      </c>
      <c r="J285" t="str">
        <f>_xlfn.XLOOKUP($I285,$A:$A,B:B)</f>
        <v>especial</v>
      </c>
      <c r="K285">
        <f>_xlfn.XLOOKUP($I285,$A:$A,C:C)</f>
        <v>34</v>
      </c>
      <c r="L285">
        <f>_xlfn.XLOOKUP($I285,$A:$A,D:D)</f>
        <v>3</v>
      </c>
      <c r="M285" t="str">
        <f>_xlfn.XLOOKUP($I285,$A:$A,E:E)</f>
        <v>L2</v>
      </c>
    </row>
    <row r="286" spans="1:13" customFormat="1" ht="20.25">
      <c r="A286" s="34">
        <v>286</v>
      </c>
      <c r="B286" s="33" t="s">
        <v>363</v>
      </c>
      <c r="C286" s="34">
        <v>56</v>
      </c>
      <c r="D286" s="33">
        <v>6</v>
      </c>
      <c r="E286" s="33" t="s">
        <v>1416</v>
      </c>
      <c r="I286">
        <v>677</v>
      </c>
      <c r="J286" t="str">
        <f>_xlfn.XLOOKUP($I286,$A:$A,B:B)</f>
        <v>especialmente</v>
      </c>
      <c r="K286">
        <f>_xlfn.XLOOKUP($I286,$A:$A,C:C)</f>
        <v>0</v>
      </c>
      <c r="L286">
        <f>_xlfn.XLOOKUP($I286,$A:$A,D:D)</f>
        <v>12</v>
      </c>
      <c r="M286" t="str">
        <f>_xlfn.XLOOKUP($I286,$A:$A,E:E)</f>
        <v>L2</v>
      </c>
    </row>
    <row r="287" spans="1:13" customFormat="1" ht="20.25">
      <c r="A287" s="34">
        <v>287</v>
      </c>
      <c r="B287" s="33" t="s">
        <v>364</v>
      </c>
      <c r="C287" s="34">
        <v>56</v>
      </c>
      <c r="D287" s="33">
        <v>12</v>
      </c>
      <c r="E287" s="33" t="s">
        <v>1416</v>
      </c>
      <c r="I287">
        <v>585</v>
      </c>
      <c r="J287" t="str">
        <f>_xlfn.XLOOKUP($I287,$A:$A,B:B)</f>
        <v>especie</v>
      </c>
      <c r="K287">
        <f>_xlfn.XLOOKUP($I287,$A:$A,C:C)</f>
        <v>31</v>
      </c>
      <c r="L287">
        <f>_xlfn.XLOOKUP($I287,$A:$A,D:D)</f>
        <v>10</v>
      </c>
      <c r="M287" t="str">
        <f>_xlfn.XLOOKUP($I287,$A:$A,E:E)</f>
        <v>L2</v>
      </c>
    </row>
    <row r="288" spans="1:13" customFormat="1" ht="20.25">
      <c r="A288" s="34">
        <v>288</v>
      </c>
      <c r="B288" s="33" t="s">
        <v>365</v>
      </c>
      <c r="C288" s="34">
        <v>56</v>
      </c>
      <c r="D288" s="33">
        <v>8</v>
      </c>
      <c r="E288" s="33" t="s">
        <v>1413</v>
      </c>
      <c r="I288">
        <v>554</v>
      </c>
      <c r="J288" t="str">
        <f>_xlfn.XLOOKUP($I288,$A:$A,B:B)</f>
        <v>especies</v>
      </c>
      <c r="K288">
        <f>_xlfn.XLOOKUP($I288,$A:$A,C:C)</f>
        <v>34</v>
      </c>
      <c r="L288">
        <f>_xlfn.XLOOKUP($I288,$A:$A,D:D)</f>
        <v>10</v>
      </c>
      <c r="M288" t="str">
        <f>_xlfn.XLOOKUP($I288,$A:$A,E:E)</f>
        <v>L2</v>
      </c>
    </row>
    <row r="289" spans="1:13" customFormat="1" ht="20.25">
      <c r="A289" s="34">
        <v>289</v>
      </c>
      <c r="B289" s="33" t="s">
        <v>366</v>
      </c>
      <c r="C289" s="34">
        <v>56</v>
      </c>
      <c r="D289" s="33">
        <v>12</v>
      </c>
      <c r="E289" s="33" t="s">
        <v>1413</v>
      </c>
      <c r="I289">
        <v>777</v>
      </c>
      <c r="J289" t="str">
        <f>_xlfn.XLOOKUP($I289,$A:$A,B:B)</f>
        <v>esposa</v>
      </c>
      <c r="K289">
        <f>_xlfn.XLOOKUP($I289,$A:$A,C:C)</f>
        <v>25</v>
      </c>
      <c r="L289">
        <f>_xlfn.XLOOKUP($I289,$A:$A,D:D)</f>
        <v>12</v>
      </c>
      <c r="M289" t="str">
        <f>_xlfn.XLOOKUP($I289,$A:$A,E:E)</f>
        <v>L1</v>
      </c>
    </row>
    <row r="290" spans="1:13" customFormat="1" ht="20.25">
      <c r="A290" s="34">
        <v>290</v>
      </c>
      <c r="B290" s="33" t="s">
        <v>367</v>
      </c>
      <c r="C290" s="34">
        <v>56</v>
      </c>
      <c r="D290" s="33">
        <v>5</v>
      </c>
      <c r="E290" s="33" t="s">
        <v>1413</v>
      </c>
      <c r="I290">
        <v>47</v>
      </c>
      <c r="J290" t="str">
        <f>_xlfn.XLOOKUP($I290,$A:$A,B:B)</f>
        <v>esta</v>
      </c>
      <c r="K290">
        <f>_xlfn.XLOOKUP($I290,$A:$A,C:C)</f>
        <v>264</v>
      </c>
      <c r="L290">
        <f>_xlfn.XLOOKUP($I290,$A:$A,D:D)</f>
        <v>13</v>
      </c>
      <c r="M290" t="str">
        <f>_xlfn.XLOOKUP($I290,$A:$A,E:E)</f>
        <v>L1</v>
      </c>
    </row>
    <row r="291" spans="1:13" customFormat="1" ht="20.25">
      <c r="A291" s="34"/>
      <c r="B291" s="33"/>
      <c r="C291" s="34"/>
      <c r="D291" s="33"/>
      <c r="E291" s="33"/>
      <c r="I291">
        <v>62</v>
      </c>
      <c r="J291" t="str">
        <f>_xlfn.XLOOKUP($I291,$A:$A,B:B)</f>
        <v>está</v>
      </c>
      <c r="K291">
        <f>_xlfn.XLOOKUP($I291,$A:$A,C:C)</f>
        <v>199</v>
      </c>
      <c r="L291">
        <f>_xlfn.XLOOKUP($I291,$A:$A,D:D)</f>
        <v>11</v>
      </c>
      <c r="M291" t="str">
        <f>_xlfn.XLOOKUP($I291,$A:$A,E:E)</f>
        <v>L1</v>
      </c>
    </row>
    <row r="292" spans="1:13" customFormat="1" ht="20.25">
      <c r="A292" s="34">
        <v>292</v>
      </c>
      <c r="B292" s="33" t="s">
        <v>369</v>
      </c>
      <c r="C292" s="34">
        <v>56</v>
      </c>
      <c r="D292" s="33">
        <v>4</v>
      </c>
      <c r="E292" s="33" t="s">
        <v>1413</v>
      </c>
      <c r="I292">
        <v>114</v>
      </c>
      <c r="J292" t="str">
        <f>_xlfn.XLOOKUP($I292,$A:$A,B:B)</f>
        <v>estaba</v>
      </c>
      <c r="K292">
        <f>_xlfn.XLOOKUP($I292,$A:$A,C:C)</f>
        <v>111</v>
      </c>
      <c r="L292">
        <f>_xlfn.XLOOKUP($I292,$A:$A,D:D)</f>
        <v>13</v>
      </c>
      <c r="M292" t="str">
        <f>_xlfn.XLOOKUP($I292,$A:$A,E:E)</f>
        <v>L1</v>
      </c>
    </row>
    <row r="293" spans="1:13" customFormat="1" ht="20.25">
      <c r="A293" s="34">
        <v>293</v>
      </c>
      <c r="B293" s="33" t="s">
        <v>370</v>
      </c>
      <c r="C293" s="34">
        <v>56</v>
      </c>
      <c r="D293" s="33">
        <v>12</v>
      </c>
      <c r="E293" s="33" t="s">
        <v>1413</v>
      </c>
      <c r="I293">
        <v>276</v>
      </c>
      <c r="J293" t="str">
        <f>_xlfn.XLOOKUP($I293,$A:$A,B:B)</f>
        <v>estaban</v>
      </c>
      <c r="K293">
        <f>_xlfn.XLOOKUP($I293,$A:$A,C:C)</f>
        <v>58</v>
      </c>
      <c r="L293">
        <f>_xlfn.XLOOKUP($I293,$A:$A,D:D)</f>
        <v>9</v>
      </c>
      <c r="M293" t="str">
        <f>_xlfn.XLOOKUP($I293,$A:$A,E:E)</f>
        <v>L2</v>
      </c>
    </row>
    <row r="294" spans="1:13" customFormat="1" ht="20.25">
      <c r="A294" s="34">
        <v>294</v>
      </c>
      <c r="B294" s="33" t="s">
        <v>371</v>
      </c>
      <c r="C294" s="34">
        <v>56</v>
      </c>
      <c r="D294" s="33">
        <v>9</v>
      </c>
      <c r="E294" s="33" t="s">
        <v>1413</v>
      </c>
      <c r="I294">
        <v>962</v>
      </c>
      <c r="J294" t="str">
        <f>_xlfn.XLOOKUP($I294,$A:$A,B:B)</f>
        <v>estableció</v>
      </c>
      <c r="K294">
        <f>_xlfn.XLOOKUP($I294,$A:$A,C:C)</f>
        <v>21</v>
      </c>
      <c r="L294">
        <f>_xlfn.XLOOKUP($I294,$A:$A,D:D)</f>
        <v>1</v>
      </c>
      <c r="M294" t="str">
        <f>_xlfn.XLOOKUP($I294,$A:$A,E:E)</f>
        <v>L2</v>
      </c>
    </row>
    <row r="295" spans="1:13" customFormat="1" ht="20.25">
      <c r="A295" s="34">
        <v>295</v>
      </c>
      <c r="B295" s="33" t="s">
        <v>372</v>
      </c>
      <c r="C295" s="34"/>
      <c r="D295" s="33">
        <v>4</v>
      </c>
      <c r="E295" s="33" t="s">
        <v>1416</v>
      </c>
      <c r="I295">
        <v>533</v>
      </c>
      <c r="J295" t="str">
        <f>_xlfn.XLOOKUP($I295,$A:$A,B:B)</f>
        <v>estación</v>
      </c>
      <c r="K295">
        <f>_xlfn.XLOOKUP($I295,$A:$A,C:C)</f>
        <v>35</v>
      </c>
      <c r="L295">
        <f>_xlfn.XLOOKUP($I295,$A:$A,D:D)</f>
        <v>14</v>
      </c>
      <c r="M295" t="str">
        <f>_xlfn.XLOOKUP($I295,$A:$A,E:E)</f>
        <v>L2</v>
      </c>
    </row>
    <row r="296" spans="1:13" customFormat="1" ht="20.25">
      <c r="A296" s="34">
        <v>296</v>
      </c>
      <c r="B296" s="33" t="s">
        <v>373</v>
      </c>
      <c r="C296" s="34"/>
      <c r="D296" s="33">
        <v>5</v>
      </c>
      <c r="E296" s="33" t="s">
        <v>1416</v>
      </c>
      <c r="I296">
        <v>132</v>
      </c>
      <c r="J296" t="str">
        <f>_xlfn.XLOOKUP($I296,$A:$A,B:B)</f>
        <v>estado</v>
      </c>
      <c r="K296">
        <f>_xlfn.XLOOKUP($I296,$A:$A,C:C)</f>
        <v>101</v>
      </c>
      <c r="L296">
        <f>_xlfn.XLOOKUP($I296,$A:$A,D:D)</f>
        <v>1</v>
      </c>
      <c r="M296" t="str">
        <f>_xlfn.XLOOKUP($I296,$A:$A,E:E)</f>
        <v>L2</v>
      </c>
    </row>
    <row r="297" spans="1:13" customFormat="1" ht="20.25">
      <c r="A297" s="34">
        <v>297</v>
      </c>
      <c r="B297" s="33" t="s">
        <v>374</v>
      </c>
      <c r="C297" s="34"/>
      <c r="D297" s="33">
        <v>10</v>
      </c>
      <c r="E297" s="33" t="s">
        <v>1413</v>
      </c>
      <c r="I297">
        <v>237</v>
      </c>
      <c r="J297" t="str">
        <f>_xlfn.XLOOKUP($I297,$A:$A,B:B)</f>
        <v>Estados</v>
      </c>
      <c r="K297">
        <f>_xlfn.XLOOKUP($I297,$A:$A,C:C)</f>
        <v>66</v>
      </c>
      <c r="L297">
        <f>_xlfn.XLOOKUP($I297,$A:$A,D:D)</f>
        <v>1</v>
      </c>
      <c r="M297" t="str">
        <f>_xlfn.XLOOKUP($I297,$A:$A,E:E)</f>
        <v>L2</v>
      </c>
    </row>
    <row r="298" spans="1:13" customFormat="1" ht="20.25">
      <c r="A298" s="34">
        <v>298</v>
      </c>
      <c r="B298" s="33" t="s">
        <v>375</v>
      </c>
      <c r="C298" s="34">
        <v>55</v>
      </c>
      <c r="D298" s="33">
        <v>12</v>
      </c>
      <c r="E298" s="33" t="s">
        <v>1413</v>
      </c>
      <c r="I298">
        <v>250</v>
      </c>
      <c r="J298" t="str">
        <f>_xlfn.XLOOKUP($I298,$A:$A,B:B)</f>
        <v>Estados Unidos</v>
      </c>
      <c r="K298">
        <f>_xlfn.XLOOKUP($I298,$A:$A,C:C)</f>
        <v>64</v>
      </c>
      <c r="L298">
        <f>_xlfn.XLOOKUP($I298,$A:$A,D:D)</f>
        <v>1</v>
      </c>
      <c r="M298" t="str">
        <f>_xlfn.XLOOKUP($I298,$A:$A,E:E)</f>
        <v>L1</v>
      </c>
    </row>
    <row r="299" spans="1:13" customFormat="1" ht="20.25">
      <c r="A299" s="34">
        <v>299</v>
      </c>
      <c r="B299" s="33" t="s">
        <v>376</v>
      </c>
      <c r="C299" s="34">
        <v>55</v>
      </c>
      <c r="D299" s="33">
        <v>1</v>
      </c>
      <c r="E299" s="33" t="s">
        <v>1416</v>
      </c>
      <c r="I299">
        <v>135</v>
      </c>
      <c r="J299" t="str">
        <f>_xlfn.XLOOKUP($I299,$A:$A,B:B)</f>
        <v>están</v>
      </c>
      <c r="K299">
        <f>_xlfn.XLOOKUP($I299,$A:$A,C:C)</f>
        <v>99</v>
      </c>
      <c r="L299">
        <f>_xlfn.XLOOKUP($I299,$A:$A,D:D)</f>
        <v>13</v>
      </c>
      <c r="M299" t="str">
        <f>_xlfn.XLOOKUP($I299,$A:$A,E:E)</f>
        <v>L1</v>
      </c>
    </row>
    <row r="300" spans="1:13" customFormat="1" ht="20.25">
      <c r="A300" s="34">
        <v>300</v>
      </c>
      <c r="B300" s="33" t="s">
        <v>377</v>
      </c>
      <c r="C300" s="34">
        <v>55</v>
      </c>
      <c r="D300" s="33">
        <v>10</v>
      </c>
      <c r="E300" s="33" t="s">
        <v>1413</v>
      </c>
      <c r="I300">
        <v>356</v>
      </c>
      <c r="J300" t="str">
        <f>_xlfn.XLOOKUP($I300,$A:$A,B:B)</f>
        <v>estar</v>
      </c>
      <c r="K300">
        <f>_xlfn.XLOOKUP($I300,$A:$A,C:C)</f>
        <v>47</v>
      </c>
      <c r="L300">
        <f>_xlfn.XLOOKUP($I300,$A:$A,D:D)</f>
        <v>11</v>
      </c>
      <c r="M300" t="str">
        <f>_xlfn.XLOOKUP($I300,$A:$A,E:E)</f>
        <v>L1</v>
      </c>
    </row>
    <row r="301" spans="1:13" customFormat="1" ht="20.25">
      <c r="A301" s="34">
        <v>301</v>
      </c>
      <c r="B301" s="33" t="s">
        <v>378</v>
      </c>
      <c r="C301" s="34">
        <v>55</v>
      </c>
      <c r="D301" s="33">
        <v>3</v>
      </c>
      <c r="E301" s="33" t="s">
        <v>1413</v>
      </c>
      <c r="I301">
        <v>170</v>
      </c>
      <c r="J301" t="str">
        <f>_xlfn.XLOOKUP($I301,$A:$A,B:B)</f>
        <v>estas</v>
      </c>
      <c r="K301">
        <f>_xlfn.XLOOKUP($I301,$A:$A,C:C)</f>
        <v>83</v>
      </c>
      <c r="L301">
        <f>_xlfn.XLOOKUP($I301,$A:$A,D:D)</f>
        <v>12</v>
      </c>
      <c r="M301" t="str">
        <f>_xlfn.XLOOKUP($I301,$A:$A,E:E)</f>
        <v>L1</v>
      </c>
    </row>
    <row r="302" spans="1:13" customFormat="1" ht="20.25">
      <c r="A302" s="34">
        <v>302</v>
      </c>
      <c r="B302" s="33" t="s">
        <v>379</v>
      </c>
      <c r="C302" s="34">
        <v>55</v>
      </c>
      <c r="D302" s="33">
        <v>9</v>
      </c>
      <c r="E302" s="33" t="s">
        <v>1413</v>
      </c>
      <c r="I302">
        <v>37</v>
      </c>
      <c r="J302" t="str">
        <f>_xlfn.XLOOKUP($I302,$A:$A,B:B)</f>
        <v>este</v>
      </c>
      <c r="K302">
        <f>_xlfn.XLOOKUP($I302,$A:$A,C:C)</f>
        <v>330</v>
      </c>
      <c r="L302">
        <f>_xlfn.XLOOKUP($I302,$A:$A,D:D)</f>
        <v>13</v>
      </c>
      <c r="M302" t="str">
        <f>_xlfn.XLOOKUP($I302,$A:$A,E:E)</f>
        <v>L1</v>
      </c>
    </row>
    <row r="303" spans="1:13" customFormat="1" ht="20.25">
      <c r="A303" s="34">
        <v>303</v>
      </c>
      <c r="B303" s="33" t="s">
        <v>380</v>
      </c>
      <c r="C303" s="34">
        <v>55</v>
      </c>
      <c r="D303" s="33">
        <v>12</v>
      </c>
      <c r="E303" s="33" t="s">
        <v>1416</v>
      </c>
      <c r="I303">
        <v>491</v>
      </c>
      <c r="J303" t="str">
        <f>_xlfn.XLOOKUP($I303,$A:$A,B:B)</f>
        <v>estilo</v>
      </c>
      <c r="K303">
        <f>_xlfn.XLOOKUP($I303,$A:$A,C:C)</f>
        <v>37</v>
      </c>
      <c r="L303">
        <f>_xlfn.XLOOKUP($I303,$A:$A,D:D)</f>
        <v>3</v>
      </c>
      <c r="M303" t="str">
        <f>_xlfn.XLOOKUP($I303,$A:$A,E:E)</f>
        <v>L2</v>
      </c>
    </row>
    <row r="304" spans="1:13" customFormat="1" ht="20.25">
      <c r="A304" s="34"/>
      <c r="B304" s="33"/>
      <c r="C304" s="34"/>
      <c r="D304" s="33"/>
      <c r="E304" s="33"/>
      <c r="I304">
        <v>216</v>
      </c>
      <c r="J304" t="str">
        <f>_xlfn.XLOOKUP($I304,$A:$A,B:B)</f>
        <v>esto</v>
      </c>
      <c r="K304">
        <f>_xlfn.XLOOKUP($I304,$A:$A,C:C)</f>
        <v>71</v>
      </c>
      <c r="L304">
        <f>_xlfn.XLOOKUP($I304,$A:$A,D:D)</f>
        <v>13</v>
      </c>
      <c r="M304" t="str">
        <f>_xlfn.XLOOKUP($I304,$A:$A,E:E)</f>
        <v>L1</v>
      </c>
    </row>
    <row r="305" spans="1:13" customFormat="1" ht="20.25">
      <c r="A305" s="34">
        <v>305</v>
      </c>
      <c r="B305" s="33" t="s">
        <v>382</v>
      </c>
      <c r="C305" s="34">
        <v>55</v>
      </c>
      <c r="D305" s="33">
        <v>2</v>
      </c>
      <c r="E305" s="33" t="s">
        <v>1416</v>
      </c>
      <c r="I305">
        <v>120</v>
      </c>
      <c r="J305" t="str">
        <f>_xlfn.XLOOKUP($I305,$A:$A,B:B)</f>
        <v>estos</v>
      </c>
      <c r="K305">
        <f>_xlfn.XLOOKUP($I305,$A:$A,C:C)</f>
        <v>106</v>
      </c>
      <c r="L305">
        <f>_xlfn.XLOOKUP($I305,$A:$A,D:D)</f>
        <v>12</v>
      </c>
      <c r="M305" t="str">
        <f>_xlfn.XLOOKUP($I305,$A:$A,E:E)</f>
        <v>L1</v>
      </c>
    </row>
    <row r="306" spans="1:13" customFormat="1" ht="20.25">
      <c r="A306" s="34">
        <v>306</v>
      </c>
      <c r="B306" s="33" t="s">
        <v>383</v>
      </c>
      <c r="C306" s="34"/>
      <c r="D306" s="33">
        <v>1</v>
      </c>
      <c r="E306" s="33" t="s">
        <v>1416</v>
      </c>
      <c r="I306">
        <v>678</v>
      </c>
      <c r="J306" t="str">
        <f>_xlfn.XLOOKUP($I306,$A:$A,B:B)</f>
        <v>estructura</v>
      </c>
      <c r="K306">
        <f>_xlfn.XLOOKUP($I306,$A:$A,C:C)</f>
        <v>0</v>
      </c>
      <c r="L306">
        <f>_xlfn.XLOOKUP($I306,$A:$A,D:D)</f>
        <v>6</v>
      </c>
      <c r="M306" t="str">
        <f>_xlfn.XLOOKUP($I306,$A:$A,E:E)</f>
        <v>L3</v>
      </c>
    </row>
    <row r="307" spans="1:13" customFormat="1" ht="20.25">
      <c r="A307" s="34">
        <v>307</v>
      </c>
      <c r="B307" s="33" t="s">
        <v>384</v>
      </c>
      <c r="C307" s="34">
        <v>54</v>
      </c>
      <c r="D307" s="33">
        <v>9</v>
      </c>
      <c r="E307" s="33" t="s">
        <v>1413</v>
      </c>
      <c r="I307">
        <v>705</v>
      </c>
      <c r="J307" t="str">
        <f>_xlfn.XLOOKUP($I307,$A:$A,B:B)</f>
        <v>estudiantes</v>
      </c>
      <c r="K307">
        <f>_xlfn.XLOOKUP($I307,$A:$A,C:C)</f>
        <v>27</v>
      </c>
      <c r="L307">
        <f>_xlfn.XLOOKUP($I307,$A:$A,D:D)</f>
        <v>7</v>
      </c>
      <c r="M307" t="str">
        <f>_xlfn.XLOOKUP($I307,$A:$A,E:E)</f>
        <v>L1</v>
      </c>
    </row>
    <row r="308" spans="1:13" customFormat="1" ht="20.25">
      <c r="A308" s="34">
        <v>308</v>
      </c>
      <c r="B308" s="33" t="s">
        <v>385</v>
      </c>
      <c r="C308" s="34">
        <v>54</v>
      </c>
      <c r="D308" s="33">
        <v>12</v>
      </c>
      <c r="E308" s="33" t="s">
        <v>1413</v>
      </c>
      <c r="I308">
        <v>410</v>
      </c>
      <c r="J308" t="str">
        <f>_xlfn.XLOOKUP($I308,$A:$A,B:B)</f>
        <v>estudio</v>
      </c>
      <c r="K308">
        <f>_xlfn.XLOOKUP($I308,$A:$A,C:C)</f>
        <v>42</v>
      </c>
      <c r="L308">
        <f>_xlfn.XLOOKUP($I308,$A:$A,D:D)</f>
        <v>7</v>
      </c>
      <c r="M308" t="str">
        <f>_xlfn.XLOOKUP($I308,$A:$A,E:E)</f>
        <v>L2</v>
      </c>
    </row>
    <row r="309" spans="1:13" customFormat="1" ht="20.25">
      <c r="A309" s="34">
        <v>309</v>
      </c>
      <c r="B309" s="33" t="s">
        <v>386</v>
      </c>
      <c r="C309" s="34">
        <v>54</v>
      </c>
      <c r="D309" s="33">
        <v>4</v>
      </c>
      <c r="E309" s="33" t="s">
        <v>1416</v>
      </c>
      <c r="I309">
        <v>271</v>
      </c>
      <c r="J309" t="str">
        <f>_xlfn.XLOOKUP($I309,$A:$A,B:B)</f>
        <v>estudios</v>
      </c>
      <c r="K309">
        <f>_xlfn.XLOOKUP($I309,$A:$A,C:C)</f>
        <v>59</v>
      </c>
      <c r="L309">
        <f>_xlfn.XLOOKUP($I309,$A:$A,D:D)</f>
        <v>7</v>
      </c>
      <c r="M309" t="str">
        <f>_xlfn.XLOOKUP($I309,$A:$A,E:E)</f>
        <v>L2</v>
      </c>
    </row>
    <row r="310" spans="1:13" customFormat="1" ht="20.25">
      <c r="A310" s="34">
        <v>310</v>
      </c>
      <c r="B310" s="33" t="s">
        <v>387</v>
      </c>
      <c r="C310" s="34">
        <v>54</v>
      </c>
      <c r="D310" s="33">
        <v>12</v>
      </c>
      <c r="E310" s="33" t="s">
        <v>1416</v>
      </c>
      <c r="I310">
        <v>447</v>
      </c>
      <c r="J310" t="str">
        <f>_xlfn.XLOOKUP($I310,$A:$A,B:B)</f>
        <v>estuvo</v>
      </c>
      <c r="K310">
        <f>_xlfn.XLOOKUP($I310,$A:$A,C:C)</f>
        <v>40</v>
      </c>
      <c r="L310">
        <f>_xlfn.XLOOKUP($I310,$A:$A,D:D)</f>
        <v>9</v>
      </c>
      <c r="M310" t="str">
        <f>_xlfn.XLOOKUP($I310,$A:$A,E:E)</f>
        <v>L2</v>
      </c>
    </row>
    <row r="311" spans="1:13" customFormat="1" ht="20.25">
      <c r="A311" s="34">
        <v>311</v>
      </c>
      <c r="B311" s="33" t="s">
        <v>388</v>
      </c>
      <c r="C311" s="34">
        <v>54</v>
      </c>
      <c r="D311" s="33">
        <v>2</v>
      </c>
      <c r="E311" s="33" t="s">
        <v>1416</v>
      </c>
      <c r="I311">
        <v>555</v>
      </c>
      <c r="J311" t="str">
        <f>_xlfn.XLOOKUP($I311,$A:$A,B:B)</f>
        <v>etapa</v>
      </c>
      <c r="K311">
        <f>_xlfn.XLOOKUP($I311,$A:$A,C:C)</f>
        <v>34</v>
      </c>
      <c r="L311">
        <f>_xlfn.XLOOKUP($I311,$A:$A,D:D)</f>
        <v>6</v>
      </c>
      <c r="M311" t="str">
        <f>_xlfn.XLOOKUP($I311,$A:$A,E:E)</f>
        <v>L2</v>
      </c>
    </row>
    <row r="312" spans="1:13" customFormat="1" ht="20.25">
      <c r="A312" s="34">
        <v>312</v>
      </c>
      <c r="B312" s="33" t="s">
        <v>389</v>
      </c>
      <c r="C312" s="34">
        <v>53</v>
      </c>
      <c r="D312" s="33">
        <v>10</v>
      </c>
      <c r="E312" s="33" t="s">
        <v>1416</v>
      </c>
      <c r="I312">
        <v>501</v>
      </c>
      <c r="J312" t="str">
        <f>_xlfn.XLOOKUP($I312,$A:$A,B:B)</f>
        <v>Europa</v>
      </c>
      <c r="K312">
        <f>_xlfn.XLOOKUP($I312,$A:$A,C:C)</f>
        <v>0</v>
      </c>
      <c r="L312">
        <f>_xlfn.XLOOKUP($I312,$A:$A,D:D)</f>
        <v>10</v>
      </c>
      <c r="M312" t="str">
        <f>_xlfn.XLOOKUP($I312,$A:$A,E:E)</f>
        <v>L1</v>
      </c>
    </row>
    <row r="313" spans="1:13" customFormat="1" ht="20.25">
      <c r="A313" s="34">
        <v>313</v>
      </c>
      <c r="B313" s="33" t="s">
        <v>390</v>
      </c>
      <c r="C313" s="34">
        <v>53</v>
      </c>
      <c r="D313" s="33">
        <v>5</v>
      </c>
      <c r="E313" s="33" t="s">
        <v>1416</v>
      </c>
      <c r="I313">
        <v>872</v>
      </c>
      <c r="J313" t="str">
        <f>_xlfn.XLOOKUP($I313,$A:$A,B:B)</f>
        <v>evento</v>
      </c>
      <c r="K313">
        <f>_xlfn.XLOOKUP($I313,$A:$A,C:C)</f>
        <v>23</v>
      </c>
      <c r="L313">
        <f>_xlfn.XLOOKUP($I313,$A:$A,D:D)</f>
        <v>13</v>
      </c>
      <c r="M313" t="str">
        <f>_xlfn.XLOOKUP($I313,$A:$A,E:E)</f>
        <v>L2</v>
      </c>
    </row>
    <row r="314" spans="1:13" customFormat="1" ht="20.25">
      <c r="A314" s="34">
        <v>314</v>
      </c>
      <c r="B314" s="33" t="s">
        <v>391</v>
      </c>
      <c r="C314" s="34">
        <v>53</v>
      </c>
      <c r="D314" s="33">
        <v>6</v>
      </c>
      <c r="E314" s="33" t="s">
        <v>1413</v>
      </c>
      <c r="I314">
        <v>963</v>
      </c>
      <c r="J314" t="str">
        <f>_xlfn.XLOOKUP($I314,$A:$A,B:B)</f>
        <v>evidencia</v>
      </c>
      <c r="K314">
        <f>_xlfn.XLOOKUP($I314,$A:$A,C:C)</f>
        <v>21</v>
      </c>
      <c r="L314">
        <f>_xlfn.XLOOKUP($I314,$A:$A,D:D)</f>
        <v>6</v>
      </c>
      <c r="M314" t="str">
        <f>_xlfn.XLOOKUP($I314,$A:$A,E:E)</f>
        <v>L3</v>
      </c>
    </row>
    <row r="315" spans="1:13" customFormat="1" ht="20.25">
      <c r="A315" s="34">
        <v>315</v>
      </c>
      <c r="B315" s="33" t="s">
        <v>392</v>
      </c>
      <c r="C315" s="34">
        <v>52</v>
      </c>
      <c r="D315" s="33">
        <v>9</v>
      </c>
      <c r="E315" s="33" t="s">
        <v>1416</v>
      </c>
      <c r="I315">
        <v>778</v>
      </c>
      <c r="J315" t="str">
        <f>_xlfn.XLOOKUP($I315,$A:$A,B:B)</f>
        <v>evitar</v>
      </c>
      <c r="K315">
        <f>_xlfn.XLOOKUP($I315,$A:$A,C:C)</f>
        <v>25</v>
      </c>
      <c r="L315">
        <f>_xlfn.XLOOKUP($I315,$A:$A,D:D)</f>
        <v>11</v>
      </c>
      <c r="M315" t="str">
        <f>_xlfn.XLOOKUP($I315,$A:$A,E:E)</f>
        <v>L2</v>
      </c>
    </row>
    <row r="316" spans="1:13" customFormat="1" ht="20.25">
      <c r="A316" s="34">
        <v>316</v>
      </c>
      <c r="B316" s="33" t="s">
        <v>393</v>
      </c>
      <c r="C316" s="34">
        <v>52</v>
      </c>
      <c r="D316" s="33">
        <v>6</v>
      </c>
      <c r="E316" s="33" t="s">
        <v>1416</v>
      </c>
      <c r="I316">
        <v>525</v>
      </c>
      <c r="J316" t="str">
        <f>_xlfn.XLOOKUP($I316,$A:$A,B:B)</f>
        <v>existe</v>
      </c>
      <c r="K316">
        <f>_xlfn.XLOOKUP($I316,$A:$A,C:C)</f>
        <v>35</v>
      </c>
      <c r="L316">
        <f>_xlfn.XLOOKUP($I316,$A:$A,D:D)</f>
        <v>6</v>
      </c>
      <c r="M316" t="str">
        <f>_xlfn.XLOOKUP($I316,$A:$A,E:E)</f>
        <v>L2</v>
      </c>
    </row>
    <row r="317" spans="1:13" customFormat="1" ht="20.25">
      <c r="A317" s="34">
        <v>317</v>
      </c>
      <c r="B317" s="33" t="s">
        <v>394</v>
      </c>
      <c r="C317" s="34">
        <v>52</v>
      </c>
      <c r="D317" s="33">
        <v>1</v>
      </c>
      <c r="E317" s="33" t="s">
        <v>1416</v>
      </c>
      <c r="I317">
        <v>873</v>
      </c>
      <c r="J317" t="str">
        <f>_xlfn.XLOOKUP($I317,$A:$A,B:B)</f>
        <v>existen</v>
      </c>
      <c r="K317">
        <f>_xlfn.XLOOKUP($I317,$A:$A,C:C)</f>
        <v>23</v>
      </c>
      <c r="L317">
        <f>_xlfn.XLOOKUP($I317,$A:$A,D:D)</f>
        <v>15</v>
      </c>
      <c r="M317" t="str">
        <f>_xlfn.XLOOKUP($I317,$A:$A,E:E)</f>
        <v>L1</v>
      </c>
    </row>
    <row r="318" spans="1:13" customFormat="1" ht="20.25">
      <c r="A318" s="34">
        <v>318</v>
      </c>
      <c r="B318" s="33" t="s">
        <v>395</v>
      </c>
      <c r="C318" s="34">
        <v>51</v>
      </c>
      <c r="D318" s="33">
        <v>3</v>
      </c>
      <c r="E318" s="33" t="s">
        <v>1413</v>
      </c>
      <c r="I318">
        <v>706</v>
      </c>
      <c r="J318" t="str">
        <f>_xlfn.XLOOKUP($I318,$A:$A,B:B)</f>
        <v>existencia</v>
      </c>
      <c r="K318">
        <f>_xlfn.XLOOKUP($I318,$A:$A,C:C)</f>
        <v>27</v>
      </c>
      <c r="L318">
        <f>_xlfn.XLOOKUP($I318,$A:$A,D:D)</f>
        <v>6</v>
      </c>
      <c r="M318" t="str">
        <f>_xlfn.XLOOKUP($I318,$A:$A,E:E)</f>
        <v>L3</v>
      </c>
    </row>
    <row r="319" spans="1:13" customFormat="1" ht="20.25">
      <c r="A319" s="34">
        <v>319</v>
      </c>
      <c r="B319" s="33" t="s">
        <v>396</v>
      </c>
      <c r="C319" s="34">
        <v>51</v>
      </c>
      <c r="D319" s="33">
        <v>12</v>
      </c>
      <c r="E319" s="33" t="s">
        <v>1416</v>
      </c>
      <c r="I319">
        <v>383</v>
      </c>
      <c r="J319" t="str">
        <f>_xlfn.XLOOKUP($I319,$A:$A,B:B)</f>
        <v>éxito</v>
      </c>
      <c r="K319">
        <f>_xlfn.XLOOKUP($I319,$A:$A,C:C)</f>
        <v>45</v>
      </c>
      <c r="L319">
        <f>_xlfn.XLOOKUP($I319,$A:$A,D:D)</f>
        <v>5</v>
      </c>
      <c r="M319" t="str">
        <f>_xlfn.XLOOKUP($I319,$A:$A,E:E)</f>
        <v>L2</v>
      </c>
    </row>
    <row r="320" spans="1:13" customFormat="1" ht="20.25">
      <c r="A320" s="34">
        <v>320</v>
      </c>
      <c r="B320" s="33" t="s">
        <v>397</v>
      </c>
      <c r="C320" s="34">
        <v>51</v>
      </c>
      <c r="D320" s="33">
        <v>1</v>
      </c>
      <c r="E320" s="33" t="s">
        <v>1416</v>
      </c>
      <c r="I320">
        <v>738</v>
      </c>
      <c r="J320" t="str">
        <f>_xlfn.XLOOKUP($I320,$A:$A,B:B)</f>
        <v>exposición</v>
      </c>
      <c r="K320">
        <f>_xlfn.XLOOKUP($I320,$A:$A,C:C)</f>
        <v>27</v>
      </c>
      <c r="L320">
        <f>_xlfn.XLOOKUP($I320,$A:$A,D:D)</f>
        <v>3</v>
      </c>
      <c r="M320" t="str">
        <f>_xlfn.XLOOKUP($I320,$A:$A,E:E)</f>
        <v>L2</v>
      </c>
    </row>
    <row r="321" spans="1:13" customFormat="1" ht="20.25">
      <c r="A321" s="34">
        <v>321</v>
      </c>
      <c r="B321" s="33" t="s">
        <v>398</v>
      </c>
      <c r="C321" s="34">
        <v>51</v>
      </c>
      <c r="D321" s="33">
        <v>12</v>
      </c>
      <c r="E321" s="33" t="s">
        <v>1413</v>
      </c>
      <c r="I321">
        <v>707</v>
      </c>
      <c r="J321" t="str">
        <f>_xlfn.XLOOKUP($I321,$A:$A,B:B)</f>
        <v>falta</v>
      </c>
      <c r="K321">
        <f>_xlfn.XLOOKUP($I321,$A:$A,C:C)</f>
        <v>27</v>
      </c>
      <c r="L321">
        <f>_xlfn.XLOOKUP($I321,$A:$A,D:D)</f>
        <v>4</v>
      </c>
      <c r="M321" t="str">
        <f>_xlfn.XLOOKUP($I321,$A:$A,E:E)</f>
        <v>L1</v>
      </c>
    </row>
    <row r="322" spans="1:13" customFormat="1" ht="20.25">
      <c r="A322" s="34"/>
      <c r="B322" s="33"/>
      <c r="C322" s="34"/>
      <c r="D322" s="33"/>
      <c r="E322" s="33"/>
      <c r="I322">
        <v>172</v>
      </c>
      <c r="J322" t="str">
        <f>_xlfn.XLOOKUP($I322,$A:$A,B:B)</f>
        <v>familia</v>
      </c>
      <c r="K322">
        <f>_xlfn.XLOOKUP($I322,$A:$A,C:C)</f>
        <v>82</v>
      </c>
      <c r="L322">
        <f>_xlfn.XLOOKUP($I322,$A:$A,D:D)</f>
        <v>12</v>
      </c>
      <c r="M322" t="str">
        <f>_xlfn.XLOOKUP($I322,$A:$A,E:E)</f>
        <v>L1</v>
      </c>
    </row>
    <row r="323" spans="1:13" customFormat="1" ht="20.25">
      <c r="A323" s="34">
        <v>323</v>
      </c>
      <c r="B323" s="33" t="s">
        <v>400</v>
      </c>
      <c r="C323" s="34">
        <v>51</v>
      </c>
      <c r="D323" s="33">
        <v>2</v>
      </c>
      <c r="E323" s="33" t="s">
        <v>1419</v>
      </c>
      <c r="I323">
        <v>639</v>
      </c>
      <c r="J323" t="str">
        <f>_xlfn.XLOOKUP($I323,$A:$A,B:B)</f>
        <v>fase</v>
      </c>
      <c r="K323">
        <f>_xlfn.XLOOKUP($I323,$A:$A,C:C)</f>
        <v>0</v>
      </c>
      <c r="L323">
        <f>_xlfn.XLOOKUP($I323,$A:$A,D:D)</f>
        <v>6</v>
      </c>
      <c r="M323" t="str">
        <f>_xlfn.XLOOKUP($I323,$A:$A,E:E)</f>
        <v>L3</v>
      </c>
    </row>
    <row r="324" spans="1:13" customFormat="1" ht="20.25">
      <c r="A324" s="34">
        <v>324</v>
      </c>
      <c r="B324" s="33" t="s">
        <v>401</v>
      </c>
      <c r="C324" s="34">
        <v>51</v>
      </c>
      <c r="D324" s="33">
        <v>12</v>
      </c>
      <c r="E324" s="33" t="s">
        <v>1416</v>
      </c>
      <c r="I324">
        <v>232</v>
      </c>
      <c r="J324" t="str">
        <f>_xlfn.XLOOKUP($I324,$A:$A,B:B)</f>
        <v>febrero</v>
      </c>
      <c r="K324">
        <f>_xlfn.XLOOKUP($I324,$A:$A,C:C)</f>
        <v>67</v>
      </c>
      <c r="L324">
        <f>_xlfn.XLOOKUP($I324,$A:$A,D:D)</f>
        <v>13</v>
      </c>
      <c r="M324" t="str">
        <f>_xlfn.XLOOKUP($I324,$A:$A,E:E)</f>
        <v>L1</v>
      </c>
    </row>
    <row r="325" spans="1:13" customFormat="1" ht="20.25">
      <c r="A325" s="34">
        <v>325</v>
      </c>
      <c r="B325" s="33" t="s">
        <v>402</v>
      </c>
      <c r="C325" s="34">
        <v>51</v>
      </c>
      <c r="D325" s="33">
        <v>7</v>
      </c>
      <c r="E325" s="33" t="s">
        <v>1413</v>
      </c>
      <c r="I325">
        <v>392</v>
      </c>
      <c r="J325" t="str">
        <f>_xlfn.XLOOKUP($I325,$A:$A,B:B)</f>
        <v>fecha</v>
      </c>
      <c r="K325">
        <f>_xlfn.XLOOKUP($I325,$A:$A,C:C)</f>
        <v>44</v>
      </c>
      <c r="L325">
        <f>_xlfn.XLOOKUP($I325,$A:$A,D:D)</f>
        <v>9</v>
      </c>
      <c r="M325" t="str">
        <f>_xlfn.XLOOKUP($I325,$A:$A,E:E)</f>
        <v>L1</v>
      </c>
    </row>
    <row r="326" spans="1:13" customFormat="1" ht="20.25">
      <c r="A326" s="34">
        <v>326</v>
      </c>
      <c r="B326" s="33" t="s">
        <v>403</v>
      </c>
      <c r="C326" s="34">
        <v>51</v>
      </c>
      <c r="D326" s="33">
        <v>6</v>
      </c>
      <c r="E326" s="33" t="s">
        <v>1413</v>
      </c>
      <c r="I326">
        <v>817</v>
      </c>
      <c r="J326" t="str">
        <f>_xlfn.XLOOKUP($I326,$A:$A,B:B)</f>
        <v>figura</v>
      </c>
      <c r="K326">
        <f>_xlfn.XLOOKUP($I326,$A:$A,C:C)</f>
        <v>24</v>
      </c>
      <c r="L326">
        <f>_xlfn.XLOOKUP($I326,$A:$A,D:D)</f>
        <v>3</v>
      </c>
      <c r="M326" t="str">
        <f>_xlfn.XLOOKUP($I326,$A:$A,E:E)</f>
        <v>L2</v>
      </c>
    </row>
    <row r="327" spans="1:13" customFormat="1" ht="20.25">
      <c r="A327" s="34">
        <v>327</v>
      </c>
      <c r="B327" s="33" t="s">
        <v>404</v>
      </c>
      <c r="C327" s="34">
        <v>51</v>
      </c>
      <c r="D327" s="33">
        <v>10</v>
      </c>
      <c r="E327" s="33" t="s">
        <v>1413</v>
      </c>
      <c r="I327">
        <v>402</v>
      </c>
      <c r="J327" t="str">
        <f>_xlfn.XLOOKUP($I327,$A:$A,B:B)</f>
        <v>fin</v>
      </c>
      <c r="K327">
        <f>_xlfn.XLOOKUP($I327,$A:$A,C:C)</f>
        <v>43</v>
      </c>
      <c r="L327">
        <f>_xlfn.XLOOKUP($I327,$A:$A,D:D)</f>
        <v>9</v>
      </c>
      <c r="M327" t="str">
        <f>_xlfn.XLOOKUP($I327,$A:$A,E:E)</f>
        <v>L2</v>
      </c>
    </row>
    <row r="328" spans="1:13" customFormat="1" ht="20.25">
      <c r="A328" s="34">
        <v>328</v>
      </c>
      <c r="B328" s="33" t="s">
        <v>405</v>
      </c>
      <c r="C328" s="34">
        <v>51</v>
      </c>
      <c r="D328" s="33">
        <v>12</v>
      </c>
      <c r="E328" s="33" t="s">
        <v>1416</v>
      </c>
      <c r="I328">
        <v>136</v>
      </c>
      <c r="J328" t="str">
        <f>_xlfn.XLOOKUP($I328,$A:$A,B:B)</f>
        <v>final</v>
      </c>
      <c r="K328">
        <f>_xlfn.XLOOKUP($I328,$A:$A,C:C)</f>
        <v>99</v>
      </c>
      <c r="L328">
        <f>_xlfn.XLOOKUP($I328,$A:$A,D:D)</f>
        <v>4</v>
      </c>
      <c r="M328" t="str">
        <f>_xlfn.XLOOKUP($I328,$A:$A,E:E)</f>
        <v>L2</v>
      </c>
    </row>
    <row r="329" spans="1:13" customFormat="1" ht="20.25">
      <c r="A329" s="34">
        <v>329</v>
      </c>
      <c r="B329" s="33" t="s">
        <v>406</v>
      </c>
      <c r="C329" s="34">
        <v>51</v>
      </c>
      <c r="D329" s="33">
        <v>12</v>
      </c>
      <c r="E329" s="33" t="s">
        <v>1416</v>
      </c>
      <c r="I329">
        <v>315</v>
      </c>
      <c r="J329" t="str">
        <f>_xlfn.XLOOKUP($I329,$A:$A,B:B)</f>
        <v>finales</v>
      </c>
      <c r="K329">
        <f>_xlfn.XLOOKUP($I329,$A:$A,C:C)</f>
        <v>52</v>
      </c>
      <c r="L329">
        <f>_xlfn.XLOOKUP($I329,$A:$A,D:D)</f>
        <v>9</v>
      </c>
      <c r="M329" t="str">
        <f>_xlfn.XLOOKUP($I329,$A:$A,E:E)</f>
        <v>L2</v>
      </c>
    </row>
    <row r="330" spans="1:13" customFormat="1" ht="20.25">
      <c r="A330" s="34">
        <v>330</v>
      </c>
      <c r="B330" s="33" t="s">
        <v>407</v>
      </c>
      <c r="C330" s="34"/>
      <c r="D330" s="33">
        <v>7</v>
      </c>
      <c r="E330" s="33" t="s">
        <v>1413</v>
      </c>
      <c r="I330">
        <v>556</v>
      </c>
      <c r="J330" t="str">
        <f>_xlfn.XLOOKUP($I330,$A:$A,B:B)</f>
        <v>finalmente</v>
      </c>
      <c r="K330">
        <f>_xlfn.XLOOKUP($I330,$A:$A,C:C)</f>
        <v>33</v>
      </c>
      <c r="L330">
        <f>_xlfn.XLOOKUP($I330,$A:$A,D:D)</f>
        <v>9</v>
      </c>
      <c r="M330" t="str">
        <f>_xlfn.XLOOKUP($I330,$A:$A,E:E)</f>
        <v>L2</v>
      </c>
    </row>
    <row r="331" spans="1:13" customFormat="1" ht="20.25">
      <c r="A331" s="34">
        <v>331</v>
      </c>
      <c r="B331" s="33" t="s">
        <v>408</v>
      </c>
      <c r="C331" s="34"/>
      <c r="D331" s="33">
        <v>3</v>
      </c>
      <c r="E331" s="33" t="s">
        <v>1413</v>
      </c>
      <c r="I331">
        <v>964</v>
      </c>
      <c r="J331" t="str">
        <f>_xlfn.XLOOKUP($I331,$A:$A,B:B)</f>
        <v>fondo</v>
      </c>
      <c r="K331">
        <f>_xlfn.XLOOKUP($I331,$A:$A,C:C)</f>
        <v>21</v>
      </c>
      <c r="L331">
        <f>_xlfn.XLOOKUP($I331,$A:$A,D:D)</f>
        <v>2</v>
      </c>
      <c r="M331" t="str">
        <f>_xlfn.XLOOKUP($I331,$A:$A,E:E)</f>
        <v>L2</v>
      </c>
    </row>
    <row r="332" spans="1:13" customFormat="1" ht="20.25">
      <c r="A332" s="34">
        <v>332</v>
      </c>
      <c r="B332" s="33" t="s">
        <v>409</v>
      </c>
      <c r="C332" s="34">
        <v>50</v>
      </c>
      <c r="D332" s="33">
        <v>4</v>
      </c>
      <c r="E332" s="33" t="s">
        <v>1416</v>
      </c>
      <c r="I332">
        <v>80</v>
      </c>
      <c r="J332" t="str">
        <f>_xlfn.XLOOKUP($I332,$A:$A,B:B)</f>
        <v>forma</v>
      </c>
      <c r="K332">
        <f>_xlfn.XLOOKUP($I332,$A:$A,C:C)</f>
        <v>153</v>
      </c>
      <c r="L332">
        <f>_xlfn.XLOOKUP($I332,$A:$A,D:D)</f>
        <v>6</v>
      </c>
      <c r="M332" t="str">
        <f>_xlfn.XLOOKUP($I332,$A:$A,E:E)</f>
        <v>L1</v>
      </c>
    </row>
    <row r="333" spans="1:13" customFormat="1" ht="20.25">
      <c r="A333" s="34">
        <v>333</v>
      </c>
      <c r="B333" s="33" t="s">
        <v>410</v>
      </c>
      <c r="C333" s="34">
        <v>50</v>
      </c>
      <c r="D333" s="33">
        <v>10</v>
      </c>
      <c r="E333" s="33" t="s">
        <v>1413</v>
      </c>
      <c r="I333">
        <v>739</v>
      </c>
      <c r="J333" t="str">
        <f>_xlfn.XLOOKUP($I333,$A:$A,B:B)</f>
        <v>formación</v>
      </c>
      <c r="K333">
        <f>_xlfn.XLOOKUP($I333,$A:$A,C:C)</f>
        <v>27</v>
      </c>
      <c r="L333">
        <f>_xlfn.XLOOKUP($I333,$A:$A,D:D)</f>
        <v>7</v>
      </c>
      <c r="M333" t="str">
        <f>_xlfn.XLOOKUP($I333,$A:$A,E:E)</f>
        <v>L3</v>
      </c>
    </row>
    <row r="334" spans="1:13" customFormat="1" ht="20.25">
      <c r="A334" s="34"/>
      <c r="B334" s="33"/>
      <c r="C334" s="34"/>
      <c r="D334" s="33"/>
      <c r="E334" s="33"/>
      <c r="I334">
        <v>965</v>
      </c>
      <c r="J334" t="str">
        <f>_xlfn.XLOOKUP($I334,$A:$A,B:B)</f>
        <v>forman</v>
      </c>
      <c r="K334">
        <f>_xlfn.XLOOKUP($I334,$A:$A,C:C)</f>
        <v>21</v>
      </c>
      <c r="L334">
        <f>_xlfn.XLOOKUP($I334,$A:$A,D:D)</f>
        <v>12</v>
      </c>
      <c r="M334" t="str">
        <f>_xlfn.XLOOKUP($I334,$A:$A,E:E)</f>
        <v>L2</v>
      </c>
    </row>
    <row r="335" spans="1:13" customFormat="1" ht="20.25">
      <c r="A335" s="34">
        <v>335</v>
      </c>
      <c r="B335" s="33" t="s">
        <v>412</v>
      </c>
      <c r="C335" s="34">
        <v>50</v>
      </c>
      <c r="D335" s="33">
        <v>1</v>
      </c>
      <c r="E335" s="33" t="s">
        <v>1413</v>
      </c>
      <c r="I335">
        <v>740</v>
      </c>
      <c r="J335" t="str">
        <f>_xlfn.XLOOKUP($I335,$A:$A,B:B)</f>
        <v>formar</v>
      </c>
      <c r="K335">
        <f>_xlfn.XLOOKUP($I335,$A:$A,C:C)</f>
        <v>26</v>
      </c>
      <c r="L335">
        <f>_xlfn.XLOOKUP($I335,$A:$A,D:D)</f>
        <v>12</v>
      </c>
      <c r="M335" t="str">
        <f>_xlfn.XLOOKUP($I335,$A:$A,E:E)</f>
        <v>L2</v>
      </c>
    </row>
    <row r="336" spans="1:13" customFormat="1" ht="20.25">
      <c r="A336" s="34"/>
      <c r="B336" s="33"/>
      <c r="C336" s="34"/>
      <c r="D336" s="33"/>
      <c r="E336" s="33"/>
      <c r="I336">
        <v>460</v>
      </c>
      <c r="J336" t="str">
        <f>_xlfn.XLOOKUP($I336,$A:$A,B:B)</f>
        <v>formas</v>
      </c>
      <c r="K336">
        <f>_xlfn.XLOOKUP($I336,$A:$A,C:C)</f>
        <v>39</v>
      </c>
      <c r="L336">
        <f>_xlfn.XLOOKUP($I336,$A:$A,D:D)</f>
        <v>6</v>
      </c>
      <c r="M336" t="str">
        <f>_xlfn.XLOOKUP($I336,$A:$A,E:E)</f>
        <v>L2</v>
      </c>
    </row>
    <row r="337" spans="1:13" customFormat="1" ht="20.25">
      <c r="A337" s="34">
        <v>337</v>
      </c>
      <c r="B337" s="33" t="s">
        <v>414</v>
      </c>
      <c r="C337" s="34">
        <v>50</v>
      </c>
      <c r="D337" s="33">
        <v>6</v>
      </c>
      <c r="E337" s="33" t="s">
        <v>1416</v>
      </c>
      <c r="I337">
        <v>779</v>
      </c>
      <c r="J337" t="str">
        <f>_xlfn.XLOOKUP($I337,$A:$A,B:B)</f>
        <v>francés</v>
      </c>
      <c r="K337">
        <f>_xlfn.XLOOKUP($I337,$A:$A,C:C)</f>
        <v>25</v>
      </c>
      <c r="L337">
        <f>_xlfn.XLOOKUP($I337,$A:$A,D:D)</f>
        <v>12</v>
      </c>
      <c r="M337" t="str">
        <f>_xlfn.XLOOKUP($I337,$A:$A,E:E)</f>
        <v>L1</v>
      </c>
    </row>
    <row r="338" spans="1:13" customFormat="1" ht="20.25">
      <c r="A338" s="34">
        <v>338</v>
      </c>
      <c r="B338" s="33" t="s">
        <v>415</v>
      </c>
      <c r="C338" s="34">
        <v>50</v>
      </c>
      <c r="D338" s="33">
        <v>12</v>
      </c>
      <c r="E338" s="33" t="s">
        <v>1416</v>
      </c>
      <c r="I338">
        <v>599</v>
      </c>
      <c r="J338" t="str">
        <f>_xlfn.XLOOKUP($I338,$A:$A,B:B)</f>
        <v>Francia</v>
      </c>
      <c r="K338">
        <f>_xlfn.XLOOKUP($I338,$A:$A,C:C)</f>
        <v>31</v>
      </c>
      <c r="L338">
        <f>_xlfn.XLOOKUP($I338,$A:$A,D:D)</f>
        <v>1</v>
      </c>
      <c r="M338" t="str">
        <f>_xlfn.XLOOKUP($I338,$A:$A,E:E)</f>
        <v>L1</v>
      </c>
    </row>
    <row r="339" spans="1:13" customFormat="1" ht="20.25">
      <c r="A339" s="34">
        <v>339</v>
      </c>
      <c r="B339" s="33" t="s">
        <v>416</v>
      </c>
      <c r="C339" s="34"/>
      <c r="D339" s="33">
        <v>6</v>
      </c>
      <c r="E339" s="33" t="s">
        <v>1416</v>
      </c>
      <c r="I339">
        <v>660</v>
      </c>
      <c r="J339" t="str">
        <f>_xlfn.XLOOKUP($I339,$A:$A,B:B)</f>
        <v>Francisco</v>
      </c>
      <c r="K339">
        <f>_xlfn.XLOOKUP($I339,$A:$A,C:C)</f>
        <v>29</v>
      </c>
      <c r="L339">
        <f>_xlfn.XLOOKUP($I339,$A:$A,D:D)</f>
        <v>9</v>
      </c>
      <c r="M339" t="str">
        <f>_xlfn.XLOOKUP($I339,$A:$A,E:E)</f>
        <v>L1</v>
      </c>
    </row>
    <row r="340" spans="1:13" customFormat="1" ht="20.25">
      <c r="A340" s="34">
        <v>340</v>
      </c>
      <c r="B340" s="33" t="s">
        <v>417</v>
      </c>
      <c r="C340" s="34">
        <v>49</v>
      </c>
      <c r="D340" s="33">
        <v>5</v>
      </c>
      <c r="E340" s="33" t="s">
        <v>1416</v>
      </c>
      <c r="I340">
        <v>254</v>
      </c>
      <c r="J340" t="str">
        <f>_xlfn.XLOOKUP($I340,$A:$A,B:B)</f>
        <v>frente</v>
      </c>
      <c r="K340">
        <f>_xlfn.XLOOKUP($I340,$A:$A,C:C)</f>
        <v>62</v>
      </c>
      <c r="L340">
        <f>_xlfn.XLOOKUP($I340,$A:$A,D:D)</f>
        <v>10</v>
      </c>
      <c r="M340" t="str">
        <f>_xlfn.XLOOKUP($I340,$A:$A,E:E)</f>
        <v>L2</v>
      </c>
    </row>
    <row r="341" spans="1:13" customFormat="1" ht="20.25">
      <c r="A341" s="34">
        <v>341</v>
      </c>
      <c r="B341" s="33" t="s">
        <v>418</v>
      </c>
      <c r="C341" s="34">
        <v>49</v>
      </c>
      <c r="D341" s="33">
        <v>1</v>
      </c>
      <c r="E341" s="33" t="s">
        <v>1416</v>
      </c>
      <c r="I341">
        <v>23</v>
      </c>
      <c r="J341" t="str">
        <f>_xlfn.XLOOKUP($I341,$A:$A,B:B)</f>
        <v>fue</v>
      </c>
      <c r="K341">
        <f>_xlfn.XLOOKUP($I341,$A:$A,C:C)</f>
        <v>944</v>
      </c>
      <c r="L341">
        <f>_xlfn.XLOOKUP($I341,$A:$A,D:D)</f>
        <v>9</v>
      </c>
      <c r="M341" t="str">
        <f>_xlfn.XLOOKUP($I341,$A:$A,E:E)</f>
        <v>L1</v>
      </c>
    </row>
    <row r="342" spans="1:13" customFormat="1" ht="20.25">
      <c r="A342" s="34">
        <v>342</v>
      </c>
      <c r="B342" s="33" t="s">
        <v>419</v>
      </c>
      <c r="C342" s="34">
        <v>49</v>
      </c>
      <c r="D342" s="33">
        <v>5</v>
      </c>
      <c r="E342" s="33" t="s">
        <v>1416</v>
      </c>
      <c r="I342">
        <v>741</v>
      </c>
      <c r="J342" t="str">
        <f>_xlfn.XLOOKUP($I342,$A:$A,B:B)</f>
        <v>fuego</v>
      </c>
      <c r="K342">
        <f>_xlfn.XLOOKUP($I342,$A:$A,C:C)</f>
        <v>26</v>
      </c>
      <c r="L342">
        <f>_xlfn.XLOOKUP($I342,$A:$A,D:D)</f>
        <v>14</v>
      </c>
      <c r="M342" t="str">
        <f>_xlfn.XLOOKUP($I342,$A:$A,E:E)</f>
        <v>L1</v>
      </c>
    </row>
    <row r="343" spans="1:13" customFormat="1" ht="20.25">
      <c r="A343" s="34">
        <v>343</v>
      </c>
      <c r="B343" s="33" t="s">
        <v>420</v>
      </c>
      <c r="C343" s="34">
        <v>49</v>
      </c>
      <c r="D343" s="33">
        <v>5</v>
      </c>
      <c r="E343" s="33" t="s">
        <v>1416</v>
      </c>
      <c r="I343">
        <v>679</v>
      </c>
      <c r="J343" t="str">
        <f>_xlfn.XLOOKUP($I343,$A:$A,B:B)</f>
        <v>fuente</v>
      </c>
      <c r="K343">
        <f>_xlfn.XLOOKUP($I343,$A:$A,C:C)</f>
        <v>0</v>
      </c>
      <c r="L343">
        <f>_xlfn.XLOOKUP($I343,$A:$A,D:D)</f>
        <v>6</v>
      </c>
      <c r="M343" t="str">
        <f>_xlfn.XLOOKUP($I343,$A:$A,E:E)</f>
        <v>L2</v>
      </c>
    </row>
    <row r="344" spans="1:13" customFormat="1" ht="20.25">
      <c r="A344" s="34"/>
      <c r="B344" s="33"/>
      <c r="C344" s="34"/>
      <c r="D344" s="33"/>
      <c r="E344" s="33"/>
      <c r="I344">
        <v>921</v>
      </c>
      <c r="J344" t="str">
        <f>_xlfn.XLOOKUP($I344,$A:$A,B:B)</f>
        <v>fuentes</v>
      </c>
      <c r="K344">
        <f>_xlfn.XLOOKUP($I344,$A:$A,C:C)</f>
        <v>22</v>
      </c>
      <c r="L344">
        <f>_xlfn.XLOOKUP($I344,$A:$A,D:D)</f>
        <v>7</v>
      </c>
      <c r="M344" t="str">
        <f>_xlfn.XLOOKUP($I344,$A:$A,E:E)</f>
        <v>L3</v>
      </c>
    </row>
    <row r="345" spans="1:13" customFormat="1" ht="20.25">
      <c r="A345" s="34">
        <v>345</v>
      </c>
      <c r="B345" s="33" t="s">
        <v>422</v>
      </c>
      <c r="C345" s="34"/>
      <c r="D345" s="33">
        <v>6</v>
      </c>
      <c r="E345" s="33" t="s">
        <v>1416</v>
      </c>
      <c r="I345">
        <v>246</v>
      </c>
      <c r="J345" t="str">
        <f>_xlfn.XLOOKUP($I345,$A:$A,B:B)</f>
        <v>fuera</v>
      </c>
      <c r="K345">
        <f>_xlfn.XLOOKUP($I345,$A:$A,C:C)</f>
        <v>65</v>
      </c>
      <c r="L345">
        <f>_xlfn.XLOOKUP($I345,$A:$A,D:D)</f>
        <v>13</v>
      </c>
      <c r="M345" t="str">
        <f>_xlfn.XLOOKUP($I345,$A:$A,E:E)</f>
        <v>L1</v>
      </c>
    </row>
    <row r="346" spans="1:13" customFormat="1" ht="20.25">
      <c r="A346" s="34">
        <v>346</v>
      </c>
      <c r="B346" s="33" t="s">
        <v>423</v>
      </c>
      <c r="C346" s="34">
        <v>48</v>
      </c>
      <c r="D346" s="33">
        <v>2</v>
      </c>
      <c r="E346" s="33" t="s">
        <v>1416</v>
      </c>
      <c r="I346">
        <v>66</v>
      </c>
      <c r="J346" t="str">
        <f>_xlfn.XLOOKUP($I346,$A:$A,B:B)</f>
        <v>fueron</v>
      </c>
      <c r="K346">
        <f>_xlfn.XLOOKUP($I346,$A:$A,C:C)</f>
        <v>183</v>
      </c>
      <c r="L346">
        <f>_xlfn.XLOOKUP($I346,$A:$A,D:D)</f>
        <v>9</v>
      </c>
      <c r="M346" t="str">
        <f>_xlfn.XLOOKUP($I346,$A:$A,E:E)</f>
        <v>L1</v>
      </c>
    </row>
    <row r="347" spans="1:13" customFormat="1" ht="20.25">
      <c r="A347" s="34">
        <v>347</v>
      </c>
      <c r="B347" s="33" t="s">
        <v>424</v>
      </c>
      <c r="C347" s="34">
        <v>48</v>
      </c>
      <c r="D347" s="33">
        <v>1</v>
      </c>
      <c r="E347" s="33" t="s">
        <v>1416</v>
      </c>
      <c r="I347">
        <v>429</v>
      </c>
      <c r="J347" t="str">
        <f>_xlfn.XLOOKUP($I347,$A:$A,B:B)</f>
        <v>fuerte</v>
      </c>
      <c r="K347">
        <f>_xlfn.XLOOKUP($I347,$A:$A,C:C)</f>
        <v>41</v>
      </c>
      <c r="L347">
        <f>_xlfn.XLOOKUP($I347,$A:$A,D:D)</f>
        <v>14</v>
      </c>
      <c r="M347" t="str">
        <f>_xlfn.XLOOKUP($I347,$A:$A,E:E)</f>
        <v>L2</v>
      </c>
    </row>
    <row r="348" spans="1:13" customFormat="1" ht="20.25">
      <c r="A348" s="34">
        <v>348</v>
      </c>
      <c r="B348" s="33" t="s">
        <v>425</v>
      </c>
      <c r="C348" s="34">
        <v>48</v>
      </c>
      <c r="D348" s="33">
        <v>12</v>
      </c>
      <c r="E348" s="33" t="s">
        <v>1416</v>
      </c>
      <c r="I348">
        <v>492</v>
      </c>
      <c r="J348" t="str">
        <f>_xlfn.XLOOKUP($I348,$A:$A,B:B)</f>
        <v>fuerza</v>
      </c>
      <c r="K348">
        <f>_xlfn.XLOOKUP($I348,$A:$A,C:C)</f>
        <v>37</v>
      </c>
      <c r="L348">
        <f>_xlfn.XLOOKUP($I348,$A:$A,D:D)</f>
        <v>6</v>
      </c>
      <c r="M348" t="str">
        <f>_xlfn.XLOOKUP($I348,$A:$A,E:E)</f>
        <v>L2</v>
      </c>
    </row>
    <row r="349" spans="1:13" customFormat="1" ht="20.25">
      <c r="A349" s="34">
        <v>349</v>
      </c>
      <c r="B349" s="33" t="s">
        <v>426</v>
      </c>
      <c r="C349" s="34">
        <v>48</v>
      </c>
      <c r="D349" s="33">
        <v>6</v>
      </c>
      <c r="E349" s="33" t="s">
        <v>1416</v>
      </c>
      <c r="I349">
        <v>378</v>
      </c>
      <c r="J349" t="str">
        <f>_xlfn.XLOOKUP($I349,$A:$A,B:B)</f>
        <v>fuerzas</v>
      </c>
      <c r="K349">
        <f>_xlfn.XLOOKUP($I349,$A:$A,C:C)</f>
        <v>45</v>
      </c>
      <c r="L349">
        <f>_xlfn.XLOOKUP($I349,$A:$A,D:D)</f>
        <v>1</v>
      </c>
      <c r="M349" t="str">
        <f>_xlfn.XLOOKUP($I349,$A:$A,E:E)</f>
        <v>L2</v>
      </c>
    </row>
    <row r="350" spans="1:13" customFormat="1" ht="20.25">
      <c r="A350" s="34">
        <v>350</v>
      </c>
      <c r="B350" s="33" t="s">
        <v>427</v>
      </c>
      <c r="C350" s="34">
        <v>48</v>
      </c>
      <c r="D350" s="33">
        <v>10</v>
      </c>
      <c r="E350" s="33" t="s">
        <v>1416</v>
      </c>
      <c r="I350">
        <v>493</v>
      </c>
      <c r="J350" t="str">
        <f>_xlfn.XLOOKUP($I350,$A:$A,B:B)</f>
        <v>función</v>
      </c>
      <c r="K350">
        <f>_xlfn.XLOOKUP($I350,$A:$A,C:C)</f>
        <v>37</v>
      </c>
      <c r="L350">
        <f>_xlfn.XLOOKUP($I350,$A:$A,D:D)</f>
        <v>6</v>
      </c>
      <c r="M350" t="str">
        <f>_xlfn.XLOOKUP($I350,$A:$A,E:E)</f>
        <v>L2</v>
      </c>
    </row>
    <row r="351" spans="1:13" customFormat="1" ht="20.25">
      <c r="A351" s="34"/>
      <c r="B351" s="33"/>
      <c r="C351" s="34"/>
      <c r="D351" s="33"/>
      <c r="E351" s="33"/>
      <c r="I351">
        <v>708</v>
      </c>
      <c r="J351" t="str">
        <f>_xlfn.XLOOKUP($I351,$A:$A,B:B)</f>
        <v>funciones</v>
      </c>
      <c r="K351">
        <f>_xlfn.XLOOKUP($I351,$A:$A,C:C)</f>
        <v>27</v>
      </c>
      <c r="L351">
        <f>_xlfn.XLOOKUP($I351,$A:$A,D:D)</f>
        <v>6</v>
      </c>
      <c r="M351" t="str">
        <f>_xlfn.XLOOKUP($I351,$A:$A,E:E)</f>
        <v>L2</v>
      </c>
    </row>
    <row r="352" spans="1:13" customFormat="1" ht="20.25">
      <c r="A352" s="34">
        <v>352</v>
      </c>
      <c r="B352" s="33" t="s">
        <v>429</v>
      </c>
      <c r="C352" s="34">
        <v>48</v>
      </c>
      <c r="D352" s="33">
        <v>7</v>
      </c>
      <c r="E352" s="33" t="s">
        <v>1416</v>
      </c>
      <c r="I352">
        <v>780</v>
      </c>
      <c r="J352" t="str">
        <f>_xlfn.XLOOKUP($I352,$A:$A,B:B)</f>
        <v>fútbol</v>
      </c>
      <c r="K352">
        <f>_xlfn.XLOOKUP($I352,$A:$A,C:C)</f>
        <v>25</v>
      </c>
      <c r="L352">
        <f>_xlfn.XLOOKUP($I352,$A:$A,D:D)</f>
        <v>4</v>
      </c>
      <c r="M352" t="str">
        <f>_xlfn.XLOOKUP($I352,$A:$A,E:E)</f>
        <v>L2</v>
      </c>
    </row>
    <row r="353" spans="1:13" customFormat="1" ht="20.25">
      <c r="A353" s="34">
        <v>353</v>
      </c>
      <c r="B353" s="33" t="s">
        <v>430</v>
      </c>
      <c r="C353" s="34">
        <v>48</v>
      </c>
      <c r="D353" s="33">
        <v>3</v>
      </c>
      <c r="E353" s="33" t="s">
        <v>1416</v>
      </c>
      <c r="I353">
        <v>922</v>
      </c>
      <c r="J353" t="str">
        <f>_xlfn.XLOOKUP($I353,$A:$A,B:B)</f>
        <v>futuro</v>
      </c>
      <c r="K353">
        <f>_xlfn.XLOOKUP($I353,$A:$A,C:C)</f>
        <v>22</v>
      </c>
      <c r="L353">
        <f>_xlfn.XLOOKUP($I353,$A:$A,D:D)</f>
        <v>2</v>
      </c>
      <c r="M353" t="str">
        <f>_xlfn.XLOOKUP($I353,$A:$A,E:E)</f>
        <v>L2</v>
      </c>
    </row>
    <row r="354" spans="1:13" customFormat="1" ht="20.25">
      <c r="A354" s="34">
        <v>354</v>
      </c>
      <c r="B354" s="33" t="s">
        <v>431</v>
      </c>
      <c r="C354" s="34">
        <v>48</v>
      </c>
      <c r="D354" s="33">
        <v>3</v>
      </c>
      <c r="E354" s="33" t="s">
        <v>1416</v>
      </c>
      <c r="I354">
        <v>607</v>
      </c>
      <c r="J354" t="str">
        <f>_xlfn.XLOOKUP($I354,$A:$A,B:B)</f>
        <v>ganó</v>
      </c>
      <c r="K354">
        <f>_xlfn.XLOOKUP($I354,$A:$A,C:C)</f>
        <v>31</v>
      </c>
      <c r="L354">
        <f>_xlfn.XLOOKUP($I354,$A:$A,D:D)</f>
        <v>4</v>
      </c>
      <c r="M354" t="str">
        <f>_xlfn.XLOOKUP($I354,$A:$A,E:E)</f>
        <v>L2</v>
      </c>
    </row>
    <row r="355" spans="1:13" customFormat="1" ht="20.25">
      <c r="A355" s="34">
        <v>355</v>
      </c>
      <c r="B355" s="33" t="s">
        <v>432</v>
      </c>
      <c r="C355" s="34">
        <v>48</v>
      </c>
      <c r="D355" s="33">
        <v>1</v>
      </c>
      <c r="E355" s="33" t="s">
        <v>1416</v>
      </c>
      <c r="I355">
        <v>148</v>
      </c>
      <c r="J355" t="str">
        <f>_xlfn.XLOOKUP($I355,$A:$A,B:B)</f>
        <v>general</v>
      </c>
      <c r="K355">
        <f>_xlfn.XLOOKUP($I355,$A:$A,C:C)</f>
        <v>94</v>
      </c>
      <c r="L355">
        <f>_xlfn.XLOOKUP($I355,$A:$A,D:D)</f>
        <v>1</v>
      </c>
      <c r="M355" t="str">
        <f>_xlfn.XLOOKUP($I355,$A:$A,E:E)</f>
        <v>L2</v>
      </c>
    </row>
    <row r="356" spans="1:13" customFormat="1" ht="20.25">
      <c r="A356" s="34">
        <v>356</v>
      </c>
      <c r="B356" s="33" t="s">
        <v>433</v>
      </c>
      <c r="C356" s="34">
        <v>47</v>
      </c>
      <c r="D356" s="33">
        <v>11</v>
      </c>
      <c r="E356" s="33" t="s">
        <v>1413</v>
      </c>
      <c r="I356">
        <v>680</v>
      </c>
      <c r="J356" t="str">
        <f>_xlfn.XLOOKUP($I356,$A:$A,B:B)</f>
        <v>generalmente</v>
      </c>
      <c r="K356">
        <f>_xlfn.XLOOKUP($I356,$A:$A,C:C)</f>
        <v>28</v>
      </c>
      <c r="L356">
        <f>_xlfn.XLOOKUP($I356,$A:$A,D:D)</f>
        <v>2</v>
      </c>
      <c r="M356" t="str">
        <f>_xlfn.XLOOKUP($I356,$A:$A,E:E)</f>
        <v>L2</v>
      </c>
    </row>
    <row r="357" spans="1:13" customFormat="1" ht="20.25">
      <c r="A357" s="34">
        <v>357</v>
      </c>
      <c r="B357" s="33" t="s">
        <v>434</v>
      </c>
      <c r="C357" s="34">
        <v>47</v>
      </c>
      <c r="D357" s="33">
        <v>6</v>
      </c>
      <c r="E357" s="33" t="s">
        <v>1416</v>
      </c>
      <c r="I357">
        <v>742</v>
      </c>
      <c r="J357" t="str">
        <f>_xlfn.XLOOKUP($I357,$A:$A,B:B)</f>
        <v>género</v>
      </c>
      <c r="K357">
        <f>_xlfn.XLOOKUP($I357,$A:$A,C:C)</f>
        <v>26</v>
      </c>
      <c r="L357">
        <f>_xlfn.XLOOKUP($I357,$A:$A,D:D)</f>
        <v>12</v>
      </c>
      <c r="M357" t="str">
        <f>_xlfn.XLOOKUP($I357,$A:$A,E:E)</f>
        <v>L3</v>
      </c>
    </row>
    <row r="358" spans="1:13" customFormat="1" ht="20.25">
      <c r="A358" s="34">
        <v>358</v>
      </c>
      <c r="B358" s="33" t="s">
        <v>435</v>
      </c>
      <c r="C358" s="34">
        <v>47</v>
      </c>
      <c r="D358" s="33">
        <v>12</v>
      </c>
      <c r="E358" s="33" t="s">
        <v>1413</v>
      </c>
      <c r="I358">
        <v>507</v>
      </c>
      <c r="J358" t="str">
        <f>_xlfn.XLOOKUP($I358,$A:$A,B:B)</f>
        <v>gente</v>
      </c>
      <c r="K358">
        <f>_xlfn.XLOOKUP($I358,$A:$A,C:C)</f>
        <v>36</v>
      </c>
      <c r="L358">
        <f>_xlfn.XLOOKUP($I358,$A:$A,D:D)</f>
        <v>12</v>
      </c>
      <c r="M358" t="str">
        <f>_xlfn.XLOOKUP($I358,$A:$A,E:E)</f>
        <v>L1</v>
      </c>
    </row>
    <row r="359" spans="1:13" customFormat="1" ht="20.25">
      <c r="A359" s="34">
        <v>359</v>
      </c>
      <c r="B359" s="33" t="s">
        <v>436</v>
      </c>
      <c r="C359" s="34">
        <v>47</v>
      </c>
      <c r="D359" s="33">
        <v>9</v>
      </c>
      <c r="E359" s="33" t="s">
        <v>1413</v>
      </c>
      <c r="I359">
        <v>818</v>
      </c>
      <c r="J359" t="str">
        <f>_xlfn.XLOOKUP($I359,$A:$A,B:B)</f>
        <v>gestión</v>
      </c>
      <c r="K359">
        <f>_xlfn.XLOOKUP($I359,$A:$A,C:C)</f>
        <v>24</v>
      </c>
      <c r="L359">
        <f>_xlfn.XLOOKUP($I359,$A:$A,D:D)</f>
        <v>5</v>
      </c>
      <c r="M359" t="str">
        <f>_xlfn.XLOOKUP($I359,$A:$A,E:E)</f>
        <v>L3</v>
      </c>
    </row>
    <row r="360" spans="1:13" customFormat="1" ht="20.25">
      <c r="A360" s="34">
        <v>360</v>
      </c>
      <c r="B360" s="33" t="s">
        <v>437</v>
      </c>
      <c r="C360" s="34">
        <v>47</v>
      </c>
      <c r="D360" s="33">
        <v>6</v>
      </c>
      <c r="E360" s="33" t="s">
        <v>1416</v>
      </c>
      <c r="I360">
        <v>709</v>
      </c>
      <c r="J360" t="str">
        <f>_xlfn.XLOOKUP($I360,$A:$A,B:B)</f>
        <v>gira</v>
      </c>
      <c r="K360">
        <f>_xlfn.XLOOKUP($I360,$A:$A,C:C)</f>
        <v>27</v>
      </c>
      <c r="L360">
        <f>_xlfn.XLOOKUP($I360,$A:$A,D:D)</f>
        <v>3</v>
      </c>
      <c r="M360" t="str">
        <f>_xlfn.XLOOKUP($I360,$A:$A,E:E)</f>
        <v>L2</v>
      </c>
    </row>
    <row r="361" spans="1:13" customFormat="1" ht="20.25">
      <c r="A361" s="34">
        <v>361</v>
      </c>
      <c r="B361" s="33" t="s">
        <v>438</v>
      </c>
      <c r="C361" s="34">
        <v>47</v>
      </c>
      <c r="D361" s="33">
        <v>10</v>
      </c>
      <c r="E361" s="33" t="s">
        <v>1413</v>
      </c>
      <c r="I361">
        <v>966</v>
      </c>
      <c r="J361" t="str">
        <f>_xlfn.XLOOKUP($I361,$A:$A,B:B)</f>
        <v>gobernador</v>
      </c>
      <c r="K361">
        <f>_xlfn.XLOOKUP($I361,$A:$A,C:C)</f>
        <v>21</v>
      </c>
      <c r="L361">
        <f>_xlfn.XLOOKUP($I361,$A:$A,D:D)</f>
        <v>1</v>
      </c>
      <c r="M361" t="str">
        <f>_xlfn.XLOOKUP($I361,$A:$A,E:E)</f>
        <v>L2</v>
      </c>
    </row>
    <row r="362" spans="1:13" customFormat="1" ht="20.25">
      <c r="A362" s="34">
        <v>362</v>
      </c>
      <c r="B362" s="33" t="s">
        <v>439</v>
      </c>
      <c r="C362" s="34">
        <v>47</v>
      </c>
      <c r="D362" s="33">
        <v>9</v>
      </c>
      <c r="E362" s="33" t="s">
        <v>1416</v>
      </c>
      <c r="I362">
        <v>140</v>
      </c>
      <c r="J362" t="str">
        <f>_xlfn.XLOOKUP($I362,$A:$A,B:B)</f>
        <v>gobierno</v>
      </c>
      <c r="K362">
        <f>_xlfn.XLOOKUP($I362,$A:$A,C:C)</f>
        <v>96</v>
      </c>
      <c r="L362">
        <f>_xlfn.XLOOKUP($I362,$A:$A,D:D)</f>
        <v>1</v>
      </c>
      <c r="M362" t="str">
        <f>_xlfn.XLOOKUP($I362,$A:$A,E:E)</f>
        <v>L2</v>
      </c>
    </row>
    <row r="363" spans="1:13" customFormat="1" ht="20.25">
      <c r="A363" s="34">
        <v>363</v>
      </c>
      <c r="B363" s="33" t="s">
        <v>440</v>
      </c>
      <c r="C363" s="34"/>
      <c r="D363" s="33">
        <v>5</v>
      </c>
      <c r="E363" s="33" t="s">
        <v>1416</v>
      </c>
      <c r="I363">
        <v>526</v>
      </c>
      <c r="J363" t="str">
        <f>_xlfn.XLOOKUP($I363,$A:$A,B:B)</f>
        <v>gracias</v>
      </c>
      <c r="K363">
        <f>_xlfn.XLOOKUP($I363,$A:$A,C:C)</f>
        <v>35</v>
      </c>
      <c r="L363">
        <f>_xlfn.XLOOKUP($I363,$A:$A,D:D)</f>
        <v>13</v>
      </c>
      <c r="M363" t="str">
        <f>_xlfn.XLOOKUP($I363,$A:$A,E:E)</f>
        <v>L1</v>
      </c>
    </row>
    <row r="364" spans="1:13" customFormat="1" ht="20.25">
      <c r="A364" s="34">
        <v>364</v>
      </c>
      <c r="B364" s="33" t="s">
        <v>441</v>
      </c>
      <c r="C364" s="34">
        <v>46</v>
      </c>
      <c r="D364" s="33">
        <v>8</v>
      </c>
      <c r="E364" s="33" t="s">
        <v>1416</v>
      </c>
      <c r="I364">
        <v>78</v>
      </c>
      <c r="J364" t="str">
        <f>_xlfn.XLOOKUP($I364,$A:$A,B:B)</f>
        <v>gran</v>
      </c>
      <c r="K364">
        <f>_xlfn.XLOOKUP($I364,$A:$A,C:C)</f>
        <v>160</v>
      </c>
      <c r="L364">
        <f>_xlfn.XLOOKUP($I364,$A:$A,D:D)</f>
        <v>3</v>
      </c>
      <c r="M364" t="str">
        <f>_xlfn.XLOOKUP($I364,$A:$A,E:E)</f>
        <v>L1</v>
      </c>
    </row>
    <row r="365" spans="1:13" customFormat="1" ht="20.25">
      <c r="A365" s="34">
        <v>365</v>
      </c>
      <c r="B365" s="33" t="s">
        <v>442</v>
      </c>
      <c r="C365" s="34">
        <v>46</v>
      </c>
      <c r="D365" s="33">
        <v>7</v>
      </c>
      <c r="E365" s="33" t="s">
        <v>1419</v>
      </c>
      <c r="I365">
        <v>640</v>
      </c>
      <c r="J365" t="str">
        <f>_xlfn.XLOOKUP($I365,$A:$A,B:B)</f>
        <v>grande</v>
      </c>
      <c r="K365">
        <f>_xlfn.XLOOKUP($I365,$A:$A,C:C)</f>
        <v>29</v>
      </c>
      <c r="L365">
        <f>_xlfn.XLOOKUP($I365,$A:$A,D:D)</f>
        <v>10</v>
      </c>
      <c r="M365" t="str">
        <f>_xlfn.XLOOKUP($I365,$A:$A,E:E)</f>
        <v>L1</v>
      </c>
    </row>
    <row r="366" spans="1:13" customFormat="1" ht="20.25">
      <c r="A366" s="34">
        <v>366</v>
      </c>
      <c r="B366" s="33" t="s">
        <v>443</v>
      </c>
      <c r="C366" s="34">
        <v>46</v>
      </c>
      <c r="D366" s="33">
        <v>1</v>
      </c>
      <c r="E366" s="33" t="s">
        <v>1416</v>
      </c>
      <c r="I366">
        <v>210</v>
      </c>
      <c r="J366" t="str">
        <f>_xlfn.XLOOKUP($I366,$A:$A,B:B)</f>
        <v>grandes</v>
      </c>
      <c r="K366">
        <f>_xlfn.XLOOKUP($I366,$A:$A,C:C)</f>
        <v>73</v>
      </c>
      <c r="L366">
        <f>_xlfn.XLOOKUP($I366,$A:$A,D:D)</f>
        <v>10</v>
      </c>
      <c r="M366" t="str">
        <f>_xlfn.XLOOKUP($I366,$A:$A,E:E)</f>
        <v>L1</v>
      </c>
    </row>
    <row r="367" spans="1:13" customFormat="1" ht="20.25">
      <c r="A367" s="34">
        <v>367</v>
      </c>
      <c r="B367" s="33" t="s">
        <v>444</v>
      </c>
      <c r="C367" s="34">
        <v>46</v>
      </c>
      <c r="D367" s="33">
        <v>9</v>
      </c>
      <c r="E367" s="33" t="s">
        <v>1413</v>
      </c>
      <c r="I367">
        <v>99</v>
      </c>
      <c r="J367" t="str">
        <f>_xlfn.XLOOKUP($I367,$A:$A,B:B)</f>
        <v>grupo</v>
      </c>
      <c r="K367">
        <f>_xlfn.XLOOKUP($I367,$A:$A,C:C)</f>
        <v>127</v>
      </c>
      <c r="L367">
        <f>_xlfn.XLOOKUP($I367,$A:$A,D:D)</f>
        <v>5</v>
      </c>
      <c r="M367" t="str">
        <f>_xlfn.XLOOKUP($I367,$A:$A,E:E)</f>
        <v>L2</v>
      </c>
    </row>
    <row r="368" spans="1:13" customFormat="1" ht="20.25">
      <c r="A368" s="34">
        <v>368</v>
      </c>
      <c r="B368" s="33" t="s">
        <v>445</v>
      </c>
      <c r="C368" s="34">
        <v>46</v>
      </c>
      <c r="D368" s="33">
        <v>2</v>
      </c>
      <c r="E368" s="33" t="s">
        <v>1416</v>
      </c>
      <c r="I368">
        <v>641</v>
      </c>
      <c r="J368" t="str">
        <f>_xlfn.XLOOKUP($I368,$A:$A,B:B)</f>
        <v>grupos</v>
      </c>
      <c r="K368">
        <f>_xlfn.XLOOKUP($I368,$A:$A,C:C)</f>
        <v>29</v>
      </c>
      <c r="L368">
        <f>_xlfn.XLOOKUP($I368,$A:$A,D:D)</f>
        <v>12</v>
      </c>
      <c r="M368" t="str">
        <f>_xlfn.XLOOKUP($I368,$A:$A,E:E)</f>
        <v>L2</v>
      </c>
    </row>
    <row r="369" spans="1:13" customFormat="1" ht="20.25">
      <c r="A369" s="34">
        <v>369</v>
      </c>
      <c r="B369" s="33" t="s">
        <v>446</v>
      </c>
      <c r="C369" s="34">
        <v>46</v>
      </c>
      <c r="D369" s="33">
        <v>12</v>
      </c>
      <c r="E369" s="33" t="s">
        <v>1416</v>
      </c>
      <c r="I369">
        <v>211</v>
      </c>
      <c r="J369" t="str">
        <f>_xlfn.XLOOKUP($I369,$A:$A,B:B)</f>
        <v>guerra</v>
      </c>
      <c r="K369">
        <f>_xlfn.XLOOKUP($I369,$A:$A,C:C)</f>
        <v>72</v>
      </c>
      <c r="L369">
        <f>_xlfn.XLOOKUP($I369,$A:$A,D:D)</f>
        <v>1</v>
      </c>
      <c r="M369" t="str">
        <f>_xlfn.XLOOKUP($I369,$A:$A,E:E)</f>
        <v>L2</v>
      </c>
    </row>
    <row r="370" spans="1:13" customFormat="1" ht="20.25">
      <c r="A370" s="34">
        <v>370</v>
      </c>
      <c r="B370" s="33" t="s">
        <v>447</v>
      </c>
      <c r="C370" s="34">
        <v>46</v>
      </c>
      <c r="D370" s="33">
        <v>10</v>
      </c>
      <c r="E370" s="33" t="s">
        <v>1416</v>
      </c>
      <c r="I370">
        <v>36</v>
      </c>
      <c r="J370" t="str">
        <f>_xlfn.XLOOKUP($I370,$A:$A,B:B)</f>
        <v>ha</v>
      </c>
      <c r="K370">
        <f>_xlfn.XLOOKUP($I370,$A:$A,C:C)</f>
        <v>334</v>
      </c>
      <c r="L370">
        <f>_xlfn.XLOOKUP($I370,$A:$A,D:D)</f>
        <v>9</v>
      </c>
      <c r="M370" t="str">
        <f>_xlfn.XLOOKUP($I370,$A:$A,E:E)</f>
        <v>L3</v>
      </c>
    </row>
    <row r="371" spans="1:13" customFormat="1" ht="20.25">
      <c r="A371" s="34"/>
      <c r="B371" s="33"/>
      <c r="C371" s="34"/>
      <c r="D371" s="33"/>
      <c r="E371" s="33"/>
      <c r="I371">
        <v>217</v>
      </c>
      <c r="J371" t="str">
        <f>_xlfn.XLOOKUP($I371,$A:$A,B:B)</f>
        <v>haber</v>
      </c>
      <c r="K371">
        <f>_xlfn.XLOOKUP($I371,$A:$A,C:C)</f>
        <v>71</v>
      </c>
      <c r="L371">
        <f>_xlfn.XLOOKUP($I371,$A:$A,D:D)</f>
        <v>15</v>
      </c>
      <c r="M371" t="str">
        <f>_xlfn.XLOOKUP($I371,$A:$A,E:E)</f>
        <v>L1</v>
      </c>
    </row>
    <row r="372" spans="1:13" customFormat="1" ht="20.25">
      <c r="A372" s="34">
        <v>372</v>
      </c>
      <c r="B372" s="33" t="s">
        <v>449</v>
      </c>
      <c r="C372" s="34">
        <v>46</v>
      </c>
      <c r="D372" s="33">
        <v>13</v>
      </c>
      <c r="E372" s="33" t="s">
        <v>1416</v>
      </c>
      <c r="I372">
        <v>61</v>
      </c>
      <c r="J372" t="str">
        <f>_xlfn.XLOOKUP($I372,$A:$A,B:B)</f>
        <v>había</v>
      </c>
      <c r="K372">
        <f>_xlfn.XLOOKUP($I372,$A:$A,C:C)</f>
        <v>203</v>
      </c>
      <c r="L372">
        <f>_xlfn.XLOOKUP($I372,$A:$A,D:D)</f>
        <v>9</v>
      </c>
      <c r="M372" t="str">
        <f>_xlfn.XLOOKUP($I372,$A:$A,E:E)</f>
        <v>L1</v>
      </c>
    </row>
    <row r="373" spans="1:13" customFormat="1" ht="20.25">
      <c r="A373" s="34">
        <v>373</v>
      </c>
      <c r="B373" s="33" t="s">
        <v>450</v>
      </c>
      <c r="C373" s="34">
        <v>46</v>
      </c>
      <c r="D373" s="33">
        <v>6</v>
      </c>
      <c r="E373" s="33" t="s">
        <v>1413</v>
      </c>
      <c r="I373">
        <v>191</v>
      </c>
      <c r="J373" t="str">
        <f>_xlfn.XLOOKUP($I373,$A:$A,B:B)</f>
        <v>habían</v>
      </c>
      <c r="K373">
        <f>_xlfn.XLOOKUP($I373,$A:$A,C:C)</f>
        <v>79</v>
      </c>
      <c r="L373">
        <f>_xlfn.XLOOKUP($I373,$A:$A,D:D)</f>
        <v>9</v>
      </c>
      <c r="M373" t="str">
        <f>_xlfn.XLOOKUP($I373,$A:$A,E:E)</f>
        <v>L1</v>
      </c>
    </row>
    <row r="374" spans="1:13" customFormat="1" ht="20.25">
      <c r="A374" s="34">
        <v>374</v>
      </c>
      <c r="B374" s="33" t="s">
        <v>451</v>
      </c>
      <c r="C374" s="34">
        <v>46</v>
      </c>
      <c r="D374" s="33">
        <v>1</v>
      </c>
      <c r="E374" s="33" t="s">
        <v>1416</v>
      </c>
      <c r="I374">
        <v>411</v>
      </c>
      <c r="J374" t="str">
        <f>_xlfn.XLOOKUP($I374,$A:$A,B:B)</f>
        <v>habitantes</v>
      </c>
      <c r="K374">
        <f>_xlfn.XLOOKUP($I374,$A:$A,C:C)</f>
        <v>42</v>
      </c>
      <c r="L374">
        <f>_xlfn.XLOOKUP($I374,$A:$A,D:D)</f>
        <v>12</v>
      </c>
      <c r="M374" t="str">
        <f>_xlfn.XLOOKUP($I374,$A:$A,E:E)</f>
        <v>L2</v>
      </c>
    </row>
    <row r="375" spans="1:13" customFormat="1" ht="20.25">
      <c r="A375" s="34">
        <v>375</v>
      </c>
      <c r="B375" s="33" t="s">
        <v>452</v>
      </c>
      <c r="C375" s="34">
        <v>46</v>
      </c>
      <c r="D375" s="33">
        <v>5</v>
      </c>
      <c r="E375" s="33" t="s">
        <v>1416</v>
      </c>
      <c r="I375">
        <v>158</v>
      </c>
      <c r="J375" t="str">
        <f>_xlfn.XLOOKUP($I375,$A:$A,B:B)</f>
        <v>hace</v>
      </c>
      <c r="K375">
        <f>_xlfn.XLOOKUP($I375,$A:$A,C:C)</f>
        <v>88</v>
      </c>
      <c r="L375">
        <f>_xlfn.XLOOKUP($I375,$A:$A,D:D)</f>
        <v>13</v>
      </c>
      <c r="M375" t="str">
        <f>_xlfn.XLOOKUP($I375,$A:$A,E:E)</f>
        <v>L1</v>
      </c>
    </row>
    <row r="376" spans="1:13" customFormat="1" ht="20.25">
      <c r="A376" s="34">
        <v>376</v>
      </c>
      <c r="B376" s="33" t="s">
        <v>453</v>
      </c>
      <c r="C376" s="34"/>
      <c r="D376" s="33">
        <v>6</v>
      </c>
      <c r="E376" s="33" t="s">
        <v>1416</v>
      </c>
      <c r="I376">
        <v>608</v>
      </c>
      <c r="J376" t="str">
        <f>_xlfn.XLOOKUP($I376,$A:$A,B:B)</f>
        <v>hacen</v>
      </c>
      <c r="K376">
        <f>_xlfn.XLOOKUP($I376,$A:$A,C:C)</f>
        <v>31</v>
      </c>
      <c r="L376">
        <f>_xlfn.XLOOKUP($I376,$A:$A,D:D)</f>
        <v>5</v>
      </c>
      <c r="M376" t="str">
        <f>_xlfn.XLOOKUP($I376,$A:$A,E:E)</f>
        <v>L1</v>
      </c>
    </row>
    <row r="377" spans="1:13" customFormat="1" ht="20.25">
      <c r="A377" s="34">
        <v>377</v>
      </c>
      <c r="B377" s="33" t="s">
        <v>454</v>
      </c>
      <c r="C377" s="34"/>
      <c r="D377" s="33">
        <v>3</v>
      </c>
      <c r="E377" s="33" t="s">
        <v>1416</v>
      </c>
      <c r="I377">
        <v>241</v>
      </c>
      <c r="J377" t="str">
        <f>_xlfn.XLOOKUP($I377,$A:$A,B:B)</f>
        <v>hacer</v>
      </c>
      <c r="K377">
        <f>_xlfn.XLOOKUP($I377,$A:$A,C:C)</f>
        <v>65</v>
      </c>
      <c r="L377">
        <f>_xlfn.XLOOKUP($I377,$A:$A,D:D)</f>
        <v>13</v>
      </c>
      <c r="M377" t="str">
        <f>_xlfn.XLOOKUP($I377,$A:$A,E:E)</f>
        <v>L1</v>
      </c>
    </row>
    <row r="378" spans="1:13" customFormat="1" ht="20.25">
      <c r="A378" s="34">
        <v>378</v>
      </c>
      <c r="B378" s="33" t="s">
        <v>455</v>
      </c>
      <c r="C378" s="34">
        <v>45</v>
      </c>
      <c r="D378" s="33">
        <v>1</v>
      </c>
      <c r="E378" s="33" t="s">
        <v>1416</v>
      </c>
      <c r="I378">
        <v>128</v>
      </c>
      <c r="J378" t="str">
        <f>_xlfn.XLOOKUP($I378,$A:$A,B:B)</f>
        <v>hacia</v>
      </c>
      <c r="K378">
        <f>_xlfn.XLOOKUP($I378,$A:$A,C:C)</f>
        <v>103</v>
      </c>
      <c r="L378">
        <f>_xlfn.XLOOKUP($I378,$A:$A,D:D)</f>
        <v>13</v>
      </c>
      <c r="M378" t="str">
        <f>_xlfn.XLOOKUP($I378,$A:$A,E:E)</f>
        <v>L1</v>
      </c>
    </row>
    <row r="379" spans="1:13" customFormat="1" ht="20.25">
      <c r="A379" s="34">
        <v>379</v>
      </c>
      <c r="B379" s="33" t="s">
        <v>456</v>
      </c>
      <c r="C379" s="34">
        <v>45</v>
      </c>
      <c r="D379" s="33">
        <v>9</v>
      </c>
      <c r="E379" s="33" t="s">
        <v>1416</v>
      </c>
      <c r="I379">
        <v>781</v>
      </c>
      <c r="J379" t="str">
        <f>_xlfn.XLOOKUP($I379,$A:$A,B:B)</f>
        <v>haciendo</v>
      </c>
      <c r="K379">
        <f>_xlfn.XLOOKUP($I379,$A:$A,C:C)</f>
        <v>25</v>
      </c>
      <c r="L379">
        <f>_xlfn.XLOOKUP($I379,$A:$A,D:D)</f>
        <v>15</v>
      </c>
      <c r="M379" t="str">
        <f>_xlfn.XLOOKUP($I379,$A:$A,E:E)</f>
        <v>L1</v>
      </c>
    </row>
    <row r="380" spans="1:13" customFormat="1" ht="20.25">
      <c r="A380" s="34">
        <v>380</v>
      </c>
      <c r="B380" s="33" t="s">
        <v>457</v>
      </c>
      <c r="C380" s="34">
        <v>45</v>
      </c>
      <c r="D380" s="33">
        <v>12</v>
      </c>
      <c r="E380" s="33" t="s">
        <v>1413</v>
      </c>
      <c r="I380">
        <v>92</v>
      </c>
      <c r="J380" t="str">
        <f>_xlfn.XLOOKUP($I380,$A:$A,B:B)</f>
        <v>han</v>
      </c>
      <c r="K380">
        <f>_xlfn.XLOOKUP($I380,$A:$A,C:C)</f>
        <v>134</v>
      </c>
      <c r="L380">
        <f>_xlfn.XLOOKUP($I380,$A:$A,D:D)</f>
        <v>9</v>
      </c>
      <c r="M380" t="str">
        <f>_xlfn.XLOOKUP($I380,$A:$A,E:E)</f>
        <v>L1</v>
      </c>
    </row>
    <row r="381" spans="1:13" customFormat="1" ht="20.25">
      <c r="A381" s="34">
        <v>381</v>
      </c>
      <c r="B381" s="33" t="s">
        <v>458</v>
      </c>
      <c r="C381" s="34">
        <v>45</v>
      </c>
      <c r="D381" s="33">
        <v>10</v>
      </c>
      <c r="E381" s="33" t="s">
        <v>1413</v>
      </c>
      <c r="I381">
        <v>41</v>
      </c>
      <c r="J381" t="str">
        <f>_xlfn.XLOOKUP($I381,$A:$A,B:B)</f>
        <v>hasta</v>
      </c>
      <c r="K381">
        <f>_xlfn.XLOOKUP($I381,$A:$A,C:C)</f>
        <v>294</v>
      </c>
      <c r="L381">
        <f>_xlfn.XLOOKUP($I381,$A:$A,D:D)</f>
        <v>9</v>
      </c>
      <c r="M381" t="str">
        <f>_xlfn.XLOOKUP($I381,$A:$A,E:E)</f>
        <v>L1</v>
      </c>
    </row>
    <row r="382" spans="1:13" customFormat="1" ht="20.25">
      <c r="A382" s="34">
        <v>382</v>
      </c>
      <c r="B382" s="33" t="s">
        <v>459</v>
      </c>
      <c r="C382" s="34">
        <v>45</v>
      </c>
      <c r="D382" s="33">
        <v>5</v>
      </c>
      <c r="E382" s="33" t="s">
        <v>1416</v>
      </c>
      <c r="I382">
        <v>126</v>
      </c>
      <c r="J382" t="str">
        <f>_xlfn.XLOOKUP($I382,$A:$A,B:B)</f>
        <v>hay</v>
      </c>
      <c r="K382">
        <f>_xlfn.XLOOKUP($I382,$A:$A,C:C)</f>
        <v>104</v>
      </c>
      <c r="L382">
        <f>_xlfn.XLOOKUP($I382,$A:$A,D:D)</f>
        <v>12</v>
      </c>
      <c r="M382" t="str">
        <f>_xlfn.XLOOKUP($I382,$A:$A,E:E)</f>
        <v>L1</v>
      </c>
    </row>
    <row r="383" spans="1:13" customFormat="1" ht="20.25">
      <c r="A383" s="34">
        <v>383</v>
      </c>
      <c r="B383" s="33" t="s">
        <v>460</v>
      </c>
      <c r="C383" s="34">
        <v>45</v>
      </c>
      <c r="D383" s="33">
        <v>5</v>
      </c>
      <c r="E383" s="33" t="s">
        <v>1416</v>
      </c>
      <c r="I383">
        <v>192</v>
      </c>
      <c r="J383" t="str">
        <f>_xlfn.XLOOKUP($I383,$A:$A,B:B)</f>
        <v>hecho</v>
      </c>
      <c r="K383">
        <f>_xlfn.XLOOKUP($I383,$A:$A,C:C)</f>
        <v>79</v>
      </c>
      <c r="L383">
        <f>_xlfn.XLOOKUP($I383,$A:$A,D:D)</f>
        <v>15</v>
      </c>
      <c r="M383" t="str">
        <f>_xlfn.XLOOKUP($I383,$A:$A,E:E)</f>
        <v>L1</v>
      </c>
    </row>
    <row r="384" spans="1:13" customFormat="1" ht="20.25">
      <c r="A384" s="34">
        <v>384</v>
      </c>
      <c r="B384" s="33" t="s">
        <v>461</v>
      </c>
      <c r="C384" s="34">
        <v>45</v>
      </c>
      <c r="D384" s="33">
        <v>11</v>
      </c>
      <c r="E384" s="33" t="s">
        <v>1413</v>
      </c>
      <c r="I384">
        <v>557</v>
      </c>
      <c r="J384" t="str">
        <f>_xlfn.XLOOKUP($I384,$A:$A,B:B)</f>
        <v>hermano</v>
      </c>
      <c r="K384">
        <f>_xlfn.XLOOKUP($I384,$A:$A,C:C)</f>
        <v>33</v>
      </c>
      <c r="L384">
        <f>_xlfn.XLOOKUP($I384,$A:$A,D:D)</f>
        <v>12</v>
      </c>
      <c r="M384" t="str">
        <f>_xlfn.XLOOKUP($I384,$A:$A,E:E)</f>
        <v>L1</v>
      </c>
    </row>
    <row r="385" spans="1:13" customFormat="1" ht="20.25">
      <c r="A385" s="34">
        <v>385</v>
      </c>
      <c r="B385" s="33" t="s">
        <v>462</v>
      </c>
      <c r="C385" s="34">
        <v>45</v>
      </c>
      <c r="D385" s="33">
        <v>9</v>
      </c>
      <c r="E385" s="33" t="s">
        <v>1416</v>
      </c>
      <c r="I385">
        <v>609</v>
      </c>
      <c r="J385" t="str">
        <f>_xlfn.XLOOKUP($I385,$A:$A,B:B)</f>
        <v>hermanos</v>
      </c>
      <c r="K385">
        <f>_xlfn.XLOOKUP($I385,$A:$A,C:C)</f>
        <v>31</v>
      </c>
      <c r="L385">
        <f>_xlfn.XLOOKUP($I385,$A:$A,D:D)</f>
        <v>12</v>
      </c>
      <c r="M385" t="str">
        <f>_xlfn.XLOOKUP($I385,$A:$A,E:E)</f>
        <v>L1</v>
      </c>
    </row>
    <row r="386" spans="1:13" customFormat="1" ht="20.25">
      <c r="A386" s="34">
        <v>386</v>
      </c>
      <c r="B386" s="33" t="s">
        <v>463</v>
      </c>
      <c r="C386" s="34"/>
      <c r="D386" s="33">
        <v>12</v>
      </c>
      <c r="E386" s="33" t="s">
        <v>1416</v>
      </c>
      <c r="I386">
        <v>743</v>
      </c>
      <c r="J386" t="str">
        <f>_xlfn.XLOOKUP($I386,$A:$A,B:B)</f>
        <v>hicieron</v>
      </c>
      <c r="K386">
        <f>_xlfn.XLOOKUP($I386,$A:$A,C:C)</f>
        <v>26</v>
      </c>
      <c r="L386">
        <f>_xlfn.XLOOKUP($I386,$A:$A,D:D)</f>
        <v>15</v>
      </c>
      <c r="M386" t="str">
        <f>_xlfn.XLOOKUP($I386,$A:$A,E:E)</f>
        <v>L1</v>
      </c>
    </row>
    <row r="387" spans="1:13" customFormat="1" ht="20.25">
      <c r="A387" s="34">
        <v>387</v>
      </c>
      <c r="B387" s="33" t="s">
        <v>464</v>
      </c>
      <c r="C387" s="34">
        <v>44</v>
      </c>
      <c r="D387" s="33">
        <v>3</v>
      </c>
      <c r="E387" s="33" t="s">
        <v>1419</v>
      </c>
      <c r="I387">
        <v>284</v>
      </c>
      <c r="J387" t="str">
        <f>_xlfn.XLOOKUP($I387,$A:$A,B:B)</f>
        <v>hija</v>
      </c>
      <c r="K387">
        <f>_xlfn.XLOOKUP($I387,$A:$A,C:C)</f>
        <v>56</v>
      </c>
      <c r="L387">
        <f>_xlfn.XLOOKUP($I387,$A:$A,D:D)</f>
        <v>12</v>
      </c>
      <c r="M387" t="str">
        <f>_xlfn.XLOOKUP($I387,$A:$A,E:E)</f>
        <v>L1</v>
      </c>
    </row>
    <row r="388" spans="1:13" customFormat="1" ht="20.25">
      <c r="A388" s="34">
        <v>388</v>
      </c>
      <c r="B388" s="33" t="s">
        <v>465</v>
      </c>
      <c r="C388" s="34">
        <v>44</v>
      </c>
      <c r="D388" s="33">
        <v>2</v>
      </c>
      <c r="E388" s="33" t="s">
        <v>1416</v>
      </c>
      <c r="I388">
        <v>198</v>
      </c>
      <c r="J388" t="str">
        <f>_xlfn.XLOOKUP($I388,$A:$A,B:B)</f>
        <v>hijo</v>
      </c>
      <c r="K388">
        <f>_xlfn.XLOOKUP($I388,$A:$A,C:C)</f>
        <v>78</v>
      </c>
      <c r="L388">
        <f>_xlfn.XLOOKUP($I388,$A:$A,D:D)</f>
        <v>12</v>
      </c>
      <c r="M388" t="str">
        <f>_xlfn.XLOOKUP($I388,$A:$A,E:E)</f>
        <v>L1</v>
      </c>
    </row>
    <row r="389" spans="1:13" customFormat="1" ht="20.25">
      <c r="A389" s="34"/>
      <c r="B389" s="33"/>
      <c r="C389" s="34"/>
      <c r="D389" s="33"/>
      <c r="E389" s="33"/>
      <c r="I389">
        <v>412</v>
      </c>
      <c r="J389" t="str">
        <f>_xlfn.XLOOKUP($I389,$A:$A,B:B)</f>
        <v>hijos</v>
      </c>
      <c r="K389">
        <f>_xlfn.XLOOKUP($I389,$A:$A,C:C)</f>
        <v>42</v>
      </c>
      <c r="L389">
        <f>_xlfn.XLOOKUP($I389,$A:$A,D:D)</f>
        <v>12</v>
      </c>
      <c r="M389" t="str">
        <f>_xlfn.XLOOKUP($I389,$A:$A,E:E)</f>
        <v>L1</v>
      </c>
    </row>
    <row r="390" spans="1:13" customFormat="1" ht="20.25">
      <c r="A390" s="34"/>
      <c r="B390" s="33"/>
      <c r="C390" s="34"/>
      <c r="D390" s="33"/>
      <c r="E390" s="33"/>
      <c r="I390">
        <v>129</v>
      </c>
      <c r="J390" t="str">
        <f>_xlfn.XLOOKUP($I390,$A:$A,B:B)</f>
        <v>historia</v>
      </c>
      <c r="K390">
        <f>_xlfn.XLOOKUP($I390,$A:$A,C:C)</f>
        <v>103</v>
      </c>
      <c r="L390">
        <f>_xlfn.XLOOKUP($I390,$A:$A,D:D)</f>
        <v>9</v>
      </c>
      <c r="M390" t="str">
        <f>_xlfn.XLOOKUP($I390,$A:$A,E:E)</f>
        <v>L2</v>
      </c>
    </row>
    <row r="391" spans="1:13" customFormat="1" ht="20.25">
      <c r="A391" s="34">
        <v>391</v>
      </c>
      <c r="B391" s="33" t="s">
        <v>468</v>
      </c>
      <c r="C391" s="34">
        <v>44</v>
      </c>
      <c r="D391" s="33">
        <v>6</v>
      </c>
      <c r="E391" s="33" t="s">
        <v>1416</v>
      </c>
      <c r="I391">
        <v>204</v>
      </c>
      <c r="J391" t="str">
        <f>_xlfn.XLOOKUP($I391,$A:$A,B:B)</f>
        <v>hizo</v>
      </c>
      <c r="K391">
        <f>_xlfn.XLOOKUP($I391,$A:$A,C:C)</f>
        <v>76</v>
      </c>
      <c r="L391">
        <f>_xlfn.XLOOKUP($I391,$A:$A,D:D)</f>
        <v>9</v>
      </c>
      <c r="M391" t="str">
        <f>_xlfn.XLOOKUP($I391,$A:$A,E:E)</f>
        <v>L1</v>
      </c>
    </row>
    <row r="392" spans="1:13" customFormat="1" ht="20.25">
      <c r="A392" s="34">
        <v>392</v>
      </c>
      <c r="B392" s="33" t="s">
        <v>469</v>
      </c>
      <c r="C392" s="34">
        <v>44</v>
      </c>
      <c r="D392" s="33">
        <v>9</v>
      </c>
      <c r="E392" s="33" t="s">
        <v>1413</v>
      </c>
      <c r="I392">
        <v>874</v>
      </c>
      <c r="J392" t="str">
        <f>_xlfn.XLOOKUP($I392,$A:$A,B:B)</f>
        <v>hojas</v>
      </c>
      <c r="K392">
        <f>_xlfn.XLOOKUP($I392,$A:$A,C:C)</f>
        <v>23</v>
      </c>
      <c r="L392">
        <f>_xlfn.XLOOKUP($I392,$A:$A,D:D)</f>
        <v>10</v>
      </c>
      <c r="M392" t="str">
        <f>_xlfn.XLOOKUP($I392,$A:$A,E:E)</f>
        <v>L1</v>
      </c>
    </row>
    <row r="393" spans="1:13" customFormat="1" ht="20.25">
      <c r="A393" s="34">
        <v>393</v>
      </c>
      <c r="B393" s="33" t="s">
        <v>470</v>
      </c>
      <c r="C393" s="34">
        <v>44</v>
      </c>
      <c r="D393" s="33">
        <v>13</v>
      </c>
      <c r="E393" s="33" t="s">
        <v>1413</v>
      </c>
      <c r="I393">
        <v>293</v>
      </c>
      <c r="J393" t="str">
        <f>_xlfn.XLOOKUP($I393,$A:$A,B:B)</f>
        <v>hombre</v>
      </c>
      <c r="K393">
        <f>_xlfn.XLOOKUP($I393,$A:$A,C:C)</f>
        <v>56</v>
      </c>
      <c r="L393">
        <f>_xlfn.XLOOKUP($I393,$A:$A,D:D)</f>
        <v>12</v>
      </c>
      <c r="M393" t="str">
        <f>_xlfn.XLOOKUP($I393,$A:$A,E:E)</f>
        <v>L1</v>
      </c>
    </row>
    <row r="394" spans="1:13" customFormat="1" ht="20.25">
      <c r="A394" s="34">
        <v>394</v>
      </c>
      <c r="B394" s="33" t="s">
        <v>471</v>
      </c>
      <c r="C394" s="34">
        <v>44</v>
      </c>
      <c r="D394" s="33">
        <v>5</v>
      </c>
      <c r="E394" s="33" t="s">
        <v>1416</v>
      </c>
      <c r="I394">
        <v>166</v>
      </c>
      <c r="J394" t="str">
        <f>_xlfn.XLOOKUP($I394,$A:$A,B:B)</f>
        <v>hombres</v>
      </c>
      <c r="K394">
        <f>_xlfn.XLOOKUP($I394,$A:$A,C:C)</f>
        <v>85</v>
      </c>
      <c r="L394">
        <f>_xlfn.XLOOKUP($I394,$A:$A,D:D)</f>
        <v>12</v>
      </c>
      <c r="M394" t="str">
        <f>_xlfn.XLOOKUP($I394,$A:$A,E:E)</f>
        <v>L1</v>
      </c>
    </row>
    <row r="395" spans="1:13" customFormat="1" ht="20.25">
      <c r="A395" s="34">
        <v>395</v>
      </c>
      <c r="B395" s="33" t="s">
        <v>472</v>
      </c>
      <c r="C395" s="34">
        <v>44</v>
      </c>
      <c r="D395" s="33">
        <v>3</v>
      </c>
      <c r="E395" s="33" t="s">
        <v>1413</v>
      </c>
      <c r="I395">
        <v>967</v>
      </c>
      <c r="J395" t="str">
        <f>_xlfn.XLOOKUP($I395,$A:$A,B:B)</f>
        <v>hora</v>
      </c>
      <c r="K395">
        <f>_xlfn.XLOOKUP($I395,$A:$A,C:C)</f>
        <v>21</v>
      </c>
      <c r="L395">
        <f>_xlfn.XLOOKUP($I395,$A:$A,D:D)</f>
        <v>15</v>
      </c>
      <c r="M395" t="str">
        <f>_xlfn.XLOOKUP($I395,$A:$A,E:E)</f>
        <v>L1</v>
      </c>
    </row>
    <row r="396" spans="1:13" customFormat="1" ht="20.25">
      <c r="A396" s="34">
        <v>396</v>
      </c>
      <c r="B396" s="33" t="s">
        <v>473</v>
      </c>
      <c r="C396" s="34">
        <v>44</v>
      </c>
      <c r="D396" s="33">
        <v>4</v>
      </c>
      <c r="E396" s="33" t="s">
        <v>1416</v>
      </c>
      <c r="I396">
        <v>393</v>
      </c>
      <c r="J396" t="str">
        <f>_xlfn.XLOOKUP($I396,$A:$A,B:B)</f>
        <v>horas</v>
      </c>
      <c r="K396">
        <f>_xlfn.XLOOKUP($I396,$A:$A,C:C)</f>
        <v>44</v>
      </c>
      <c r="L396">
        <f>_xlfn.XLOOKUP($I396,$A:$A,D:D)</f>
        <v>13</v>
      </c>
      <c r="M396" t="str">
        <f>_xlfn.XLOOKUP($I396,$A:$A,E:E)</f>
        <v>L1</v>
      </c>
    </row>
    <row r="397" spans="1:13" customFormat="1" ht="20.25">
      <c r="A397" s="34">
        <v>397</v>
      </c>
      <c r="B397" s="33" t="s">
        <v>474</v>
      </c>
      <c r="C397" s="34">
        <v>44</v>
      </c>
      <c r="D397" s="33">
        <v>7</v>
      </c>
      <c r="E397" s="33" t="s">
        <v>1416</v>
      </c>
      <c r="I397">
        <v>403</v>
      </c>
      <c r="J397" t="str">
        <f>_xlfn.XLOOKUP($I397,$A:$A,B:B)</f>
        <v>hoy</v>
      </c>
      <c r="K397">
        <f>_xlfn.XLOOKUP($I397,$A:$A,C:C)</f>
        <v>43</v>
      </c>
      <c r="L397">
        <f>_xlfn.XLOOKUP($I397,$A:$A,D:D)</f>
        <v>14</v>
      </c>
      <c r="M397" t="str">
        <f>_xlfn.XLOOKUP($I397,$A:$A,E:E)</f>
        <v>L1</v>
      </c>
    </row>
    <row r="398" spans="1:13" customFormat="1" ht="20.25">
      <c r="A398" s="34">
        <v>398</v>
      </c>
      <c r="B398" s="33" t="s">
        <v>475</v>
      </c>
      <c r="C398" s="34">
        <v>44</v>
      </c>
      <c r="D398" s="33">
        <v>6</v>
      </c>
      <c r="E398" s="33" t="s">
        <v>1416</v>
      </c>
      <c r="I398">
        <v>968</v>
      </c>
      <c r="J398" t="str">
        <f>_xlfn.XLOOKUP($I398,$A:$A,B:B)</f>
        <v>hubo</v>
      </c>
      <c r="K398">
        <f>_xlfn.XLOOKUP($I398,$A:$A,C:C)</f>
        <v>21</v>
      </c>
      <c r="L398">
        <f>_xlfn.XLOOKUP($I398,$A:$A,D:D)</f>
        <v>9</v>
      </c>
      <c r="M398" t="str">
        <f>_xlfn.XLOOKUP($I398,$A:$A,E:E)</f>
        <v>L1</v>
      </c>
    </row>
    <row r="399" spans="1:13" customFormat="1" ht="20.25">
      <c r="A399" s="34">
        <v>399</v>
      </c>
      <c r="B399" s="33" t="s">
        <v>476</v>
      </c>
      <c r="C399" s="34">
        <v>44</v>
      </c>
      <c r="D399" s="33">
        <v>9</v>
      </c>
      <c r="E399" s="33" t="s">
        <v>1413</v>
      </c>
      <c r="I399">
        <v>710</v>
      </c>
      <c r="J399" t="str">
        <f>_xlfn.XLOOKUP($I399,$A:$A,B:B)</f>
        <v>humanos</v>
      </c>
      <c r="K399">
        <f>_xlfn.XLOOKUP($I399,$A:$A,C:C)</f>
        <v>27</v>
      </c>
      <c r="L399">
        <f>_xlfn.XLOOKUP($I399,$A:$A,D:D)</f>
        <v>12</v>
      </c>
      <c r="M399" t="str">
        <f>_xlfn.XLOOKUP($I399,$A:$A,E:E)</f>
        <v>L2</v>
      </c>
    </row>
    <row r="400" spans="1:13" customFormat="1" ht="20.25">
      <c r="A400" s="34">
        <v>400</v>
      </c>
      <c r="B400" s="33" t="s">
        <v>477</v>
      </c>
      <c r="C400" s="34"/>
      <c r="D400" s="33">
        <v>13</v>
      </c>
      <c r="E400" s="33" t="s">
        <v>1413</v>
      </c>
      <c r="I400">
        <v>898</v>
      </c>
      <c r="J400" t="str">
        <f>_xlfn.XLOOKUP($I400,$A:$A,B:B)</f>
        <v>I</v>
      </c>
      <c r="K400">
        <f>_xlfn.XLOOKUP($I400,$A:$A,C:C)</f>
        <v>23</v>
      </c>
      <c r="L400">
        <f>_xlfn.XLOOKUP($I400,$A:$A,D:D)</f>
        <v>1</v>
      </c>
      <c r="M400" t="str">
        <f>_xlfn.XLOOKUP($I400,$A:$A,E:E)</f>
        <v>L1</v>
      </c>
    </row>
    <row r="401" spans="1:13" customFormat="1" ht="20.25">
      <c r="A401" s="34">
        <v>401</v>
      </c>
      <c r="B401" s="33" t="s">
        <v>478</v>
      </c>
      <c r="C401" s="34">
        <v>43</v>
      </c>
      <c r="D401" s="33">
        <v>4</v>
      </c>
      <c r="E401" s="33" t="s">
        <v>1416</v>
      </c>
      <c r="I401">
        <v>819</v>
      </c>
      <c r="J401" t="str">
        <f>_xlfn.XLOOKUP($I401,$A:$A,B:B)</f>
        <v>iba</v>
      </c>
      <c r="K401">
        <f>_xlfn.XLOOKUP($I401,$A:$A,C:C)</f>
        <v>24</v>
      </c>
      <c r="L401">
        <f>_xlfn.XLOOKUP($I401,$A:$A,D:D)</f>
        <v>9</v>
      </c>
      <c r="M401" t="str">
        <f>_xlfn.XLOOKUP($I401,$A:$A,E:E)</f>
        <v>L1</v>
      </c>
    </row>
    <row r="402" spans="1:13" customFormat="1" ht="20.25">
      <c r="A402" s="34">
        <v>402</v>
      </c>
      <c r="B402" s="33" t="s">
        <v>479</v>
      </c>
      <c r="C402" s="34">
        <v>43</v>
      </c>
      <c r="D402" s="33">
        <v>9</v>
      </c>
      <c r="E402" s="33" t="s">
        <v>1416</v>
      </c>
      <c r="I402">
        <v>782</v>
      </c>
      <c r="J402" t="str">
        <f>_xlfn.XLOOKUP($I402,$A:$A,B:B)</f>
        <v>idea</v>
      </c>
      <c r="K402">
        <f>_xlfn.XLOOKUP($I402,$A:$A,C:C)</f>
        <v>25</v>
      </c>
      <c r="L402">
        <f>_xlfn.XLOOKUP($I402,$A:$A,D:D)</f>
        <v>6</v>
      </c>
      <c r="M402" t="str">
        <f>_xlfn.XLOOKUP($I402,$A:$A,E:E)</f>
        <v>L2</v>
      </c>
    </row>
    <row r="403" spans="1:13" customFormat="1" ht="20.25">
      <c r="A403" s="34">
        <v>403</v>
      </c>
      <c r="B403" s="33" t="s">
        <v>480</v>
      </c>
      <c r="C403" s="34">
        <v>43</v>
      </c>
      <c r="D403" s="33">
        <v>14</v>
      </c>
      <c r="E403" s="33" t="s">
        <v>1413</v>
      </c>
      <c r="I403">
        <v>430</v>
      </c>
      <c r="J403" t="str">
        <f>_xlfn.XLOOKUP($I403,$A:$A,B:B)</f>
        <v>iglesia</v>
      </c>
      <c r="K403">
        <f>_xlfn.XLOOKUP($I403,$A:$A,C:C)</f>
        <v>41</v>
      </c>
      <c r="L403">
        <f>_xlfn.XLOOKUP($I403,$A:$A,D:D)</f>
        <v>9</v>
      </c>
      <c r="M403" t="str">
        <f>_xlfn.XLOOKUP($I403,$A:$A,E:E)</f>
        <v>L2</v>
      </c>
    </row>
    <row r="404" spans="1:13" customFormat="1" ht="20.25">
      <c r="A404" s="34">
        <v>404</v>
      </c>
      <c r="B404" s="33" t="s">
        <v>481</v>
      </c>
      <c r="C404" s="34">
        <v>43</v>
      </c>
      <c r="D404" s="33">
        <v>4</v>
      </c>
      <c r="E404" s="33" t="s">
        <v>1416</v>
      </c>
      <c r="I404">
        <v>348</v>
      </c>
      <c r="J404" t="str">
        <f>_xlfn.XLOOKUP($I404,$A:$A,B:B)</f>
        <v>igual</v>
      </c>
      <c r="K404">
        <f>_xlfn.XLOOKUP($I404,$A:$A,C:C)</f>
        <v>48</v>
      </c>
      <c r="L404">
        <f>_xlfn.XLOOKUP($I404,$A:$A,D:D)</f>
        <v>12</v>
      </c>
      <c r="M404" t="str">
        <f>_xlfn.XLOOKUP($I404,$A:$A,E:E)</f>
        <v>L2</v>
      </c>
    </row>
    <row r="405" spans="1:13" customFormat="1" ht="20.25">
      <c r="A405" s="34">
        <v>405</v>
      </c>
      <c r="B405" s="33" t="s">
        <v>482</v>
      </c>
      <c r="C405" s="34">
        <v>43</v>
      </c>
      <c r="D405" s="33">
        <v>3</v>
      </c>
      <c r="E405" s="33" t="s">
        <v>1416</v>
      </c>
      <c r="I405">
        <v>695</v>
      </c>
      <c r="J405" t="str">
        <f>_xlfn.XLOOKUP($I405,$A:$A,B:B)</f>
        <v>II</v>
      </c>
      <c r="K405">
        <f>_xlfn.XLOOKUP($I405,$A:$A,C:C)</f>
        <v>28</v>
      </c>
      <c r="L405">
        <f>_xlfn.XLOOKUP($I405,$A:$A,D:D)</f>
        <v>9</v>
      </c>
      <c r="M405" t="str">
        <f>_xlfn.XLOOKUP($I405,$A:$A,E:E)</f>
        <v>L1</v>
      </c>
    </row>
    <row r="406" spans="1:13" customFormat="1" ht="20.25">
      <c r="A406" s="34">
        <v>406</v>
      </c>
      <c r="B406" s="33" t="s">
        <v>483</v>
      </c>
      <c r="C406" s="34"/>
      <c r="D406" s="33">
        <v>8</v>
      </c>
      <c r="E406" s="33" t="s">
        <v>1416</v>
      </c>
      <c r="I406">
        <v>448</v>
      </c>
      <c r="J406" t="str">
        <f>_xlfn.XLOOKUP($I406,$A:$A,B:B)</f>
        <v>imagen</v>
      </c>
      <c r="K406">
        <f>_xlfn.XLOOKUP($I406,$A:$A,C:C)</f>
        <v>39</v>
      </c>
      <c r="L406">
        <f>_xlfn.XLOOKUP($I406,$A:$A,D:D)</f>
        <v>3</v>
      </c>
      <c r="M406" t="str">
        <f>_xlfn.XLOOKUP($I406,$A:$A,E:E)</f>
        <v>L2</v>
      </c>
    </row>
    <row r="407" spans="1:13" customFormat="1" ht="20.25">
      <c r="A407" s="34">
        <v>407</v>
      </c>
      <c r="B407" s="33" t="s">
        <v>484</v>
      </c>
      <c r="C407" s="34"/>
      <c r="D407" s="33">
        <v>1</v>
      </c>
      <c r="E407" s="33" t="s">
        <v>1413</v>
      </c>
      <c r="I407">
        <v>969</v>
      </c>
      <c r="J407" t="str">
        <f>_xlfn.XLOOKUP($I407,$A:$A,B:B)</f>
        <v>imágenes</v>
      </c>
      <c r="K407">
        <f>_xlfn.XLOOKUP($I407,$A:$A,C:C)</f>
        <v>21</v>
      </c>
      <c r="L407">
        <f>_xlfn.XLOOKUP($I407,$A:$A,D:D)</f>
        <v>3</v>
      </c>
      <c r="M407" t="str">
        <f>_xlfn.XLOOKUP($I407,$A:$A,E:E)</f>
        <v>L2</v>
      </c>
    </row>
    <row r="408" spans="1:13" customFormat="1" ht="20.25">
      <c r="A408" s="34">
        <v>408</v>
      </c>
      <c r="B408" s="33" t="s">
        <v>485</v>
      </c>
      <c r="C408" s="34">
        <v>42</v>
      </c>
      <c r="D408" s="33">
        <v>12</v>
      </c>
      <c r="E408" s="33" t="s">
        <v>1413</v>
      </c>
      <c r="I408">
        <v>744</v>
      </c>
      <c r="J408" t="str">
        <f>_xlfn.XLOOKUP($I408,$A:$A,B:B)</f>
        <v>importancia</v>
      </c>
      <c r="K408">
        <f>_xlfn.XLOOKUP($I408,$A:$A,C:C)</f>
        <v>26</v>
      </c>
      <c r="L408">
        <f>_xlfn.XLOOKUP($I408,$A:$A,D:D)</f>
        <v>15</v>
      </c>
      <c r="M408" t="str">
        <f>_xlfn.XLOOKUP($I408,$A:$A,E:E)</f>
        <v>L2</v>
      </c>
    </row>
    <row r="409" spans="1:13" customFormat="1" ht="20.25">
      <c r="A409" s="34">
        <v>409</v>
      </c>
      <c r="B409" s="33" t="s">
        <v>486</v>
      </c>
      <c r="C409" s="34">
        <v>42</v>
      </c>
      <c r="D409" s="33">
        <v>7</v>
      </c>
      <c r="E409" s="33" t="s">
        <v>1416</v>
      </c>
      <c r="I409">
        <v>212</v>
      </c>
      <c r="J409" t="str">
        <f>_xlfn.XLOOKUP($I409,$A:$A,B:B)</f>
        <v>importante</v>
      </c>
      <c r="K409">
        <f>_xlfn.XLOOKUP($I409,$A:$A,C:C)</f>
        <v>72</v>
      </c>
      <c r="L409">
        <f>_xlfn.XLOOKUP($I409,$A:$A,D:D)</f>
        <v>12</v>
      </c>
      <c r="M409" t="str">
        <f>_xlfn.XLOOKUP($I409,$A:$A,E:E)</f>
        <v>L1</v>
      </c>
    </row>
    <row r="410" spans="1:13" customFormat="1" ht="20.25">
      <c r="A410" s="34">
        <v>410</v>
      </c>
      <c r="B410" s="33" t="s">
        <v>487</v>
      </c>
      <c r="C410" s="34">
        <v>42</v>
      </c>
      <c r="D410" s="33">
        <v>7</v>
      </c>
      <c r="E410" s="33" t="s">
        <v>1416</v>
      </c>
      <c r="I410">
        <v>449</v>
      </c>
      <c r="J410" t="str">
        <f>_xlfn.XLOOKUP($I410,$A:$A,B:B)</f>
        <v>importantes</v>
      </c>
      <c r="K410">
        <f>_xlfn.XLOOKUP($I410,$A:$A,C:C)</f>
        <v>39</v>
      </c>
      <c r="L410">
        <f>_xlfn.XLOOKUP($I410,$A:$A,D:D)</f>
        <v>2</v>
      </c>
      <c r="M410" t="str">
        <f>_xlfn.XLOOKUP($I410,$A:$A,E:E)</f>
        <v>L2</v>
      </c>
    </row>
    <row r="411" spans="1:13" customFormat="1" ht="20.25">
      <c r="A411" s="34">
        <v>411</v>
      </c>
      <c r="B411" s="33" t="s">
        <v>488</v>
      </c>
      <c r="C411" s="34">
        <v>42</v>
      </c>
      <c r="D411" s="33">
        <v>12</v>
      </c>
      <c r="E411" s="33" t="s">
        <v>1416</v>
      </c>
      <c r="I411">
        <v>338</v>
      </c>
      <c r="J411" t="str">
        <f>_xlfn.XLOOKUP($I411,$A:$A,B:B)</f>
        <v>incluso</v>
      </c>
      <c r="K411">
        <f>_xlfn.XLOOKUP($I411,$A:$A,C:C)</f>
        <v>50</v>
      </c>
      <c r="L411">
        <f>_xlfn.XLOOKUP($I411,$A:$A,D:D)</f>
        <v>12</v>
      </c>
      <c r="M411" t="str">
        <f>_xlfn.XLOOKUP($I411,$A:$A,E:E)</f>
        <v>L2</v>
      </c>
    </row>
    <row r="412" spans="1:13" customFormat="1" ht="20.25">
      <c r="A412" s="34">
        <v>412</v>
      </c>
      <c r="B412" s="33" t="s">
        <v>489</v>
      </c>
      <c r="C412" s="34">
        <v>42</v>
      </c>
      <c r="D412" s="33">
        <v>12</v>
      </c>
      <c r="E412" s="33" t="s">
        <v>1413</v>
      </c>
      <c r="I412">
        <v>474</v>
      </c>
      <c r="J412" t="str">
        <f>_xlfn.XLOOKUP($I412,$A:$A,B:B)</f>
        <v>incluye</v>
      </c>
      <c r="K412">
        <f>_xlfn.XLOOKUP($I412,$A:$A,C:C)</f>
        <v>38</v>
      </c>
      <c r="L412">
        <f>_xlfn.XLOOKUP($I412,$A:$A,D:D)</f>
        <v>5</v>
      </c>
      <c r="M412" t="str">
        <f>_xlfn.XLOOKUP($I412,$A:$A,E:E)</f>
        <v>L2</v>
      </c>
    </row>
    <row r="413" spans="1:13" customFormat="1" ht="20.25">
      <c r="A413" s="34">
        <v>413</v>
      </c>
      <c r="B413" s="33" t="s">
        <v>490</v>
      </c>
      <c r="C413" s="34">
        <v>42</v>
      </c>
      <c r="D413" s="33">
        <v>5</v>
      </c>
      <c r="E413" s="33" t="s">
        <v>1416</v>
      </c>
      <c r="I413">
        <v>783</v>
      </c>
      <c r="J413" t="str">
        <f>_xlfn.XLOOKUP($I413,$A:$A,B:B)</f>
        <v>incluyen</v>
      </c>
      <c r="K413">
        <f>_xlfn.XLOOKUP($I413,$A:$A,C:C)</f>
        <v>25</v>
      </c>
      <c r="L413">
        <f>_xlfn.XLOOKUP($I413,$A:$A,D:D)</f>
        <v>15</v>
      </c>
      <c r="M413" t="str">
        <f>_xlfn.XLOOKUP($I413,$A:$A,E:E)</f>
        <v>L2</v>
      </c>
    </row>
    <row r="414" spans="1:13" customFormat="1" ht="20.25">
      <c r="A414" s="34">
        <v>414</v>
      </c>
      <c r="B414" s="33" t="s">
        <v>491</v>
      </c>
      <c r="C414" s="34">
        <v>42</v>
      </c>
      <c r="D414" s="33">
        <v>1</v>
      </c>
      <c r="E414" s="33" t="s">
        <v>1416</v>
      </c>
      <c r="I414">
        <v>642</v>
      </c>
      <c r="J414" t="str">
        <f>_xlfn.XLOOKUP($I414,$A:$A,B:B)</f>
        <v>incluyendo</v>
      </c>
      <c r="K414">
        <f>_xlfn.XLOOKUP($I414,$A:$A,C:C)</f>
        <v>29</v>
      </c>
      <c r="L414">
        <f>_xlfn.XLOOKUP($I414,$A:$A,D:D)</f>
        <v>7</v>
      </c>
      <c r="M414" t="str">
        <f>_xlfn.XLOOKUP($I414,$A:$A,E:E)</f>
        <v>L2</v>
      </c>
    </row>
    <row r="415" spans="1:13" customFormat="1" ht="20.25">
      <c r="A415" s="34">
        <v>415</v>
      </c>
      <c r="B415" s="33" t="s">
        <v>492</v>
      </c>
      <c r="C415" s="34">
        <v>42</v>
      </c>
      <c r="D415" s="33">
        <v>8</v>
      </c>
      <c r="E415" s="33" t="s">
        <v>1416</v>
      </c>
      <c r="I415">
        <v>784</v>
      </c>
      <c r="J415" t="str">
        <f>_xlfn.XLOOKUP($I415,$A:$A,B:B)</f>
        <v>independiente</v>
      </c>
      <c r="K415">
        <f>_xlfn.XLOOKUP($I415,$A:$A,C:C)</f>
        <v>25</v>
      </c>
      <c r="L415">
        <f>_xlfn.XLOOKUP($I415,$A:$A,D:D)</f>
        <v>1</v>
      </c>
      <c r="M415" t="str">
        <f>_xlfn.XLOOKUP($I415,$A:$A,E:E)</f>
        <v>L2</v>
      </c>
    </row>
    <row r="416" spans="1:13" customFormat="1" ht="20.25">
      <c r="A416" s="34">
        <v>416</v>
      </c>
      <c r="B416" s="33" t="s">
        <v>493</v>
      </c>
      <c r="C416" s="34">
        <v>42</v>
      </c>
      <c r="D416" s="33">
        <v>5</v>
      </c>
      <c r="E416" s="33" t="s">
        <v>1419</v>
      </c>
      <c r="I416">
        <v>745</v>
      </c>
      <c r="J416" t="str">
        <f>_xlfn.XLOOKUP($I416,$A:$A,B:B)</f>
        <v>industria</v>
      </c>
      <c r="K416">
        <f>_xlfn.XLOOKUP($I416,$A:$A,C:C)</f>
        <v>26</v>
      </c>
      <c r="L416">
        <f>_xlfn.XLOOKUP($I416,$A:$A,D:D)</f>
        <v>5</v>
      </c>
      <c r="M416" t="str">
        <f>_xlfn.XLOOKUP($I416,$A:$A,E:E)</f>
        <v>L2</v>
      </c>
    </row>
    <row r="417" spans="1:13" customFormat="1" ht="20.25">
      <c r="A417" s="34">
        <v>417</v>
      </c>
      <c r="B417" s="33" t="s">
        <v>494</v>
      </c>
      <c r="C417" s="34">
        <v>42</v>
      </c>
      <c r="D417" s="33">
        <v>3</v>
      </c>
      <c r="E417" s="33" t="s">
        <v>1416</v>
      </c>
      <c r="I417">
        <v>610</v>
      </c>
      <c r="J417" t="str">
        <f>_xlfn.XLOOKUP($I417,$A:$A,B:B)</f>
        <v>influencia</v>
      </c>
      <c r="K417">
        <f>_xlfn.XLOOKUP($I417,$A:$A,C:C)</f>
        <v>31</v>
      </c>
      <c r="L417">
        <f>_xlfn.XLOOKUP($I417,$A:$A,D:D)</f>
        <v>12</v>
      </c>
      <c r="M417" t="str">
        <f>_xlfn.XLOOKUP($I417,$A:$A,E:E)</f>
        <v>L3</v>
      </c>
    </row>
    <row r="418" spans="1:13" customFormat="1" ht="20.25">
      <c r="A418" s="34">
        <v>418</v>
      </c>
      <c r="B418" s="33" t="s">
        <v>495</v>
      </c>
      <c r="C418" s="34"/>
      <c r="D418" s="33">
        <v>1</v>
      </c>
      <c r="E418" s="33" t="s">
        <v>1416</v>
      </c>
      <c r="I418">
        <v>339</v>
      </c>
      <c r="J418" t="str">
        <f>_xlfn.XLOOKUP($I418,$A:$A,B:B)</f>
        <v>información</v>
      </c>
      <c r="K418">
        <f>_xlfn.XLOOKUP($I418,$A:$A,C:C)</f>
        <v>0</v>
      </c>
      <c r="L418">
        <f>_xlfn.XLOOKUP($I418,$A:$A,D:D)</f>
        <v>6</v>
      </c>
      <c r="M418" t="str">
        <f>_xlfn.XLOOKUP($I418,$A:$A,E:E)</f>
        <v>L2</v>
      </c>
    </row>
    <row r="419" spans="1:13" customFormat="1" ht="20.25">
      <c r="A419" s="34">
        <v>419</v>
      </c>
      <c r="B419" s="33" t="s">
        <v>496</v>
      </c>
      <c r="C419" s="34"/>
      <c r="D419" s="33">
        <v>12</v>
      </c>
      <c r="E419" s="33" t="s">
        <v>1413</v>
      </c>
      <c r="I419">
        <v>508</v>
      </c>
      <c r="J419" t="str">
        <f>_xlfn.XLOOKUP($I419,$A:$A,B:B)</f>
        <v>inglés</v>
      </c>
      <c r="K419">
        <f>_xlfn.XLOOKUP($I419,$A:$A,C:C)</f>
        <v>36</v>
      </c>
      <c r="L419">
        <f>_xlfn.XLOOKUP($I419,$A:$A,D:D)</f>
        <v>7</v>
      </c>
      <c r="M419" t="str">
        <f>_xlfn.XLOOKUP($I419,$A:$A,E:E)</f>
        <v>L1</v>
      </c>
    </row>
    <row r="420" spans="1:13" customFormat="1" ht="20.25">
      <c r="A420" s="34">
        <v>420</v>
      </c>
      <c r="B420" s="33" t="s">
        <v>497</v>
      </c>
      <c r="C420" s="34"/>
      <c r="D420" s="33">
        <v>1</v>
      </c>
      <c r="E420" s="33" t="s">
        <v>1416</v>
      </c>
      <c r="I420">
        <v>970</v>
      </c>
      <c r="J420" t="str">
        <f>_xlfn.XLOOKUP($I420,$A:$A,B:B)</f>
        <v>ingresos</v>
      </c>
      <c r="K420">
        <f>_xlfn.XLOOKUP($I420,$A:$A,C:C)</f>
        <v>21</v>
      </c>
      <c r="L420">
        <f>_xlfn.XLOOKUP($I420,$A:$A,D:D)</f>
        <v>2</v>
      </c>
      <c r="M420" t="str">
        <f>_xlfn.XLOOKUP($I420,$A:$A,E:E)</f>
        <v>L3</v>
      </c>
    </row>
    <row r="421" spans="1:13" customFormat="1" ht="20.25">
      <c r="A421" s="34">
        <v>421</v>
      </c>
      <c r="B421" s="33" t="s">
        <v>498</v>
      </c>
      <c r="C421" s="34"/>
      <c r="D421" s="33">
        <v>14</v>
      </c>
      <c r="E421" s="33" t="s">
        <v>1416</v>
      </c>
      <c r="I421">
        <v>746</v>
      </c>
      <c r="J421" t="str">
        <f>_xlfn.XLOOKUP($I421,$A:$A,B:B)</f>
        <v>inicialmente</v>
      </c>
      <c r="K421">
        <f>_xlfn.XLOOKUP($I421,$A:$A,C:C)</f>
        <v>26</v>
      </c>
      <c r="L421">
        <f>_xlfn.XLOOKUP($I421,$A:$A,D:D)</f>
        <v>9</v>
      </c>
      <c r="M421" t="str">
        <f>_xlfn.XLOOKUP($I421,$A:$A,E:E)</f>
        <v>L3</v>
      </c>
    </row>
    <row r="422" spans="1:13" customFormat="1" ht="20.25">
      <c r="A422" s="34">
        <v>422</v>
      </c>
      <c r="B422" s="33" t="s">
        <v>499</v>
      </c>
      <c r="C422" s="34"/>
      <c r="D422" s="33">
        <v>6</v>
      </c>
      <c r="E422" s="33" t="s">
        <v>1416</v>
      </c>
      <c r="I422">
        <v>747</v>
      </c>
      <c r="J422" t="str">
        <f>_xlfn.XLOOKUP($I422,$A:$A,B:B)</f>
        <v>instituciones</v>
      </c>
      <c r="K422">
        <f>_xlfn.XLOOKUP($I422,$A:$A,C:C)</f>
        <v>26</v>
      </c>
      <c r="L422">
        <f>_xlfn.XLOOKUP($I422,$A:$A,D:D)</f>
        <v>1</v>
      </c>
      <c r="M422" t="str">
        <f>_xlfn.XLOOKUP($I422,$A:$A,E:E)</f>
        <v>L3</v>
      </c>
    </row>
    <row r="423" spans="1:13" customFormat="1" ht="20.25">
      <c r="A423" s="34"/>
      <c r="B423" s="33"/>
      <c r="C423" s="34"/>
      <c r="D423" s="33"/>
      <c r="E423" s="33"/>
      <c r="I423">
        <v>531</v>
      </c>
      <c r="J423" t="str">
        <f>_xlfn.XLOOKUP($I423,$A:$A,B:B)</f>
        <v>Instituto</v>
      </c>
      <c r="K423">
        <f>_xlfn.XLOOKUP($I423,$A:$A,C:C)</f>
        <v>35</v>
      </c>
      <c r="L423">
        <f>_xlfn.XLOOKUP($I423,$A:$A,D:D)</f>
        <v>7</v>
      </c>
      <c r="M423" t="str">
        <f>_xlfn.XLOOKUP($I423,$A:$A,E:E)</f>
        <v>L2</v>
      </c>
    </row>
    <row r="424" spans="1:13" customFormat="1" ht="20.25">
      <c r="A424" s="34"/>
      <c r="B424" s="33"/>
      <c r="C424" s="34"/>
      <c r="D424" s="33"/>
      <c r="E424" s="33"/>
      <c r="I424">
        <v>558</v>
      </c>
      <c r="J424" t="str">
        <f>_xlfn.XLOOKUP($I424,$A:$A,B:B)</f>
        <v>interés</v>
      </c>
      <c r="K424">
        <f>_xlfn.XLOOKUP($I424,$A:$A,C:C)</f>
        <v>33</v>
      </c>
      <c r="L424">
        <f>_xlfn.XLOOKUP($I424,$A:$A,D:D)</f>
        <v>2</v>
      </c>
      <c r="M424" t="str">
        <f>_xlfn.XLOOKUP($I424,$A:$A,E:E)</f>
        <v>L2</v>
      </c>
    </row>
    <row r="425" spans="1:13" customFormat="1" ht="20.25">
      <c r="A425" s="34">
        <v>425</v>
      </c>
      <c r="B425" s="33" t="s">
        <v>502</v>
      </c>
      <c r="C425" s="34">
        <v>41</v>
      </c>
      <c r="D425" s="33">
        <v>9</v>
      </c>
      <c r="E425" s="33" t="s">
        <v>1416</v>
      </c>
      <c r="I425">
        <v>643</v>
      </c>
      <c r="J425" t="str">
        <f>_xlfn.XLOOKUP($I425,$A:$A,B:B)</f>
        <v>interior</v>
      </c>
      <c r="K425">
        <f>_xlfn.XLOOKUP($I425,$A:$A,C:C)</f>
        <v>29</v>
      </c>
      <c r="L425">
        <f>_xlfn.XLOOKUP($I425,$A:$A,D:D)</f>
        <v>1</v>
      </c>
      <c r="M425" t="str">
        <f>_xlfn.XLOOKUP($I425,$A:$A,E:E)</f>
        <v>L2</v>
      </c>
    </row>
    <row r="426" spans="1:13" customFormat="1" ht="20.25">
      <c r="A426" s="34">
        <v>426</v>
      </c>
      <c r="B426" s="33" t="s">
        <v>503</v>
      </c>
      <c r="C426" s="34">
        <v>41</v>
      </c>
      <c r="D426" s="33">
        <v>6</v>
      </c>
      <c r="E426" s="33" t="s">
        <v>1416</v>
      </c>
      <c r="I426">
        <v>509</v>
      </c>
      <c r="J426" t="str">
        <f>_xlfn.XLOOKUP($I426,$A:$A,B:B)</f>
        <v>internacional</v>
      </c>
      <c r="K426">
        <f>_xlfn.XLOOKUP($I426,$A:$A,C:C)</f>
        <v>36</v>
      </c>
      <c r="L426">
        <f>_xlfn.XLOOKUP($I426,$A:$A,D:D)</f>
        <v>1</v>
      </c>
      <c r="M426" t="str">
        <f>_xlfn.XLOOKUP($I426,$A:$A,E:E)</f>
        <v>L2</v>
      </c>
    </row>
    <row r="427" spans="1:13" customFormat="1" ht="20.25">
      <c r="A427" s="34">
        <v>427</v>
      </c>
      <c r="B427" s="33" t="s">
        <v>504</v>
      </c>
      <c r="C427" s="34">
        <v>41</v>
      </c>
      <c r="D427" s="33">
        <v>3</v>
      </c>
      <c r="E427" s="33" t="s">
        <v>1416</v>
      </c>
      <c r="I427">
        <v>365</v>
      </c>
      <c r="J427" t="str">
        <f>_xlfn.XLOOKUP($I427,$A:$A,B:B)</f>
        <v>investigación</v>
      </c>
      <c r="K427">
        <f>_xlfn.XLOOKUP($I427,$A:$A,C:C)</f>
        <v>46</v>
      </c>
      <c r="L427">
        <f>_xlfn.XLOOKUP($I427,$A:$A,D:D)</f>
        <v>7</v>
      </c>
      <c r="M427" t="str">
        <f>_xlfn.XLOOKUP($I427,$A:$A,E:E)</f>
        <v>L3</v>
      </c>
    </row>
    <row r="428" spans="1:13" customFormat="1" ht="20.25">
      <c r="A428" s="34">
        <v>428</v>
      </c>
      <c r="B428" s="33" t="s">
        <v>505</v>
      </c>
      <c r="C428" s="34">
        <v>41</v>
      </c>
      <c r="D428" s="33">
        <v>12</v>
      </c>
      <c r="E428" s="33" t="s">
        <v>1416</v>
      </c>
      <c r="I428">
        <v>611</v>
      </c>
      <c r="J428" t="str">
        <f>_xlfn.XLOOKUP($I428,$A:$A,B:B)</f>
        <v>isla</v>
      </c>
      <c r="K428">
        <f>_xlfn.XLOOKUP($I428,$A:$A,C:C)</f>
        <v>0</v>
      </c>
      <c r="L428">
        <f>_xlfn.XLOOKUP($I428,$A:$A,D:D)</f>
        <v>10</v>
      </c>
      <c r="M428" t="str">
        <f>_xlfn.XLOOKUP($I428,$A:$A,E:E)</f>
        <v>L1</v>
      </c>
    </row>
    <row r="429" spans="1:13" customFormat="1" ht="20.25">
      <c r="A429" s="34">
        <v>429</v>
      </c>
      <c r="B429" s="33" t="s">
        <v>506</v>
      </c>
      <c r="C429" s="34">
        <v>41</v>
      </c>
      <c r="D429" s="33">
        <v>14</v>
      </c>
      <c r="E429" s="33" t="s">
        <v>1416</v>
      </c>
      <c r="I429">
        <v>851</v>
      </c>
      <c r="J429" t="str">
        <f>_xlfn.XLOOKUP($I429,$A:$A,B:B)</f>
        <v>Italia</v>
      </c>
      <c r="K429">
        <f>_xlfn.XLOOKUP($I429,$A:$A,C:C)</f>
        <v>0</v>
      </c>
      <c r="L429">
        <f>_xlfn.XLOOKUP($I429,$A:$A,D:D)</f>
        <v>13</v>
      </c>
      <c r="M429" t="str">
        <f>_xlfn.XLOOKUP($I429,$A:$A,E:E)</f>
        <v>L1</v>
      </c>
    </row>
    <row r="430" spans="1:13" customFormat="1" ht="20.25">
      <c r="A430" s="34">
        <v>430</v>
      </c>
      <c r="B430" s="33" t="s">
        <v>507</v>
      </c>
      <c r="C430" s="34">
        <v>41</v>
      </c>
      <c r="D430" s="33">
        <v>9</v>
      </c>
      <c r="E430" s="33" t="s">
        <v>1416</v>
      </c>
      <c r="I430">
        <v>875</v>
      </c>
      <c r="J430" t="str">
        <f>_xlfn.XLOOKUP($I430,$A:$A,B:B)</f>
        <v>izquierda</v>
      </c>
      <c r="K430">
        <f>_xlfn.XLOOKUP($I430,$A:$A,C:C)</f>
        <v>23</v>
      </c>
      <c r="L430">
        <f>_xlfn.XLOOKUP($I430,$A:$A,D:D)</f>
        <v>1</v>
      </c>
      <c r="M430" t="str">
        <f>_xlfn.XLOOKUP($I430,$A:$A,E:E)</f>
        <v>L2</v>
      </c>
    </row>
    <row r="431" spans="1:13" customFormat="1" ht="20.25">
      <c r="A431" s="34">
        <v>431</v>
      </c>
      <c r="B431" s="33" t="s">
        <v>508</v>
      </c>
      <c r="C431" s="34"/>
      <c r="D431" s="33">
        <v>3</v>
      </c>
      <c r="E431" s="33" t="s">
        <v>1413</v>
      </c>
      <c r="I431">
        <v>950</v>
      </c>
      <c r="J431" t="str">
        <f>_xlfn.XLOOKUP($I431,$A:$A,B:B)</f>
        <v>Japón</v>
      </c>
      <c r="K431">
        <f>_xlfn.XLOOKUP($I431,$A:$A,C:C)</f>
        <v>22</v>
      </c>
      <c r="L431">
        <f>_xlfn.XLOOKUP($I431,$A:$A,D:D)</f>
        <v>13</v>
      </c>
      <c r="M431" t="str">
        <f>_xlfn.XLOOKUP($I431,$A:$A,E:E)</f>
        <v>L1</v>
      </c>
    </row>
    <row r="432" spans="1:13" customFormat="1" ht="20.25">
      <c r="A432" s="34">
        <v>432</v>
      </c>
      <c r="B432" s="33" t="s">
        <v>509</v>
      </c>
      <c r="C432" s="34">
        <v>40</v>
      </c>
      <c r="D432" s="33">
        <v>1</v>
      </c>
      <c r="E432" s="33" t="s">
        <v>1416</v>
      </c>
      <c r="I432">
        <v>681</v>
      </c>
      <c r="J432" t="str">
        <f>_xlfn.XLOOKUP($I432,$A:$A,B:B)</f>
        <v>jefe</v>
      </c>
      <c r="K432">
        <f>_xlfn.XLOOKUP($I432,$A:$A,C:C)</f>
        <v>28</v>
      </c>
      <c r="L432">
        <f>_xlfn.XLOOKUP($I432,$A:$A,D:D)</f>
        <v>5</v>
      </c>
      <c r="M432" t="str">
        <f>_xlfn.XLOOKUP($I432,$A:$A,E:E)</f>
        <v>L2</v>
      </c>
    </row>
    <row r="433" spans="1:13" customFormat="1" ht="20.25">
      <c r="A433" s="34">
        <v>433</v>
      </c>
      <c r="B433" s="33" t="s">
        <v>510</v>
      </c>
      <c r="C433" s="34">
        <v>40</v>
      </c>
      <c r="D433" s="33">
        <v>6</v>
      </c>
      <c r="E433" s="33" t="s">
        <v>1413</v>
      </c>
      <c r="I433">
        <v>951</v>
      </c>
      <c r="J433" t="str">
        <f>_xlfn.XLOOKUP($I433,$A:$A,B:B)</f>
        <v>Jesús</v>
      </c>
      <c r="K433">
        <f>_xlfn.XLOOKUP($I433,$A:$A,C:C)</f>
        <v>22</v>
      </c>
      <c r="L433">
        <f>_xlfn.XLOOKUP($I433,$A:$A,D:D)</f>
        <v>9</v>
      </c>
      <c r="M433" t="str">
        <f>_xlfn.XLOOKUP($I433,$A:$A,E:E)</f>
        <v>L1</v>
      </c>
    </row>
    <row r="434" spans="1:13" customFormat="1" ht="20.25">
      <c r="A434" s="34">
        <v>434</v>
      </c>
      <c r="B434" s="33" t="s">
        <v>511</v>
      </c>
      <c r="C434" s="34">
        <v>40</v>
      </c>
      <c r="D434" s="33">
        <v>1</v>
      </c>
      <c r="E434" s="33" t="s">
        <v>1416</v>
      </c>
      <c r="I434">
        <v>484</v>
      </c>
      <c r="J434" t="str">
        <f>_xlfn.XLOOKUP($I434,$A:$A,B:B)</f>
        <v>John</v>
      </c>
      <c r="K434">
        <f>_xlfn.XLOOKUP($I434,$A:$A,C:C)</f>
        <v>0</v>
      </c>
      <c r="L434">
        <f>_xlfn.XLOOKUP($I434,$A:$A,D:D)</f>
        <v>3</v>
      </c>
      <c r="M434" t="str">
        <f>_xlfn.XLOOKUP($I434,$A:$A,E:E)</f>
        <v>L1</v>
      </c>
    </row>
    <row r="435" spans="1:13" customFormat="1" ht="20.25">
      <c r="A435" s="34">
        <v>435</v>
      </c>
      <c r="B435" s="33" t="s">
        <v>512</v>
      </c>
      <c r="C435" s="34">
        <v>40</v>
      </c>
      <c r="D435" s="33">
        <v>7</v>
      </c>
      <c r="E435" s="33" t="s">
        <v>1416</v>
      </c>
      <c r="I435">
        <v>519</v>
      </c>
      <c r="J435" t="str">
        <f>_xlfn.XLOOKUP($I435,$A:$A,B:B)</f>
        <v>José</v>
      </c>
      <c r="K435">
        <f>_xlfn.XLOOKUP($I435,$A:$A,C:C)</f>
        <v>0</v>
      </c>
      <c r="L435">
        <f>_xlfn.XLOOKUP($I435,$A:$A,D:D)</f>
        <v>9</v>
      </c>
      <c r="M435" t="str">
        <f>_xlfn.XLOOKUP($I435,$A:$A,E:E)</f>
        <v>L1</v>
      </c>
    </row>
    <row r="436" spans="1:13" customFormat="1" ht="20.25">
      <c r="A436" s="34">
        <v>436</v>
      </c>
      <c r="B436" s="33" t="s">
        <v>513</v>
      </c>
      <c r="C436" s="34">
        <v>40</v>
      </c>
      <c r="D436" s="33">
        <v>5</v>
      </c>
      <c r="E436" s="33" t="s">
        <v>1416</v>
      </c>
      <c r="I436">
        <v>475</v>
      </c>
      <c r="J436" t="str">
        <f>_xlfn.XLOOKUP($I436,$A:$A,B:B)</f>
        <v>joven</v>
      </c>
      <c r="K436">
        <f>_xlfn.XLOOKUP($I436,$A:$A,C:C)</f>
        <v>38</v>
      </c>
      <c r="L436">
        <f>_xlfn.XLOOKUP($I436,$A:$A,D:D)</f>
        <v>12</v>
      </c>
      <c r="M436" t="str">
        <f>_xlfn.XLOOKUP($I436,$A:$A,E:E)</f>
        <v>L1</v>
      </c>
    </row>
    <row r="437" spans="1:13" customFormat="1" ht="20.25">
      <c r="A437" s="34">
        <v>437</v>
      </c>
      <c r="B437" s="33" t="s">
        <v>514</v>
      </c>
      <c r="C437" s="34">
        <v>40</v>
      </c>
      <c r="D437" s="33">
        <v>2</v>
      </c>
      <c r="E437" s="33" t="s">
        <v>1416</v>
      </c>
      <c r="I437">
        <v>785</v>
      </c>
      <c r="J437" t="str">
        <f>_xlfn.XLOOKUP($I437,$A:$A,B:B)</f>
        <v>jóvenes</v>
      </c>
      <c r="K437">
        <f>_xlfn.XLOOKUP($I437,$A:$A,C:C)</f>
        <v>25</v>
      </c>
      <c r="L437">
        <f>_xlfn.XLOOKUP($I437,$A:$A,D:D)</f>
        <v>12</v>
      </c>
      <c r="M437" t="str">
        <f>_xlfn.XLOOKUP($I437,$A:$A,E:E)</f>
        <v>L1</v>
      </c>
    </row>
    <row r="438" spans="1:13" customFormat="1" ht="20.25">
      <c r="A438" s="34"/>
      <c r="B438" s="33"/>
      <c r="C438" s="34"/>
      <c r="D438" s="33"/>
      <c r="E438" s="33"/>
      <c r="I438">
        <v>399</v>
      </c>
      <c r="J438" t="str">
        <f>_xlfn.XLOOKUP($I438,$A:$A,B:B)</f>
        <v>Juan</v>
      </c>
      <c r="K438">
        <f>_xlfn.XLOOKUP($I438,$A:$A,C:C)</f>
        <v>44</v>
      </c>
      <c r="L438">
        <f>_xlfn.XLOOKUP($I438,$A:$A,D:D)</f>
        <v>9</v>
      </c>
      <c r="M438" t="str">
        <f>_xlfn.XLOOKUP($I438,$A:$A,E:E)</f>
        <v>L1</v>
      </c>
    </row>
    <row r="439" spans="1:13" customFormat="1" ht="20.25">
      <c r="A439" s="34">
        <v>439</v>
      </c>
      <c r="B439" s="33" t="s">
        <v>516</v>
      </c>
      <c r="C439" s="34">
        <v>40</v>
      </c>
      <c r="D439" s="33">
        <v>9</v>
      </c>
      <c r="E439" s="33" t="s">
        <v>1413</v>
      </c>
      <c r="I439">
        <v>155</v>
      </c>
      <c r="J439" t="str">
        <f>_xlfn.XLOOKUP($I439,$A:$A,B:B)</f>
        <v>juego</v>
      </c>
      <c r="K439">
        <f>_xlfn.XLOOKUP($I439,$A:$A,C:C)</f>
        <v>89</v>
      </c>
      <c r="L439">
        <f>_xlfn.XLOOKUP($I439,$A:$A,D:D)</f>
        <v>4</v>
      </c>
      <c r="M439" t="str">
        <f>_xlfn.XLOOKUP($I439,$A:$A,E:E)</f>
        <v>L2</v>
      </c>
    </row>
    <row r="440" spans="1:13" customFormat="1" ht="20.25">
      <c r="A440" s="34"/>
      <c r="B440" s="33"/>
      <c r="C440" s="34"/>
      <c r="D440" s="33"/>
      <c r="E440" s="33"/>
      <c r="I440">
        <v>510</v>
      </c>
      <c r="J440" t="str">
        <f>_xlfn.XLOOKUP($I440,$A:$A,B:B)</f>
        <v>juegos</v>
      </c>
      <c r="K440">
        <f>_xlfn.XLOOKUP($I440,$A:$A,C:C)</f>
        <v>36</v>
      </c>
      <c r="L440">
        <f>_xlfn.XLOOKUP($I440,$A:$A,D:D)</f>
        <v>4</v>
      </c>
      <c r="M440" t="str">
        <f>_xlfn.XLOOKUP($I440,$A:$A,E:E)</f>
        <v>L2</v>
      </c>
    </row>
    <row r="441" spans="1:13" customFormat="1" ht="20.25">
      <c r="A441" s="34">
        <v>441</v>
      </c>
      <c r="B441" s="33" t="s">
        <v>518</v>
      </c>
      <c r="C441" s="34">
        <v>40</v>
      </c>
      <c r="D441" s="33">
        <v>1</v>
      </c>
      <c r="E441" s="33" t="s">
        <v>1416</v>
      </c>
      <c r="I441">
        <v>534</v>
      </c>
      <c r="J441" t="str">
        <f>_xlfn.XLOOKUP($I441,$A:$A,B:B)</f>
        <v>jugador</v>
      </c>
      <c r="K441">
        <f>_xlfn.XLOOKUP($I441,$A:$A,C:C)</f>
        <v>35</v>
      </c>
      <c r="L441">
        <f>_xlfn.XLOOKUP($I441,$A:$A,D:D)</f>
        <v>4</v>
      </c>
      <c r="M441" t="str">
        <f>_xlfn.XLOOKUP($I441,$A:$A,E:E)</f>
        <v>L2</v>
      </c>
    </row>
    <row r="442" spans="1:13" customFormat="1" ht="20.25">
      <c r="A442" s="34">
        <v>442</v>
      </c>
      <c r="B442" s="33" t="s">
        <v>519</v>
      </c>
      <c r="C442" s="34">
        <v>40</v>
      </c>
      <c r="D442" s="33">
        <v>14</v>
      </c>
      <c r="E442" s="33" t="s">
        <v>1413</v>
      </c>
      <c r="I442">
        <v>404</v>
      </c>
      <c r="J442" t="str">
        <f>_xlfn.XLOOKUP($I442,$A:$A,B:B)</f>
        <v>jugadores</v>
      </c>
      <c r="K442">
        <f>_xlfn.XLOOKUP($I442,$A:$A,C:C)</f>
        <v>43</v>
      </c>
      <c r="L442">
        <f>_xlfn.XLOOKUP($I442,$A:$A,D:D)</f>
        <v>4</v>
      </c>
      <c r="M442" t="str">
        <f>_xlfn.XLOOKUP($I442,$A:$A,E:E)</f>
        <v>L2</v>
      </c>
    </row>
    <row r="443" spans="1:13" customFormat="1" ht="20.25">
      <c r="A443" s="34">
        <v>443</v>
      </c>
      <c r="B443" s="33" t="s">
        <v>520</v>
      </c>
      <c r="C443" s="34">
        <v>40</v>
      </c>
      <c r="D443" s="33">
        <v>6</v>
      </c>
      <c r="E443" s="33" t="s">
        <v>1419</v>
      </c>
      <c r="I443">
        <v>242</v>
      </c>
      <c r="J443" t="str">
        <f>_xlfn.XLOOKUP($I443,$A:$A,B:B)</f>
        <v>julio</v>
      </c>
      <c r="K443">
        <f>_xlfn.XLOOKUP($I443,$A:$A,C:C)</f>
        <v>65</v>
      </c>
      <c r="L443">
        <f>_xlfn.XLOOKUP($I443,$A:$A,D:D)</f>
        <v>13</v>
      </c>
      <c r="M443" t="str">
        <f>_xlfn.XLOOKUP($I443,$A:$A,E:E)</f>
        <v>L1</v>
      </c>
    </row>
    <row r="444" spans="1:13" customFormat="1" ht="20.25">
      <c r="A444" s="34">
        <v>444</v>
      </c>
      <c r="B444" s="33" t="s">
        <v>521</v>
      </c>
      <c r="C444" s="34">
        <v>40</v>
      </c>
      <c r="D444" s="33">
        <v>8</v>
      </c>
      <c r="E444" s="33" t="s">
        <v>1416</v>
      </c>
      <c r="I444">
        <v>233</v>
      </c>
      <c r="J444" t="str">
        <f>_xlfn.XLOOKUP($I444,$A:$A,B:B)</f>
        <v>junio</v>
      </c>
      <c r="K444">
        <f>_xlfn.XLOOKUP($I444,$A:$A,C:C)</f>
        <v>67</v>
      </c>
      <c r="L444">
        <f>_xlfn.XLOOKUP($I444,$A:$A,D:D)</f>
        <v>13</v>
      </c>
      <c r="M444" t="str">
        <f>_xlfn.XLOOKUP($I444,$A:$A,E:E)</f>
        <v>L1</v>
      </c>
    </row>
    <row r="445" spans="1:13" customFormat="1" ht="20.25">
      <c r="A445" s="34">
        <v>445</v>
      </c>
      <c r="B445" s="33" t="s">
        <v>522</v>
      </c>
      <c r="C445" s="34">
        <v>40</v>
      </c>
      <c r="D445" s="33">
        <v>5</v>
      </c>
      <c r="E445" s="33" t="s">
        <v>1416</v>
      </c>
      <c r="I445">
        <v>143</v>
      </c>
      <c r="J445" t="str">
        <f>_xlfn.XLOOKUP($I445,$A:$A,B:B)</f>
        <v>junto</v>
      </c>
      <c r="K445">
        <f>_xlfn.XLOOKUP($I445,$A:$A,C:C)</f>
        <v>95</v>
      </c>
      <c r="L445">
        <f>_xlfn.XLOOKUP($I445,$A:$A,D:D)</f>
        <v>13</v>
      </c>
      <c r="M445" t="str">
        <f>_xlfn.XLOOKUP($I445,$A:$A,E:E)</f>
        <v>L2</v>
      </c>
    </row>
    <row r="446" spans="1:13" customFormat="1" ht="20.25">
      <c r="A446" s="34">
        <v>446</v>
      </c>
      <c r="B446" s="33" t="s">
        <v>523</v>
      </c>
      <c r="C446" s="34">
        <v>40</v>
      </c>
      <c r="D446" s="33">
        <v>5</v>
      </c>
      <c r="E446" s="33" t="s">
        <v>1416</v>
      </c>
      <c r="I446">
        <v>820</v>
      </c>
      <c r="J446" t="str">
        <f>_xlfn.XLOOKUP($I446,$A:$A,B:B)</f>
        <v>kilómetros</v>
      </c>
      <c r="K446">
        <f>_xlfn.XLOOKUP($I446,$A:$A,C:C)</f>
        <v>24</v>
      </c>
      <c r="L446">
        <f>_xlfn.XLOOKUP($I446,$A:$A,D:D)</f>
        <v>10</v>
      </c>
      <c r="M446" t="str">
        <f>_xlfn.XLOOKUP($I446,$A:$A,E:E)</f>
        <v>L1</v>
      </c>
    </row>
    <row r="447" spans="1:13" customFormat="1" ht="20.25">
      <c r="A447" s="34">
        <v>447</v>
      </c>
      <c r="B447" s="33" t="s">
        <v>524</v>
      </c>
      <c r="C447" s="34">
        <v>40</v>
      </c>
      <c r="D447" s="33">
        <v>9</v>
      </c>
      <c r="E447" s="33" t="s">
        <v>1416</v>
      </c>
      <c r="I447">
        <v>876</v>
      </c>
      <c r="J447" t="str">
        <f>_xlfn.XLOOKUP($I447,$A:$A,B:B)</f>
        <v>km</v>
      </c>
      <c r="K447">
        <f>_xlfn.XLOOKUP($I447,$A:$A,C:C)</f>
        <v>23</v>
      </c>
      <c r="L447">
        <f>_xlfn.XLOOKUP($I447,$A:$A,D:D)</f>
        <v>10</v>
      </c>
      <c r="M447" t="str">
        <f>_xlfn.XLOOKUP($I447,$A:$A,E:E)</f>
        <v>L1</v>
      </c>
    </row>
    <row r="448" spans="1:13" customFormat="1" ht="20.25">
      <c r="A448" s="34">
        <v>448</v>
      </c>
      <c r="B448" s="33" t="s">
        <v>525</v>
      </c>
      <c r="C448" s="34">
        <v>39</v>
      </c>
      <c r="D448" s="33">
        <v>3</v>
      </c>
      <c r="E448" s="33" t="s">
        <v>1416</v>
      </c>
      <c r="I448">
        <f>I447+1</f>
        <v>877</v>
      </c>
      <c r="J448" t="str">
        <f>_xlfn.XLOOKUP($I448,$A:$A,B:B)</f>
        <v>llevar</v>
      </c>
      <c r="K448">
        <f>_xlfn.XLOOKUP($I448,$A:$A,C:C)</f>
        <v>23</v>
      </c>
      <c r="L448">
        <f>_xlfn.XLOOKUP($I448,$A:$A,D:D)</f>
        <v>13</v>
      </c>
      <c r="M448" t="str">
        <f>_xlfn.XLOOKUP($I448,$A:$A,E:E)</f>
        <v>L1</v>
      </c>
    </row>
    <row r="449" spans="1:13" customFormat="1" ht="20.25">
      <c r="A449" s="34">
        <v>449</v>
      </c>
      <c r="B449" s="33" t="s">
        <v>526</v>
      </c>
      <c r="C449" s="34">
        <v>39</v>
      </c>
      <c r="D449" s="33">
        <v>2</v>
      </c>
      <c r="E449" s="33" t="s">
        <v>1416</v>
      </c>
      <c r="I449">
        <v>235</v>
      </c>
      <c r="J449" t="str">
        <f>_xlfn.XLOOKUP($I449,$A:$A,B:B)</f>
        <v>lado</v>
      </c>
      <c r="K449">
        <f>_xlfn.XLOOKUP($I449,$A:$A,C:C)</f>
        <v>0</v>
      </c>
      <c r="L449">
        <f>_xlfn.XLOOKUP($I449,$A:$A,D:D)</f>
        <v>13</v>
      </c>
      <c r="M449" t="str">
        <f>_xlfn.XLOOKUP($I449,$A:$A,E:E)</f>
        <v>L1</v>
      </c>
    </row>
    <row r="450" spans="1:13" customFormat="1" ht="20.25">
      <c r="A450" s="34">
        <v>450</v>
      </c>
      <c r="B450" s="33" t="s">
        <v>527</v>
      </c>
      <c r="C450" s="34">
        <v>39</v>
      </c>
      <c r="D450" s="33">
        <v>1</v>
      </c>
      <c r="E450" s="33" t="s">
        <v>1416</v>
      </c>
      <c r="I450">
        <v>786</v>
      </c>
      <c r="J450" t="str">
        <f>_xlfn.XLOOKUP($I450,$A:$A,B:B)</f>
        <v>lanzado</v>
      </c>
      <c r="K450">
        <f>_xlfn.XLOOKUP($I450,$A:$A,C:C)</f>
        <v>25</v>
      </c>
      <c r="L450">
        <f>_xlfn.XLOOKUP($I450,$A:$A,D:D)</f>
        <v>6</v>
      </c>
      <c r="M450" t="str">
        <f>_xlfn.XLOOKUP($I450,$A:$A,E:E)</f>
        <v>L2</v>
      </c>
    </row>
    <row r="451" spans="1:13" customFormat="1" ht="20.25">
      <c r="A451" s="34">
        <v>451</v>
      </c>
      <c r="B451" s="33" t="s">
        <v>528</v>
      </c>
      <c r="C451" s="34">
        <v>39</v>
      </c>
      <c r="D451" s="33">
        <v>8</v>
      </c>
      <c r="E451" s="33" t="s">
        <v>1413</v>
      </c>
      <c r="I451">
        <v>476</v>
      </c>
      <c r="J451" t="str">
        <f>_xlfn.XLOOKUP($I451,$A:$A,B:B)</f>
        <v>lanzamiento</v>
      </c>
      <c r="K451">
        <f>_xlfn.XLOOKUP($I451,$A:$A,C:C)</f>
        <v>38</v>
      </c>
      <c r="L451">
        <f>_xlfn.XLOOKUP($I451,$A:$A,D:D)</f>
        <v>6</v>
      </c>
      <c r="M451" t="str">
        <f>_xlfn.XLOOKUP($I451,$A:$A,E:E)</f>
        <v>L2</v>
      </c>
    </row>
    <row r="452" spans="1:13" customFormat="1" ht="20.25">
      <c r="A452" s="34">
        <v>452</v>
      </c>
      <c r="B452" s="33" t="s">
        <v>529</v>
      </c>
      <c r="C452" s="34">
        <v>39</v>
      </c>
      <c r="D452" s="33">
        <v>9</v>
      </c>
      <c r="E452" s="33" t="s">
        <v>1416</v>
      </c>
      <c r="I452">
        <v>821</v>
      </c>
      <c r="J452" t="str">
        <f>_xlfn.XLOOKUP($I452,$A:$A,B:B)</f>
        <v>lanzó</v>
      </c>
      <c r="K452">
        <f>_xlfn.XLOOKUP($I452,$A:$A,C:C)</f>
        <v>24</v>
      </c>
      <c r="L452">
        <f>_xlfn.XLOOKUP($I452,$A:$A,D:D)</f>
        <v>6</v>
      </c>
      <c r="M452" t="str">
        <f>_xlfn.XLOOKUP($I452,$A:$A,E:E)</f>
        <v>L2</v>
      </c>
    </row>
    <row r="453" spans="1:13" customFormat="1" ht="20.25">
      <c r="A453" s="34">
        <v>453</v>
      </c>
      <c r="B453" s="33" t="s">
        <v>530</v>
      </c>
      <c r="C453" s="34">
        <v>39</v>
      </c>
      <c r="D453" s="33">
        <v>13</v>
      </c>
      <c r="E453" s="33" t="s">
        <v>1416</v>
      </c>
      <c r="I453">
        <v>711</v>
      </c>
      <c r="J453" t="str">
        <f>_xlfn.XLOOKUP($I453,$A:$A,B:B)</f>
        <v>larga</v>
      </c>
      <c r="K453">
        <f>_xlfn.XLOOKUP($I453,$A:$A,C:C)</f>
        <v>27</v>
      </c>
      <c r="L453">
        <f>_xlfn.XLOOKUP($I453,$A:$A,D:D)</f>
        <v>15</v>
      </c>
      <c r="M453" t="str">
        <f>_xlfn.XLOOKUP($I453,$A:$A,E:E)</f>
        <v>L1</v>
      </c>
    </row>
    <row r="454" spans="1:13" customFormat="1" ht="20.25">
      <c r="A454" s="34">
        <v>454</v>
      </c>
      <c r="B454" s="33" t="s">
        <v>531</v>
      </c>
      <c r="C454" s="34">
        <v>39</v>
      </c>
      <c r="D454" s="33">
        <v>3</v>
      </c>
      <c r="E454" s="33" t="s">
        <v>1416</v>
      </c>
      <c r="I454">
        <v>150</v>
      </c>
      <c r="J454" t="str">
        <f>_xlfn.XLOOKUP($I454,$A:$A,B:B)</f>
        <v>largo</v>
      </c>
      <c r="K454">
        <f>_xlfn.XLOOKUP($I454,$A:$A,C:C)</f>
        <v>92</v>
      </c>
      <c r="L454">
        <f>_xlfn.XLOOKUP($I454,$A:$A,D:D)</f>
        <v>10</v>
      </c>
      <c r="M454" t="str">
        <f>_xlfn.XLOOKUP($I454,$A:$A,E:E)</f>
        <v>L1</v>
      </c>
    </row>
    <row r="455" spans="1:13" customFormat="1" ht="20.25">
      <c r="A455" s="34"/>
      <c r="B455" s="33"/>
      <c r="C455" s="34"/>
      <c r="D455" s="33"/>
      <c r="E455" s="33"/>
      <c r="I455">
        <v>15</v>
      </c>
      <c r="J455" t="str">
        <f>_xlfn.XLOOKUP($I455,$A:$A,B:B)</f>
        <v>las</v>
      </c>
      <c r="K455">
        <f>_xlfn.XLOOKUP($I455,$A:$A,C:C)</f>
        <v>1946</v>
      </c>
      <c r="L455">
        <f>_xlfn.XLOOKUP($I455,$A:$A,D:D)</f>
        <v>12</v>
      </c>
      <c r="M455" t="str">
        <f>_xlfn.XLOOKUP($I455,$A:$A,E:E)</f>
        <v>L1</v>
      </c>
    </row>
    <row r="456" spans="1:13" customFormat="1" ht="20.25">
      <c r="A456" s="34">
        <v>456</v>
      </c>
      <c r="B456" s="33" t="s">
        <v>533</v>
      </c>
      <c r="C456" s="34">
        <v>39</v>
      </c>
      <c r="D456" s="33">
        <v>11</v>
      </c>
      <c r="E456" s="33" t="s">
        <v>1413</v>
      </c>
      <c r="I456">
        <v>39</v>
      </c>
      <c r="J456" t="str">
        <f>_xlfn.XLOOKUP($I456,$A:$A,B:B)</f>
        <v>le</v>
      </c>
      <c r="K456">
        <f>_xlfn.XLOOKUP($I456,$A:$A,C:C)</f>
        <v>311</v>
      </c>
      <c r="L456">
        <f>_xlfn.XLOOKUP($I456,$A:$A,D:D)</f>
        <v>12</v>
      </c>
      <c r="M456" t="str">
        <f>_xlfn.XLOOKUP($I456,$A:$A,E:E)</f>
        <v>L1</v>
      </c>
    </row>
    <row r="457" spans="1:13" customFormat="1" ht="20.25">
      <c r="A457" s="34">
        <v>457</v>
      </c>
      <c r="B457" s="33" t="s">
        <v>534</v>
      </c>
      <c r="C457" s="34">
        <v>39</v>
      </c>
      <c r="D457" s="33">
        <v>8</v>
      </c>
      <c r="E457" s="33" t="s">
        <v>1416</v>
      </c>
      <c r="I457">
        <v>586</v>
      </c>
      <c r="J457" t="str">
        <f>_xlfn.XLOOKUP($I457,$A:$A,B:B)</f>
        <v>lengua</v>
      </c>
      <c r="K457">
        <f>_xlfn.XLOOKUP($I457,$A:$A,C:C)</f>
        <v>31</v>
      </c>
      <c r="L457">
        <f>_xlfn.XLOOKUP($I457,$A:$A,D:D)</f>
        <v>7</v>
      </c>
      <c r="M457" t="str">
        <f>_xlfn.XLOOKUP($I457,$A:$A,E:E)</f>
        <v>L2</v>
      </c>
    </row>
    <row r="458" spans="1:13" customFormat="1" ht="20.25">
      <c r="A458" s="34">
        <v>458</v>
      </c>
      <c r="B458" s="33" t="s">
        <v>535</v>
      </c>
      <c r="C458" s="34">
        <v>39</v>
      </c>
      <c r="D458" s="33">
        <v>3</v>
      </c>
      <c r="E458" s="33" t="s">
        <v>1416</v>
      </c>
      <c r="I458">
        <v>261</v>
      </c>
      <c r="J458" t="str">
        <f>_xlfn.XLOOKUP($I458,$A:$A,B:B)</f>
        <v>les</v>
      </c>
      <c r="K458">
        <f>_xlfn.XLOOKUP($I458,$A:$A,C:C)</f>
        <v>61</v>
      </c>
      <c r="L458">
        <f>_xlfn.XLOOKUP($I458,$A:$A,D:D)</f>
        <v>12</v>
      </c>
      <c r="M458" t="str">
        <f>_xlfn.XLOOKUP($I458,$A:$A,E:E)</f>
        <v>L1</v>
      </c>
    </row>
    <row r="459" spans="1:13" customFormat="1" ht="20.25">
      <c r="A459" s="34">
        <v>459</v>
      </c>
      <c r="B459" s="33" t="s">
        <v>536</v>
      </c>
      <c r="C459" s="34">
        <v>39</v>
      </c>
      <c r="D459" s="33">
        <v>6</v>
      </c>
      <c r="E459" s="33" t="s">
        <v>1416</v>
      </c>
      <c r="I459">
        <v>450</v>
      </c>
      <c r="J459" t="str">
        <f>_xlfn.XLOOKUP($I459,$A:$A,B:B)</f>
        <v>ley</v>
      </c>
      <c r="K459">
        <f>_xlfn.XLOOKUP($I459,$A:$A,C:C)</f>
        <v>39</v>
      </c>
      <c r="L459">
        <f>_xlfn.XLOOKUP($I459,$A:$A,D:D)</f>
        <v>1</v>
      </c>
      <c r="M459" t="str">
        <f>_xlfn.XLOOKUP($I459,$A:$A,E:E)</f>
        <v>L2</v>
      </c>
    </row>
    <row r="460" spans="1:13" customFormat="1" ht="20.25">
      <c r="A460" s="34">
        <v>460</v>
      </c>
      <c r="B460" s="33" t="s">
        <v>537</v>
      </c>
      <c r="C460" s="34">
        <v>39</v>
      </c>
      <c r="D460" s="33">
        <v>6</v>
      </c>
      <c r="E460" s="33" t="s">
        <v>1416</v>
      </c>
      <c r="I460">
        <v>971</v>
      </c>
      <c r="J460" t="str">
        <f>_xlfn.XLOOKUP($I460,$A:$A,B:B)</f>
        <v>libertad</v>
      </c>
      <c r="K460">
        <f>_xlfn.XLOOKUP($I460,$A:$A,C:C)</f>
        <v>21</v>
      </c>
      <c r="L460">
        <f>_xlfn.XLOOKUP($I460,$A:$A,D:D)</f>
        <v>12</v>
      </c>
      <c r="M460" t="str">
        <f>_xlfn.XLOOKUP($I460,$A:$A,E:E)</f>
        <v>L3</v>
      </c>
    </row>
    <row r="461" spans="1:13" customFormat="1" ht="20.25">
      <c r="A461" s="34">
        <v>461</v>
      </c>
      <c r="B461" s="33" t="s">
        <v>538</v>
      </c>
      <c r="C461" s="34">
        <v>39</v>
      </c>
      <c r="D461" s="33">
        <v>7</v>
      </c>
      <c r="E461" s="33" t="s">
        <v>1416</v>
      </c>
      <c r="I461">
        <v>494</v>
      </c>
      <c r="J461" t="str">
        <f>_xlfn.XLOOKUP($I461,$A:$A,B:B)</f>
        <v>libre</v>
      </c>
      <c r="K461">
        <f>_xlfn.XLOOKUP($I461,$A:$A,C:C)</f>
        <v>37</v>
      </c>
      <c r="L461">
        <f>_xlfn.XLOOKUP($I461,$A:$A,D:D)</f>
        <v>12</v>
      </c>
      <c r="M461" t="str">
        <f>_xlfn.XLOOKUP($I461,$A:$A,E:E)</f>
        <v>L2</v>
      </c>
    </row>
    <row r="462" spans="1:13" customFormat="1" ht="20.25">
      <c r="A462" s="34">
        <v>462</v>
      </c>
      <c r="B462" s="33" t="s">
        <v>539</v>
      </c>
      <c r="C462" s="34">
        <v>39</v>
      </c>
      <c r="D462" s="33">
        <v>9</v>
      </c>
      <c r="E462" s="33" t="s">
        <v>1416</v>
      </c>
      <c r="I462">
        <v>331</v>
      </c>
      <c r="J462" t="str">
        <f>_xlfn.XLOOKUP($I462,$A:$A,B:B)</f>
        <v>libro</v>
      </c>
      <c r="K462">
        <f>_xlfn.XLOOKUP($I462,$A:$A,C:C)</f>
        <v>0</v>
      </c>
      <c r="L462">
        <f>_xlfn.XLOOKUP($I462,$A:$A,D:D)</f>
        <v>3</v>
      </c>
      <c r="M462" t="str">
        <f>_xlfn.XLOOKUP($I462,$A:$A,E:E)</f>
        <v>L1</v>
      </c>
    </row>
    <row r="463" spans="1:13" customFormat="1" ht="20.25">
      <c r="A463" s="34">
        <v>463</v>
      </c>
      <c r="B463" s="33" t="s">
        <v>540</v>
      </c>
      <c r="C463" s="34"/>
      <c r="D463" s="33">
        <v>2</v>
      </c>
      <c r="E463" s="33" t="s">
        <v>1416</v>
      </c>
      <c r="I463">
        <v>431</v>
      </c>
      <c r="J463" t="str">
        <f>_xlfn.XLOOKUP($I463,$A:$A,B:B)</f>
        <v>libros</v>
      </c>
      <c r="K463">
        <f>_xlfn.XLOOKUP($I463,$A:$A,C:C)</f>
        <v>0</v>
      </c>
      <c r="L463">
        <f>_xlfn.XLOOKUP($I463,$A:$A,D:D)</f>
        <v>3</v>
      </c>
      <c r="M463" t="str">
        <f>_xlfn.XLOOKUP($I463,$A:$A,E:E)</f>
        <v>L1</v>
      </c>
    </row>
    <row r="464" spans="1:13" customFormat="1" ht="20.25">
      <c r="A464" s="34">
        <v>464</v>
      </c>
      <c r="B464" s="33" t="s">
        <v>541</v>
      </c>
      <c r="C464" s="34"/>
      <c r="D464" s="33">
        <v>11</v>
      </c>
      <c r="E464" s="33" t="s">
        <v>1413</v>
      </c>
      <c r="I464">
        <v>316</v>
      </c>
      <c r="J464" t="str">
        <f>_xlfn.XLOOKUP($I464,$A:$A,B:B)</f>
        <v>línea</v>
      </c>
      <c r="K464">
        <f>_xlfn.XLOOKUP($I464,$A:$A,C:C)</f>
        <v>52</v>
      </c>
      <c r="L464">
        <f>_xlfn.XLOOKUP($I464,$A:$A,D:D)</f>
        <v>6</v>
      </c>
      <c r="M464" t="str">
        <f>_xlfn.XLOOKUP($I464,$A:$A,E:E)</f>
        <v>L2</v>
      </c>
    </row>
    <row r="465" spans="1:13" customFormat="1" ht="20.25">
      <c r="A465" s="34">
        <v>465</v>
      </c>
      <c r="B465" s="33" t="s">
        <v>542</v>
      </c>
      <c r="C465" s="34"/>
      <c r="D465" s="33">
        <v>4</v>
      </c>
      <c r="E465" s="33" t="s">
        <v>1413</v>
      </c>
      <c r="I465">
        <v>535</v>
      </c>
      <c r="J465" t="str">
        <f>_xlfn.XLOOKUP($I465,$A:$A,B:B)</f>
        <v>lista</v>
      </c>
      <c r="K465">
        <f>_xlfn.XLOOKUP($I465,$A:$A,C:C)</f>
        <v>35</v>
      </c>
      <c r="L465">
        <f>_xlfn.XLOOKUP($I465,$A:$A,D:D)</f>
        <v>5</v>
      </c>
      <c r="M465" t="str">
        <f>_xlfn.XLOOKUP($I465,$A:$A,E:E)</f>
        <v>L1</v>
      </c>
    </row>
    <row r="466" spans="1:13" customFormat="1" ht="20.25">
      <c r="A466" s="34">
        <v>466</v>
      </c>
      <c r="B466" s="33" t="s">
        <v>543</v>
      </c>
      <c r="C466" s="34"/>
      <c r="D466" s="33">
        <v>9</v>
      </c>
      <c r="E466" s="33" t="s">
        <v>1416</v>
      </c>
      <c r="I466">
        <v>748</v>
      </c>
      <c r="J466" t="str">
        <f>_xlfn.XLOOKUP($I466,$A:$A,B:B)</f>
        <v>llama</v>
      </c>
      <c r="K466">
        <f>_xlfn.XLOOKUP($I466,$A:$A,C:C)</f>
        <v>26</v>
      </c>
      <c r="L466">
        <f>_xlfn.XLOOKUP($I466,$A:$A,D:D)</f>
        <v>15</v>
      </c>
      <c r="M466" t="str">
        <f>_xlfn.XLOOKUP($I466,$A:$A,E:E)</f>
        <v>L1</v>
      </c>
    </row>
    <row r="467" spans="1:13" customFormat="1" ht="20.25">
      <c r="A467" s="34">
        <v>467</v>
      </c>
      <c r="B467" s="33" t="s">
        <v>544</v>
      </c>
      <c r="C467" s="34">
        <v>38</v>
      </c>
      <c r="D467" s="33">
        <v>7</v>
      </c>
      <c r="E467" s="33" t="s">
        <v>1413</v>
      </c>
      <c r="I467">
        <v>357</v>
      </c>
      <c r="J467" t="str">
        <f>_xlfn.XLOOKUP($I467,$A:$A,B:B)</f>
        <v>llamada</v>
      </c>
      <c r="K467">
        <f>_xlfn.XLOOKUP($I467,$A:$A,C:C)</f>
        <v>47</v>
      </c>
      <c r="L467">
        <f>_xlfn.XLOOKUP($I467,$A:$A,D:D)</f>
        <v>6</v>
      </c>
      <c r="M467" t="str">
        <f>_xlfn.XLOOKUP($I467,$A:$A,E:E)</f>
        <v>L2</v>
      </c>
    </row>
    <row r="468" spans="1:13" customFormat="1" ht="20.25">
      <c r="A468" s="34">
        <v>468</v>
      </c>
      <c r="B468" s="33" t="s">
        <v>545</v>
      </c>
      <c r="C468" s="34">
        <v>38</v>
      </c>
      <c r="D468" s="33">
        <v>1</v>
      </c>
      <c r="E468" s="33" t="s">
        <v>1416</v>
      </c>
      <c r="I468">
        <v>220</v>
      </c>
      <c r="J468" t="str">
        <f>_xlfn.XLOOKUP($I468,$A:$A,B:B)</f>
        <v>llamado</v>
      </c>
      <c r="K468">
        <f>_xlfn.XLOOKUP($I468,$A:$A,C:C)</f>
        <v>70</v>
      </c>
      <c r="L468">
        <f>_xlfn.XLOOKUP($I468,$A:$A,D:D)</f>
        <v>15</v>
      </c>
      <c r="M468" t="str">
        <f>_xlfn.XLOOKUP($I468,$A:$A,E:E)</f>
        <v>L1</v>
      </c>
    </row>
    <row r="469" spans="1:13" customFormat="1" ht="20.25">
      <c r="A469" s="34">
        <v>469</v>
      </c>
      <c r="B469" s="33" t="s">
        <v>546</v>
      </c>
      <c r="C469" s="34">
        <v>38</v>
      </c>
      <c r="D469" s="33">
        <v>10</v>
      </c>
      <c r="E469" s="33" t="s">
        <v>1413</v>
      </c>
      <c r="I469">
        <v>511</v>
      </c>
      <c r="J469" t="str">
        <f>_xlfn.XLOOKUP($I469,$A:$A,B:B)</f>
        <v>llegar</v>
      </c>
      <c r="K469">
        <f>_xlfn.XLOOKUP($I469,$A:$A,C:C)</f>
        <v>36</v>
      </c>
      <c r="L469">
        <f>_xlfn.XLOOKUP($I469,$A:$A,D:D)</f>
        <v>13</v>
      </c>
      <c r="M469" t="str">
        <f>_xlfn.XLOOKUP($I469,$A:$A,E:E)</f>
        <v>L1</v>
      </c>
    </row>
    <row r="470" spans="1:13" customFormat="1" ht="20.25">
      <c r="A470" s="34"/>
      <c r="B470" s="33"/>
      <c r="C470" s="34"/>
      <c r="D470" s="33"/>
      <c r="E470" s="33"/>
      <c r="I470">
        <v>379</v>
      </c>
      <c r="J470" t="str">
        <f>_xlfn.XLOOKUP($I470,$A:$A,B:B)</f>
        <v>llegó</v>
      </c>
      <c r="K470">
        <f>_xlfn.XLOOKUP($I470,$A:$A,C:C)</f>
        <v>45</v>
      </c>
      <c r="L470">
        <f>_xlfn.XLOOKUP($I470,$A:$A,D:D)</f>
        <v>9</v>
      </c>
      <c r="M470" t="str">
        <f>_xlfn.XLOOKUP($I470,$A:$A,E:E)</f>
        <v>L2</v>
      </c>
    </row>
    <row r="471" spans="1:13" customFormat="1" ht="20.25">
      <c r="A471" s="34">
        <v>471</v>
      </c>
      <c r="B471" s="33" t="s">
        <v>548</v>
      </c>
      <c r="C471" s="34">
        <v>38</v>
      </c>
      <c r="D471" s="33">
        <v>13</v>
      </c>
      <c r="E471" s="33" t="s">
        <v>1416</v>
      </c>
      <c r="I471">
        <v>612</v>
      </c>
      <c r="J471" t="str">
        <f>_xlfn.XLOOKUP($I471,$A:$A,B:B)</f>
        <v>lleva</v>
      </c>
      <c r="K471">
        <f>_xlfn.XLOOKUP($I471,$A:$A,C:C)</f>
        <v>0</v>
      </c>
      <c r="L471">
        <f>_xlfn.XLOOKUP($I471,$A:$A,D:D)</f>
        <v>13</v>
      </c>
      <c r="M471" t="str">
        <f>_xlfn.XLOOKUP($I471,$A:$A,E:E)</f>
        <v>L2</v>
      </c>
    </row>
    <row r="472" spans="1:13" customFormat="1" ht="20.25">
      <c r="A472" s="34">
        <v>472</v>
      </c>
      <c r="B472" s="33" t="s">
        <v>549</v>
      </c>
      <c r="C472" s="34">
        <v>38</v>
      </c>
      <c r="D472" s="33">
        <v>4</v>
      </c>
      <c r="E472" s="33" t="s">
        <v>1416</v>
      </c>
      <c r="I472">
        <v>877</v>
      </c>
      <c r="J472" t="str">
        <f>_xlfn.XLOOKUP($I472,$A:$A,B:B)</f>
        <v>llevar</v>
      </c>
      <c r="K472">
        <f>_xlfn.XLOOKUP($I472,$A:$A,C:C)</f>
        <v>23</v>
      </c>
      <c r="L472">
        <f>_xlfn.XLOOKUP($I472,$A:$A,D:D)</f>
        <v>13</v>
      </c>
      <c r="M472" t="str">
        <f>_xlfn.XLOOKUP($I472,$A:$A,E:E)</f>
        <v>L1</v>
      </c>
    </row>
    <row r="473" spans="1:13" customFormat="1" ht="20.25">
      <c r="A473" s="34">
        <v>473</v>
      </c>
      <c r="B473" s="33" t="s">
        <v>550</v>
      </c>
      <c r="C473" s="34">
        <v>38</v>
      </c>
      <c r="D473" s="33">
        <v>1</v>
      </c>
      <c r="E473" s="33" t="s">
        <v>1416</v>
      </c>
      <c r="I473">
        <v>587</v>
      </c>
      <c r="J473" t="str">
        <f>_xlfn.XLOOKUP($I473,$A:$A,B:B)</f>
        <v>llevó</v>
      </c>
      <c r="K473">
        <f>_xlfn.XLOOKUP($I473,$A:$A,C:C)</f>
        <v>31</v>
      </c>
      <c r="L473">
        <f>_xlfn.XLOOKUP($I473,$A:$A,D:D)</f>
        <v>9</v>
      </c>
      <c r="M473" t="str">
        <f>_xlfn.XLOOKUP($I473,$A:$A,E:E)</f>
        <v>L2</v>
      </c>
    </row>
    <row r="474" spans="1:13" customFormat="1" ht="20.25">
      <c r="A474" s="34">
        <v>474</v>
      </c>
      <c r="B474" s="33" t="s">
        <v>551</v>
      </c>
      <c r="C474" s="34">
        <v>38</v>
      </c>
      <c r="D474" s="33">
        <v>5</v>
      </c>
      <c r="E474" s="33" t="s">
        <v>1416</v>
      </c>
      <c r="I474">
        <v>28</v>
      </c>
      <c r="J474" t="str">
        <f>_xlfn.XLOOKUP($I474,$A:$A,B:B)</f>
        <v>lo</v>
      </c>
      <c r="K474">
        <f>_xlfn.XLOOKUP($I474,$A:$A,C:C)</f>
        <v>652</v>
      </c>
      <c r="L474">
        <f>_xlfn.XLOOKUP($I474,$A:$A,D:D)</f>
        <v>15</v>
      </c>
      <c r="M474" t="str">
        <f>_xlfn.XLOOKUP($I474,$A:$A,E:E)</f>
        <v>L1</v>
      </c>
    </row>
    <row r="475" spans="1:13" customFormat="1" ht="20.25">
      <c r="A475" s="34">
        <v>475</v>
      </c>
      <c r="B475" s="33" t="s">
        <v>552</v>
      </c>
      <c r="C475" s="34">
        <v>38</v>
      </c>
      <c r="D475" s="33">
        <v>12</v>
      </c>
      <c r="E475" s="33" t="s">
        <v>1413</v>
      </c>
      <c r="I475">
        <v>413</v>
      </c>
      <c r="J475" t="str">
        <f>_xlfn.XLOOKUP($I475,$A:$A,B:B)</f>
        <v>local</v>
      </c>
      <c r="K475">
        <f>_xlfn.XLOOKUP($I475,$A:$A,C:C)</f>
        <v>42</v>
      </c>
      <c r="L475">
        <f>_xlfn.XLOOKUP($I475,$A:$A,D:D)</f>
        <v>5</v>
      </c>
      <c r="M475" t="str">
        <f>_xlfn.XLOOKUP($I475,$A:$A,E:E)</f>
        <v>L2</v>
      </c>
    </row>
    <row r="476" spans="1:13" customFormat="1" ht="20.25">
      <c r="A476" s="34">
        <v>476</v>
      </c>
      <c r="B476" s="33" t="s">
        <v>553</v>
      </c>
      <c r="C476" s="34">
        <v>38</v>
      </c>
      <c r="D476" s="33">
        <v>6</v>
      </c>
      <c r="E476" s="33" t="s">
        <v>1416</v>
      </c>
      <c r="I476">
        <v>972</v>
      </c>
      <c r="J476" t="str">
        <f>_xlfn.XLOOKUP($I476,$A:$A,B:B)</f>
        <v>locales</v>
      </c>
      <c r="K476">
        <f>_xlfn.XLOOKUP($I476,$A:$A,C:C)</f>
        <v>21</v>
      </c>
      <c r="L476">
        <f>_xlfn.XLOOKUP($I476,$A:$A,D:D)</f>
        <v>13</v>
      </c>
      <c r="M476" t="str">
        <f>_xlfn.XLOOKUP($I476,$A:$A,E:E)</f>
        <v>L2</v>
      </c>
    </row>
    <row r="477" spans="1:13" customFormat="1" ht="20.25">
      <c r="A477" s="34">
        <v>477</v>
      </c>
      <c r="B477" s="33" t="s">
        <v>554</v>
      </c>
      <c r="C477" s="34">
        <v>38</v>
      </c>
      <c r="D477" s="33">
        <v>6</v>
      </c>
      <c r="E477" s="33" t="s">
        <v>1413</v>
      </c>
      <c r="I477">
        <v>712</v>
      </c>
      <c r="J477" t="str">
        <f>_xlfn.XLOOKUP($I477,$A:$A,B:B)</f>
        <v>localidad</v>
      </c>
      <c r="K477">
        <f>_xlfn.XLOOKUP($I477,$A:$A,C:C)</f>
        <v>27</v>
      </c>
      <c r="L477">
        <f>_xlfn.XLOOKUP($I477,$A:$A,D:D)</f>
        <v>10</v>
      </c>
      <c r="M477" t="str">
        <f>_xlfn.XLOOKUP($I477,$A:$A,E:E)</f>
        <v>L2</v>
      </c>
    </row>
    <row r="478" spans="1:13" customFormat="1" ht="20.25">
      <c r="A478" s="34">
        <v>478</v>
      </c>
      <c r="B478" s="33" t="s">
        <v>555</v>
      </c>
      <c r="C478" s="34">
        <v>38</v>
      </c>
      <c r="D478" s="33">
        <v>11</v>
      </c>
      <c r="E478" s="33" t="s">
        <v>1416</v>
      </c>
      <c r="I478">
        <v>559</v>
      </c>
      <c r="J478" t="str">
        <f>_xlfn.XLOOKUP($I478,$A:$A,B:B)</f>
        <v>logró</v>
      </c>
      <c r="K478">
        <f>_xlfn.XLOOKUP($I478,$A:$A,C:C)</f>
        <v>33</v>
      </c>
      <c r="L478">
        <f>_xlfn.XLOOKUP($I478,$A:$A,D:D)</f>
        <v>4</v>
      </c>
      <c r="M478" t="str">
        <f>_xlfn.XLOOKUP($I478,$A:$A,E:E)</f>
        <v>L2</v>
      </c>
    </row>
    <row r="479" spans="1:13" customFormat="1" ht="20.25">
      <c r="A479" s="34">
        <v>479</v>
      </c>
      <c r="B479" s="33" t="s">
        <v>556</v>
      </c>
      <c r="C479" s="34">
        <v>38</v>
      </c>
      <c r="D479" s="33">
        <v>1</v>
      </c>
      <c r="E479" s="33" t="s">
        <v>1413</v>
      </c>
      <c r="I479">
        <v>822</v>
      </c>
      <c r="J479" t="str">
        <f>_xlfn.XLOOKUP($I479,$A:$A,B:B)</f>
        <v>longitud</v>
      </c>
      <c r="K479">
        <f>_xlfn.XLOOKUP($I479,$A:$A,C:C)</f>
        <v>24</v>
      </c>
      <c r="L479">
        <f>_xlfn.XLOOKUP($I479,$A:$A,D:D)</f>
        <v>6</v>
      </c>
      <c r="M479" t="str">
        <f>_xlfn.XLOOKUP($I479,$A:$A,E:E)</f>
        <v>L3</v>
      </c>
    </row>
    <row r="480" spans="1:13" customFormat="1" ht="20.25">
      <c r="A480" s="34">
        <v>480</v>
      </c>
      <c r="B480" s="33" t="s">
        <v>557</v>
      </c>
      <c r="C480" s="34">
        <v>38</v>
      </c>
      <c r="D480" s="33">
        <v>12</v>
      </c>
      <c r="E480" s="33" t="s">
        <v>1416</v>
      </c>
      <c r="I480">
        <v>9</v>
      </c>
      <c r="J480" t="str">
        <f>_xlfn.XLOOKUP($I480,$A:$A,B:B)</f>
        <v>los</v>
      </c>
      <c r="K480">
        <f>_xlfn.XLOOKUP($I480,$A:$A,C:C)</f>
        <v>2800</v>
      </c>
      <c r="L480">
        <f>_xlfn.XLOOKUP($I480,$A:$A,D:D)</f>
        <v>12</v>
      </c>
      <c r="M480" t="str">
        <f>_xlfn.XLOOKUP($I480,$A:$A,E:E)</f>
        <v>L1</v>
      </c>
    </row>
    <row r="481" spans="1:13" customFormat="1" ht="20.25">
      <c r="A481" s="34">
        <v>481</v>
      </c>
      <c r="B481" s="33" t="s">
        <v>558</v>
      </c>
      <c r="C481" s="34">
        <v>38</v>
      </c>
      <c r="D481" s="33">
        <v>9</v>
      </c>
      <c r="E481" s="33" t="s">
        <v>1416</v>
      </c>
      <c r="I481">
        <v>386</v>
      </c>
      <c r="J481" t="str">
        <f>_xlfn.XLOOKUP($I481,$A:$A,B:B)</f>
        <v>lucha</v>
      </c>
      <c r="K481">
        <f>_xlfn.XLOOKUP($I481,$A:$A,C:C)</f>
        <v>0</v>
      </c>
      <c r="L481">
        <f>_xlfn.XLOOKUP($I481,$A:$A,D:D)</f>
        <v>12</v>
      </c>
      <c r="M481" t="str">
        <f>_xlfn.XLOOKUP($I481,$A:$A,E:E)</f>
        <v>L2</v>
      </c>
    </row>
    <row r="482" spans="1:13" customFormat="1" ht="20.25">
      <c r="A482" s="34">
        <v>483</v>
      </c>
      <c r="B482" s="33" t="s">
        <v>560</v>
      </c>
      <c r="C482" s="34">
        <v>38</v>
      </c>
      <c r="D482" s="33">
        <v>12</v>
      </c>
      <c r="E482" s="33" t="s">
        <v>1413</v>
      </c>
      <c r="I482">
        <v>160</v>
      </c>
      <c r="J482" t="str">
        <f>_xlfn.XLOOKUP($I482,$A:$A,B:B)</f>
        <v>luego</v>
      </c>
      <c r="K482">
        <f>_xlfn.XLOOKUP($I482,$A:$A,C:C)</f>
        <v>87</v>
      </c>
      <c r="L482">
        <f>_xlfn.XLOOKUP($I482,$A:$A,D:D)</f>
        <v>9</v>
      </c>
      <c r="M482" t="str">
        <f>_xlfn.XLOOKUP($I482,$A:$A,E:E)</f>
        <v>L1</v>
      </c>
    </row>
    <row r="483" spans="1:13" customFormat="1" ht="20.25">
      <c r="A483" s="34">
        <v>484</v>
      </c>
      <c r="B483" s="33" t="s">
        <v>561</v>
      </c>
      <c r="C483" s="34"/>
      <c r="D483" s="33">
        <v>3</v>
      </c>
      <c r="E483" s="33" t="s">
        <v>1413</v>
      </c>
      <c r="I483">
        <v>77</v>
      </c>
      <c r="J483" t="str">
        <f>_xlfn.XLOOKUP($I483,$A:$A,B:B)</f>
        <v>lugar</v>
      </c>
      <c r="K483">
        <f>_xlfn.XLOOKUP($I483,$A:$A,C:C)</f>
        <v>161</v>
      </c>
      <c r="L483">
        <f>_xlfn.XLOOKUP($I483,$A:$A,D:D)</f>
        <v>13</v>
      </c>
      <c r="M483" t="str">
        <f>_xlfn.XLOOKUP($I483,$A:$A,E:E)</f>
        <v>L1</v>
      </c>
    </row>
    <row r="484" spans="1:13" customFormat="1" ht="20.25">
      <c r="A484" s="34">
        <v>485</v>
      </c>
      <c r="B484" s="33" t="s">
        <v>562</v>
      </c>
      <c r="C484" s="34"/>
      <c r="D484" s="33">
        <v>9</v>
      </c>
      <c r="E484" s="33" t="s">
        <v>1413</v>
      </c>
      <c r="I484">
        <v>823</v>
      </c>
      <c r="J484" t="str">
        <f>_xlfn.XLOOKUP($I484,$A:$A,B:B)</f>
        <v>lugares</v>
      </c>
      <c r="K484">
        <f>_xlfn.XLOOKUP($I484,$A:$A,C:C)</f>
        <v>24</v>
      </c>
      <c r="L484">
        <f>_xlfn.XLOOKUP($I484,$A:$A,D:D)</f>
        <v>13</v>
      </c>
      <c r="M484" t="str">
        <f>_xlfn.XLOOKUP($I484,$A:$A,E:E)</f>
        <v>L1</v>
      </c>
    </row>
    <row r="485" spans="1:13" customFormat="1" ht="20.25">
      <c r="A485" s="34">
        <v>486</v>
      </c>
      <c r="B485" s="33" t="s">
        <v>563</v>
      </c>
      <c r="C485" s="34"/>
      <c r="D485" s="33">
        <v>2</v>
      </c>
      <c r="E485" s="33" t="s">
        <v>1416</v>
      </c>
      <c r="I485">
        <v>900</v>
      </c>
      <c r="J485" t="str">
        <f>_xlfn.XLOOKUP($I485,$A:$A,B:B)</f>
        <v>Luis</v>
      </c>
      <c r="K485">
        <f>_xlfn.XLOOKUP($I485,$A:$A,C:C)</f>
        <v>23</v>
      </c>
      <c r="L485">
        <f>_xlfn.XLOOKUP($I485,$A:$A,D:D)</f>
        <v>3</v>
      </c>
      <c r="M485" t="str">
        <f>_xlfn.XLOOKUP($I485,$A:$A,E:E)</f>
        <v>L1</v>
      </c>
    </row>
    <row r="486" spans="1:13" customFormat="1" ht="20.25">
      <c r="A486" s="34">
        <v>487</v>
      </c>
      <c r="B486" s="33" t="s">
        <v>564</v>
      </c>
      <c r="C486" s="34">
        <v>37</v>
      </c>
      <c r="D486" s="33">
        <v>12</v>
      </c>
      <c r="E486" s="33" t="s">
        <v>1416</v>
      </c>
      <c r="I486">
        <v>536</v>
      </c>
      <c r="J486" t="str">
        <f>_xlfn.XLOOKUP($I486,$A:$A,B:B)</f>
        <v>luz</v>
      </c>
      <c r="K486">
        <f>_xlfn.XLOOKUP($I486,$A:$A,C:C)</f>
        <v>35</v>
      </c>
      <c r="L486">
        <f>_xlfn.XLOOKUP($I486,$A:$A,D:D)</f>
        <v>6</v>
      </c>
      <c r="M486" t="str">
        <f>_xlfn.XLOOKUP($I486,$A:$A,E:E)</f>
        <v>L1</v>
      </c>
    </row>
    <row r="487" spans="1:13" customFormat="1" ht="20.25">
      <c r="A487" s="34">
        <v>488</v>
      </c>
      <c r="B487" s="33" t="s">
        <v>565</v>
      </c>
      <c r="C487" s="34">
        <v>37</v>
      </c>
      <c r="D487" s="33">
        <v>13</v>
      </c>
      <c r="E487" s="33" t="s">
        <v>1413</v>
      </c>
      <c r="I487">
        <v>824</v>
      </c>
      <c r="J487" t="str">
        <f>_xlfn.XLOOKUP($I487,$A:$A,B:B)</f>
        <v>madera</v>
      </c>
      <c r="K487">
        <f>_xlfn.XLOOKUP($I487,$A:$A,C:C)</f>
        <v>24</v>
      </c>
      <c r="L487">
        <f>_xlfn.XLOOKUP($I487,$A:$A,D:D)</f>
        <v>10</v>
      </c>
      <c r="M487" t="str">
        <f>_xlfn.XLOOKUP($I487,$A:$A,E:E)</f>
        <v>L1</v>
      </c>
    </row>
    <row r="488" spans="1:13" customFormat="1" ht="20.25">
      <c r="A488" s="34">
        <v>489</v>
      </c>
      <c r="B488" s="33" t="s">
        <v>566</v>
      </c>
      <c r="C488" s="34">
        <v>37</v>
      </c>
      <c r="D488" s="33">
        <v>8</v>
      </c>
      <c r="E488" s="33" t="s">
        <v>1416</v>
      </c>
      <c r="I488">
        <v>277</v>
      </c>
      <c r="J488" t="str">
        <f>_xlfn.XLOOKUP($I488,$A:$A,B:B)</f>
        <v>madre</v>
      </c>
      <c r="K488">
        <f>_xlfn.XLOOKUP($I488,$A:$A,C:C)</f>
        <v>58</v>
      </c>
      <c r="L488">
        <f>_xlfn.XLOOKUP($I488,$A:$A,D:D)</f>
        <v>11</v>
      </c>
      <c r="M488" t="str">
        <f>_xlfn.XLOOKUP($I488,$A:$A,E:E)</f>
        <v>L1</v>
      </c>
    </row>
    <row r="489" spans="1:13" customFormat="1" ht="20.25">
      <c r="A489" s="34">
        <v>490</v>
      </c>
      <c r="B489" s="33" t="s">
        <v>567</v>
      </c>
      <c r="C489" s="34">
        <v>37</v>
      </c>
      <c r="D489" s="33">
        <v>13</v>
      </c>
      <c r="E489" s="33" t="s">
        <v>1413</v>
      </c>
      <c r="I489">
        <v>407</v>
      </c>
      <c r="J489" t="str">
        <f>_xlfn.XLOOKUP($I489,$A:$A,B:B)</f>
        <v>Madrid</v>
      </c>
      <c r="K489">
        <f>_xlfn.XLOOKUP($I489,$A:$A,C:C)</f>
        <v>0</v>
      </c>
      <c r="L489">
        <f>_xlfn.XLOOKUP($I489,$A:$A,D:D)</f>
        <v>1</v>
      </c>
      <c r="M489" t="str">
        <f>_xlfn.XLOOKUP($I489,$A:$A,E:E)</f>
        <v>L1</v>
      </c>
    </row>
    <row r="490" spans="1:13" customFormat="1" ht="20.25">
      <c r="A490" s="34">
        <v>491</v>
      </c>
      <c r="B490" s="33" t="s">
        <v>568</v>
      </c>
      <c r="C490" s="34">
        <v>37</v>
      </c>
      <c r="D490" s="33">
        <v>3</v>
      </c>
      <c r="E490" s="33" t="s">
        <v>1416</v>
      </c>
      <c r="I490">
        <v>923</v>
      </c>
      <c r="J490" t="str">
        <f>_xlfn.XLOOKUP($I490,$A:$A,B:B)</f>
        <v>mal</v>
      </c>
      <c r="K490">
        <f>_xlfn.XLOOKUP($I490,$A:$A,C:C)</f>
        <v>22</v>
      </c>
      <c r="L490">
        <f>_xlfn.XLOOKUP($I490,$A:$A,D:D)</f>
        <v>11</v>
      </c>
      <c r="M490" t="str">
        <f>_xlfn.XLOOKUP($I490,$A:$A,E:E)</f>
        <v>L1</v>
      </c>
    </row>
    <row r="491" spans="1:13" customFormat="1" ht="20.25">
      <c r="A491" s="34">
        <v>492</v>
      </c>
      <c r="B491" s="33" t="s">
        <v>569</v>
      </c>
      <c r="C491" s="34">
        <v>37</v>
      </c>
      <c r="D491" s="33">
        <v>6</v>
      </c>
      <c r="E491" s="33" t="s">
        <v>1416</v>
      </c>
      <c r="I491">
        <v>168</v>
      </c>
      <c r="J491" t="str">
        <f>_xlfn.XLOOKUP($I491,$A:$A,B:B)</f>
        <v>manera</v>
      </c>
      <c r="K491">
        <f>_xlfn.XLOOKUP($I491,$A:$A,C:C)</f>
        <v>84</v>
      </c>
      <c r="L491">
        <f>_xlfn.XLOOKUP($I491,$A:$A,D:D)</f>
        <v>12</v>
      </c>
      <c r="M491" t="str">
        <f>_xlfn.XLOOKUP($I491,$A:$A,E:E)</f>
        <v>L2</v>
      </c>
    </row>
    <row r="492" spans="1:13" customFormat="1" ht="20.25">
      <c r="A492" s="34">
        <v>493</v>
      </c>
      <c r="B492" s="33" t="s">
        <v>570</v>
      </c>
      <c r="C492" s="34">
        <v>37</v>
      </c>
      <c r="D492" s="33">
        <v>6</v>
      </c>
      <c r="E492" s="33" t="s">
        <v>1416</v>
      </c>
      <c r="I492">
        <v>713</v>
      </c>
      <c r="J492" t="str">
        <f>_xlfn.XLOOKUP($I492,$A:$A,B:B)</f>
        <v>mano</v>
      </c>
      <c r="K492">
        <f>_xlfn.XLOOKUP($I492,$A:$A,C:C)</f>
        <v>27</v>
      </c>
      <c r="L492">
        <f>_xlfn.XLOOKUP($I492,$A:$A,D:D)</f>
        <v>11</v>
      </c>
      <c r="M492" t="str">
        <f>_xlfn.XLOOKUP($I492,$A:$A,E:E)</f>
        <v>L1</v>
      </c>
    </row>
    <row r="493" spans="1:13" customFormat="1" ht="20.25">
      <c r="A493" s="34">
        <v>494</v>
      </c>
      <c r="B493" s="33" t="s">
        <v>571</v>
      </c>
      <c r="C493" s="34">
        <v>37</v>
      </c>
      <c r="D493" s="33">
        <v>12</v>
      </c>
      <c r="E493" s="33" t="s">
        <v>1416</v>
      </c>
      <c r="I493">
        <v>749</v>
      </c>
      <c r="J493" t="str">
        <f>_xlfn.XLOOKUP($I493,$A:$A,B:B)</f>
        <v>manos</v>
      </c>
      <c r="K493">
        <f>_xlfn.XLOOKUP($I493,$A:$A,C:C)</f>
        <v>26</v>
      </c>
      <c r="L493">
        <f>_xlfn.XLOOKUP($I493,$A:$A,D:D)</f>
        <v>11</v>
      </c>
      <c r="M493" t="str">
        <f>_xlfn.XLOOKUP($I493,$A:$A,E:E)</f>
        <v>L1</v>
      </c>
    </row>
    <row r="494" spans="1:13" customFormat="1" ht="20.25">
      <c r="A494" s="34">
        <v>495</v>
      </c>
      <c r="B494" s="33" t="s">
        <v>572</v>
      </c>
      <c r="C494" s="34">
        <v>37</v>
      </c>
      <c r="D494" s="33">
        <v>2</v>
      </c>
      <c r="E494" s="33" t="s">
        <v>1416</v>
      </c>
      <c r="I494">
        <v>588</v>
      </c>
      <c r="J494" t="str">
        <f>_xlfn.XLOOKUP($I494,$A:$A,B:B)</f>
        <v>mantener</v>
      </c>
      <c r="K494">
        <f>_xlfn.XLOOKUP($I494,$A:$A,C:C)</f>
        <v>31</v>
      </c>
      <c r="L494">
        <f>_xlfn.XLOOKUP($I494,$A:$A,D:D)</f>
        <v>5</v>
      </c>
      <c r="M494" t="str">
        <f>_xlfn.XLOOKUP($I494,$A:$A,E:E)</f>
        <v>L2</v>
      </c>
    </row>
    <row r="495" spans="1:13" customFormat="1" ht="20.25">
      <c r="A495" s="34">
        <v>496</v>
      </c>
      <c r="B495" s="33" t="s">
        <v>573</v>
      </c>
      <c r="C495" s="34">
        <v>37</v>
      </c>
      <c r="D495" s="33">
        <v>12</v>
      </c>
      <c r="E495" s="33" t="s">
        <v>1416</v>
      </c>
      <c r="I495">
        <v>924</v>
      </c>
      <c r="J495" t="str">
        <f>_xlfn.XLOOKUP($I495,$A:$A,B:B)</f>
        <v>mantuvo</v>
      </c>
      <c r="K495">
        <f>_xlfn.XLOOKUP($I495,$A:$A,C:C)</f>
        <v>22</v>
      </c>
      <c r="L495">
        <f>_xlfn.XLOOKUP($I495,$A:$A,D:D)</f>
        <v>1</v>
      </c>
      <c r="M495" t="str">
        <f>_xlfn.XLOOKUP($I495,$A:$A,E:E)</f>
        <v>L2</v>
      </c>
    </row>
    <row r="496" spans="1:13" customFormat="1" ht="20.25">
      <c r="A496" s="34">
        <v>497</v>
      </c>
      <c r="B496" s="33" t="s">
        <v>574</v>
      </c>
      <c r="C496" s="34">
        <v>37</v>
      </c>
      <c r="D496" s="33">
        <v>1</v>
      </c>
      <c r="E496" s="33" t="s">
        <v>1416</v>
      </c>
      <c r="I496">
        <v>825</v>
      </c>
      <c r="J496" t="str">
        <f>_xlfn.XLOOKUP($I496,$A:$A,B:B)</f>
        <v>mar</v>
      </c>
      <c r="K496">
        <f>_xlfn.XLOOKUP($I496,$A:$A,C:C)</f>
        <v>24</v>
      </c>
      <c r="L496">
        <f>_xlfn.XLOOKUP($I496,$A:$A,D:D)</f>
        <v>10</v>
      </c>
      <c r="M496" t="str">
        <f>_xlfn.XLOOKUP($I496,$A:$A,E:E)</f>
        <v>L1</v>
      </c>
    </row>
    <row r="497" spans="1:13" customFormat="1" ht="20.25">
      <c r="A497" s="34">
        <v>498</v>
      </c>
      <c r="B497" s="33" t="s">
        <v>575</v>
      </c>
      <c r="C497" s="34">
        <v>37</v>
      </c>
      <c r="D497" s="33">
        <v>4</v>
      </c>
      <c r="E497" s="33" t="s">
        <v>1416</v>
      </c>
      <c r="I497">
        <v>439</v>
      </c>
      <c r="J497" t="str">
        <f>_xlfn.XLOOKUP($I497,$A:$A,B:B)</f>
        <v>María</v>
      </c>
      <c r="K497">
        <f>_xlfn.XLOOKUP($I497,$A:$A,C:C)</f>
        <v>40</v>
      </c>
      <c r="L497">
        <f>_xlfn.XLOOKUP($I497,$A:$A,D:D)</f>
        <v>9</v>
      </c>
      <c r="M497" t="str">
        <f>_xlfn.XLOOKUP($I497,$A:$A,E:E)</f>
        <v>L1</v>
      </c>
    </row>
    <row r="498" spans="1:13" customFormat="1" ht="20.25">
      <c r="A498" s="34">
        <v>499</v>
      </c>
      <c r="B498" s="33" t="s">
        <v>576</v>
      </c>
      <c r="C498" s="34">
        <v>37</v>
      </c>
      <c r="D498" s="33">
        <v>3</v>
      </c>
      <c r="E498" s="33" t="s">
        <v>1416</v>
      </c>
      <c r="I498">
        <v>294</v>
      </c>
      <c r="J498" t="str">
        <f>_xlfn.XLOOKUP($I498,$A:$A,B:B)</f>
        <v>marzo</v>
      </c>
      <c r="K498">
        <f>_xlfn.XLOOKUP($I498,$A:$A,C:C)</f>
        <v>56</v>
      </c>
      <c r="L498">
        <f>_xlfn.XLOOKUP($I498,$A:$A,D:D)</f>
        <v>9</v>
      </c>
      <c r="M498" t="str">
        <f>_xlfn.XLOOKUP($I498,$A:$A,E:E)</f>
        <v>L1</v>
      </c>
    </row>
    <row r="499" spans="1:13" customFormat="1" ht="20.25">
      <c r="A499" s="34">
        <v>500</v>
      </c>
      <c r="B499" s="33" t="s">
        <v>577</v>
      </c>
      <c r="C499" s="34"/>
      <c r="D499" s="33">
        <v>12</v>
      </c>
      <c r="E499" s="33" t="s">
        <v>1416</v>
      </c>
      <c r="I499">
        <v>26</v>
      </c>
      <c r="J499" t="str">
        <f>_xlfn.XLOOKUP($I499,$A:$A,B:B)</f>
        <v>más</v>
      </c>
      <c r="K499">
        <f>_xlfn.XLOOKUP($I499,$A:$A,C:C)</f>
        <v>855</v>
      </c>
      <c r="L499">
        <f>_xlfn.XLOOKUP($I499,$A:$A,D:D)</f>
        <v>2</v>
      </c>
      <c r="M499" t="str">
        <f>_xlfn.XLOOKUP($I499,$A:$A,E:E)</f>
        <v>L1</v>
      </c>
    </row>
    <row r="500" spans="1:13" customFormat="1" ht="20.25">
      <c r="A500" s="34">
        <v>501</v>
      </c>
      <c r="B500" s="33" t="s">
        <v>578</v>
      </c>
      <c r="C500" s="34"/>
      <c r="D500" s="33">
        <v>10</v>
      </c>
      <c r="E500" s="33" t="s">
        <v>1413</v>
      </c>
      <c r="I500">
        <v>644</v>
      </c>
      <c r="J500" t="str">
        <f>_xlfn.XLOOKUP($I500,$A:$A,B:B)</f>
        <v>material</v>
      </c>
      <c r="K500">
        <f>_xlfn.XLOOKUP($I500,$A:$A,C:C)</f>
        <v>29</v>
      </c>
      <c r="L500">
        <f>_xlfn.XLOOKUP($I500,$A:$A,D:D)</f>
        <v>5</v>
      </c>
      <c r="M500" t="str">
        <f>_xlfn.XLOOKUP($I500,$A:$A,E:E)</f>
        <v>L2</v>
      </c>
    </row>
    <row r="501" spans="1:13" customFormat="1" ht="20.25">
      <c r="A501" s="34"/>
      <c r="B501" s="33"/>
      <c r="C501" s="34"/>
      <c r="D501" s="33"/>
      <c r="E501" s="33"/>
      <c r="I501">
        <v>826</v>
      </c>
      <c r="J501" t="str">
        <f>_xlfn.XLOOKUP($I501,$A:$A,B:B)</f>
        <v>matrimonio</v>
      </c>
      <c r="K501">
        <f>_xlfn.XLOOKUP($I501,$A:$A,C:C)</f>
        <v>24</v>
      </c>
      <c r="L501">
        <f>_xlfn.XLOOKUP($I501,$A:$A,D:D)</f>
        <v>12</v>
      </c>
      <c r="M501" t="str">
        <f>_xlfn.XLOOKUP($I501,$A:$A,E:E)</f>
        <v>L2</v>
      </c>
    </row>
    <row r="502" spans="1:13" customFormat="1" ht="20.25">
      <c r="A502" s="34">
        <v>503</v>
      </c>
      <c r="B502" s="33" t="s">
        <v>580</v>
      </c>
      <c r="C502" s="34">
        <v>36</v>
      </c>
      <c r="D502" s="33">
        <v>3</v>
      </c>
      <c r="E502" s="33" t="s">
        <v>1416</v>
      </c>
      <c r="I502">
        <v>177</v>
      </c>
      <c r="J502" t="str">
        <f>_xlfn.XLOOKUP($I502,$A:$A,B:B)</f>
        <v>mayo</v>
      </c>
      <c r="K502">
        <f>_xlfn.XLOOKUP($I502,$A:$A,C:C)</f>
        <v>81</v>
      </c>
      <c r="L502">
        <f>_xlfn.XLOOKUP($I502,$A:$A,D:D)</f>
        <v>13</v>
      </c>
      <c r="M502" t="str">
        <f>_xlfn.XLOOKUP($I502,$A:$A,E:E)</f>
        <v>L1</v>
      </c>
    </row>
    <row r="503" spans="1:13" customFormat="1" ht="20.25">
      <c r="A503" s="34">
        <v>504</v>
      </c>
      <c r="B503" s="33" t="s">
        <v>581</v>
      </c>
      <c r="C503" s="34">
        <v>36</v>
      </c>
      <c r="D503" s="33">
        <v>8</v>
      </c>
      <c r="E503" s="33" t="s">
        <v>1416</v>
      </c>
      <c r="I503">
        <v>86</v>
      </c>
      <c r="J503" t="str">
        <f>_xlfn.XLOOKUP($I503,$A:$A,B:B)</f>
        <v>mayor</v>
      </c>
      <c r="K503">
        <f>_xlfn.XLOOKUP($I503,$A:$A,C:C)</f>
        <v>140</v>
      </c>
      <c r="L503">
        <f>_xlfn.XLOOKUP($I503,$A:$A,D:D)</f>
        <v>2</v>
      </c>
      <c r="M503" t="str">
        <f>_xlfn.XLOOKUP($I503,$A:$A,E:E)</f>
        <v>L2</v>
      </c>
    </row>
    <row r="504" spans="1:13" customFormat="1" ht="20.25">
      <c r="A504" s="34">
        <v>505</v>
      </c>
      <c r="B504" s="33" t="s">
        <v>582</v>
      </c>
      <c r="C504" s="34">
        <v>36</v>
      </c>
      <c r="D504" s="33">
        <v>6</v>
      </c>
      <c r="E504" s="33" t="s">
        <v>1416</v>
      </c>
      <c r="I504">
        <v>537</v>
      </c>
      <c r="J504" t="str">
        <f>_xlfn.XLOOKUP($I504,$A:$A,B:B)</f>
        <v>mayores</v>
      </c>
      <c r="K504">
        <f>_xlfn.XLOOKUP($I504,$A:$A,C:C)</f>
        <v>0</v>
      </c>
      <c r="L504">
        <f>_xlfn.XLOOKUP($I504,$A:$A,D:D)</f>
        <v>12</v>
      </c>
      <c r="M504" t="str">
        <f>_xlfn.XLOOKUP($I504,$A:$A,E:E)</f>
        <v>L2</v>
      </c>
    </row>
    <row r="505" spans="1:13" customFormat="1" ht="20.25">
      <c r="A505" s="34">
        <v>506</v>
      </c>
      <c r="B505" s="33" t="s">
        <v>583</v>
      </c>
      <c r="C505" s="34">
        <v>36</v>
      </c>
      <c r="D505" s="33">
        <v>12</v>
      </c>
      <c r="E505" s="33" t="s">
        <v>1413</v>
      </c>
      <c r="I505">
        <v>184</v>
      </c>
      <c r="J505" t="str">
        <f>_xlfn.XLOOKUP($I505,$A:$A,B:B)</f>
        <v>mayoría</v>
      </c>
      <c r="K505">
        <f>_xlfn.XLOOKUP($I505,$A:$A,C:C)</f>
        <v>80</v>
      </c>
      <c r="L505">
        <f>_xlfn.XLOOKUP($I505,$A:$A,D:D)</f>
        <v>12</v>
      </c>
      <c r="M505" t="str">
        <f>_xlfn.XLOOKUP($I505,$A:$A,E:E)</f>
        <v>L2</v>
      </c>
    </row>
    <row r="506" spans="1:13" customFormat="1" ht="20.25">
      <c r="A506" s="34">
        <v>507</v>
      </c>
      <c r="B506" s="33" t="s">
        <v>584</v>
      </c>
      <c r="C506" s="34">
        <v>36</v>
      </c>
      <c r="D506" s="33">
        <v>12</v>
      </c>
      <c r="E506" s="33" t="s">
        <v>1413</v>
      </c>
      <c r="I506">
        <v>538</v>
      </c>
      <c r="J506" t="str">
        <f>_xlfn.XLOOKUP($I506,$A:$A,B:B)</f>
        <v>me</v>
      </c>
      <c r="K506">
        <f>_xlfn.XLOOKUP($I506,$A:$A,C:C)</f>
        <v>34</v>
      </c>
      <c r="L506">
        <f>_xlfn.XLOOKUP($I506,$A:$A,D:D)</f>
        <v>13</v>
      </c>
      <c r="M506" t="str">
        <f>_xlfn.XLOOKUP($I506,$A:$A,E:E)</f>
        <v>L1</v>
      </c>
    </row>
    <row r="507" spans="1:13" customFormat="1" ht="20.25">
      <c r="A507" s="34">
        <v>508</v>
      </c>
      <c r="B507" s="33" t="s">
        <v>585</v>
      </c>
      <c r="C507" s="34">
        <v>36</v>
      </c>
      <c r="D507" s="33">
        <v>7</v>
      </c>
      <c r="E507" s="33" t="s">
        <v>1413</v>
      </c>
      <c r="I507">
        <v>787</v>
      </c>
      <c r="J507" t="str">
        <f>_xlfn.XLOOKUP($I507,$A:$A,B:B)</f>
        <v>media</v>
      </c>
      <c r="K507">
        <f>_xlfn.XLOOKUP($I507,$A:$A,C:C)</f>
        <v>25</v>
      </c>
      <c r="L507">
        <f>_xlfn.XLOOKUP($I507,$A:$A,D:D)</f>
        <v>2</v>
      </c>
      <c r="M507" t="str">
        <f>_xlfn.XLOOKUP($I507,$A:$A,E:E)</f>
        <v>L2</v>
      </c>
    </row>
    <row r="508" spans="1:13" customFormat="1" ht="20.25">
      <c r="A508" s="34">
        <v>509</v>
      </c>
      <c r="B508" s="33" t="s">
        <v>586</v>
      </c>
      <c r="C508" s="34">
        <v>36</v>
      </c>
      <c r="D508" s="33">
        <v>1</v>
      </c>
      <c r="E508" s="33" t="s">
        <v>1416</v>
      </c>
      <c r="I508">
        <v>714</v>
      </c>
      <c r="J508" t="str">
        <f>_xlfn.XLOOKUP($I508,$A:$A,B:B)</f>
        <v>mediados</v>
      </c>
      <c r="K508">
        <f>_xlfn.XLOOKUP($I508,$A:$A,C:C)</f>
        <v>27</v>
      </c>
      <c r="L508">
        <f>_xlfn.XLOOKUP($I508,$A:$A,D:D)</f>
        <v>9</v>
      </c>
      <c r="M508" t="str">
        <f>_xlfn.XLOOKUP($I508,$A:$A,E:E)</f>
        <v>L2</v>
      </c>
    </row>
    <row r="509" spans="1:13" customFormat="1" ht="20.25">
      <c r="A509" s="34">
        <v>510</v>
      </c>
      <c r="B509" s="33" t="s">
        <v>587</v>
      </c>
      <c r="C509" s="34">
        <v>36</v>
      </c>
      <c r="D509" s="33">
        <v>4</v>
      </c>
      <c r="E509" s="33" t="s">
        <v>1416</v>
      </c>
      <c r="I509">
        <v>340</v>
      </c>
      <c r="J509" t="str">
        <f>_xlfn.XLOOKUP($I509,$A:$A,B:B)</f>
        <v>mediante</v>
      </c>
      <c r="K509">
        <f>_xlfn.XLOOKUP($I509,$A:$A,C:C)</f>
        <v>49</v>
      </c>
      <c r="L509">
        <f>_xlfn.XLOOKUP($I509,$A:$A,D:D)</f>
        <v>5</v>
      </c>
      <c r="M509" t="str">
        <f>_xlfn.XLOOKUP($I509,$A:$A,E:E)</f>
        <v>L2</v>
      </c>
    </row>
    <row r="510" spans="1:13" customFormat="1" ht="20.25">
      <c r="A510" s="34">
        <v>511</v>
      </c>
      <c r="B510" s="33" t="s">
        <v>588</v>
      </c>
      <c r="C510" s="34">
        <v>36</v>
      </c>
      <c r="D510" s="33">
        <v>13</v>
      </c>
      <c r="E510" s="33" t="s">
        <v>1413</v>
      </c>
      <c r="I510">
        <v>414</v>
      </c>
      <c r="J510" t="str">
        <f>_xlfn.XLOOKUP($I510,$A:$A,B:B)</f>
        <v>medida</v>
      </c>
      <c r="K510">
        <f>_xlfn.XLOOKUP($I510,$A:$A,C:C)</f>
        <v>42</v>
      </c>
      <c r="L510">
        <f>_xlfn.XLOOKUP($I510,$A:$A,D:D)</f>
        <v>1</v>
      </c>
      <c r="M510" t="str">
        <f>_xlfn.XLOOKUP($I510,$A:$A,E:E)</f>
        <v>L2</v>
      </c>
    </row>
    <row r="511" spans="1:13" customFormat="1" ht="20.25">
      <c r="A511" s="34">
        <v>512</v>
      </c>
      <c r="B511" s="33" t="s">
        <v>589</v>
      </c>
      <c r="C511" s="34">
        <v>36</v>
      </c>
      <c r="D511" s="33">
        <v>1</v>
      </c>
      <c r="E511" s="33" t="s">
        <v>1416</v>
      </c>
      <c r="I511">
        <v>973</v>
      </c>
      <c r="J511" t="str">
        <f>_xlfn.XLOOKUP($I511,$A:$A,B:B)</f>
        <v>medidas</v>
      </c>
      <c r="K511">
        <f>_xlfn.XLOOKUP($I511,$A:$A,C:C)</f>
        <v>21</v>
      </c>
      <c r="L511">
        <f>_xlfn.XLOOKUP($I511,$A:$A,D:D)</f>
        <v>1</v>
      </c>
      <c r="M511" t="str">
        <f>_xlfn.XLOOKUP($I511,$A:$A,E:E)</f>
        <v>L2</v>
      </c>
    </row>
    <row r="512" spans="1:13" customFormat="1" ht="20.25">
      <c r="A512" s="34">
        <v>513</v>
      </c>
      <c r="B512" s="33" t="s">
        <v>590</v>
      </c>
      <c r="C512" s="34">
        <v>36</v>
      </c>
      <c r="D512" s="33">
        <v>10</v>
      </c>
      <c r="E512" s="33" t="s">
        <v>1413</v>
      </c>
      <c r="I512">
        <v>209</v>
      </c>
      <c r="J512" t="str">
        <f>_xlfn.XLOOKUP($I512,$A:$A,B:B)</f>
        <v>medio</v>
      </c>
      <c r="K512">
        <f>_xlfn.XLOOKUP($I512,$A:$A,C:C)</f>
        <v>74</v>
      </c>
      <c r="L512">
        <f>_xlfn.XLOOKUP($I512,$A:$A,D:D)</f>
        <v>12</v>
      </c>
      <c r="M512" t="str">
        <f>_xlfn.XLOOKUP($I512,$A:$A,E:E)</f>
        <v>L2</v>
      </c>
    </row>
    <row r="513" spans="1:13" customFormat="1" ht="20.25">
      <c r="A513" s="34">
        <v>514</v>
      </c>
      <c r="B513" s="33" t="s">
        <v>591</v>
      </c>
      <c r="C513" s="34">
        <v>36</v>
      </c>
      <c r="D513" s="33">
        <v>9</v>
      </c>
      <c r="E513" s="33" t="s">
        <v>1416</v>
      </c>
      <c r="I513">
        <v>405</v>
      </c>
      <c r="J513" t="str">
        <f>_xlfn.XLOOKUP($I513,$A:$A,B:B)</f>
        <v>medios</v>
      </c>
      <c r="K513">
        <f>_xlfn.XLOOKUP($I513,$A:$A,C:C)</f>
        <v>43</v>
      </c>
      <c r="L513">
        <f>_xlfn.XLOOKUP($I513,$A:$A,D:D)</f>
        <v>3</v>
      </c>
      <c r="M513" t="str">
        <f>_xlfn.XLOOKUP($I513,$A:$A,E:E)</f>
        <v>L2</v>
      </c>
    </row>
    <row r="514" spans="1:13" customFormat="1" ht="20.25">
      <c r="A514" s="34">
        <v>515</v>
      </c>
      <c r="B514" s="33" t="s">
        <v>592</v>
      </c>
      <c r="C514" s="34">
        <v>36</v>
      </c>
      <c r="D514" s="33">
        <v>13</v>
      </c>
      <c r="E514" s="33" t="s">
        <v>1416</v>
      </c>
      <c r="I514">
        <v>278</v>
      </c>
      <c r="J514" t="str">
        <f>_xlfn.XLOOKUP($I514,$A:$A,B:B)</f>
        <v>mejor</v>
      </c>
      <c r="K514">
        <f>_xlfn.XLOOKUP($I514,$A:$A,C:C)</f>
        <v>58</v>
      </c>
      <c r="L514">
        <f>_xlfn.XLOOKUP($I514,$A:$A,D:D)</f>
        <v>4</v>
      </c>
      <c r="M514" t="str">
        <f>_xlfn.XLOOKUP($I514,$A:$A,E:E)</f>
        <v>L1</v>
      </c>
    </row>
    <row r="515" spans="1:13" customFormat="1" ht="20.25">
      <c r="A515" s="34">
        <v>516</v>
      </c>
      <c r="B515" s="33" t="s">
        <v>593</v>
      </c>
      <c r="C515" s="34">
        <v>36</v>
      </c>
      <c r="D515" s="33">
        <v>12</v>
      </c>
      <c r="E515" s="33" t="s">
        <v>1416</v>
      </c>
      <c r="I515">
        <v>560</v>
      </c>
      <c r="J515" t="str">
        <f>_xlfn.XLOOKUP($I515,$A:$A,B:B)</f>
        <v>mejores</v>
      </c>
      <c r="K515">
        <f>_xlfn.XLOOKUP($I515,$A:$A,C:C)</f>
        <v>33</v>
      </c>
      <c r="L515">
        <f>_xlfn.XLOOKUP($I515,$A:$A,D:D)</f>
        <v>4</v>
      </c>
      <c r="M515" t="str">
        <f>_xlfn.XLOOKUP($I515,$A:$A,E:E)</f>
        <v>L2</v>
      </c>
    </row>
    <row r="516" spans="1:13" customFormat="1" ht="20.25">
      <c r="A516" s="34">
        <v>517</v>
      </c>
      <c r="B516" s="33" t="s">
        <v>594</v>
      </c>
      <c r="C516" s="34">
        <v>36</v>
      </c>
      <c r="D516" s="33">
        <v>4</v>
      </c>
      <c r="E516" s="33" t="s">
        <v>1416</v>
      </c>
      <c r="I516">
        <v>878</v>
      </c>
      <c r="J516" t="str">
        <f>_xlfn.XLOOKUP($I516,$A:$A,B:B)</f>
        <v>memoria</v>
      </c>
      <c r="K516">
        <f>_xlfn.XLOOKUP($I516,$A:$A,C:C)</f>
        <v>23</v>
      </c>
      <c r="L516">
        <f>_xlfn.XLOOKUP($I516,$A:$A,D:D)</f>
        <v>9</v>
      </c>
      <c r="M516" t="str">
        <f>_xlfn.XLOOKUP($I516,$A:$A,E:E)</f>
        <v>L2</v>
      </c>
    </row>
    <row r="517" spans="1:13" customFormat="1" ht="20.25">
      <c r="A517" s="34">
        <v>518</v>
      </c>
      <c r="B517" s="33" t="s">
        <v>595</v>
      </c>
      <c r="C517" s="34"/>
      <c r="D517" s="33">
        <v>9</v>
      </c>
      <c r="E517" s="33" t="s">
        <v>1416</v>
      </c>
      <c r="I517">
        <v>613</v>
      </c>
      <c r="J517" t="str">
        <f>_xlfn.XLOOKUP($I517,$A:$A,B:B)</f>
        <v>menor</v>
      </c>
      <c r="K517">
        <f>_xlfn.XLOOKUP($I517,$A:$A,C:C)</f>
        <v>30</v>
      </c>
      <c r="L517">
        <f>_xlfn.XLOOKUP($I517,$A:$A,D:D)</f>
        <v>8</v>
      </c>
      <c r="M517" t="str">
        <f>_xlfn.XLOOKUP($I517,$A:$A,E:E)</f>
        <v>L2</v>
      </c>
    </row>
    <row r="518" spans="1:13" customFormat="1" ht="20.25">
      <c r="A518" s="34">
        <v>519</v>
      </c>
      <c r="B518" s="33" t="s">
        <v>596</v>
      </c>
      <c r="C518" s="34"/>
      <c r="D518" s="33">
        <v>9</v>
      </c>
      <c r="E518" s="33" t="s">
        <v>1413</v>
      </c>
      <c r="I518">
        <v>206</v>
      </c>
      <c r="J518" t="str">
        <f>_xlfn.XLOOKUP($I518,$A:$A,B:B)</f>
        <v>menos</v>
      </c>
      <c r="K518">
        <f>_xlfn.XLOOKUP($I518,$A:$A,C:C)</f>
        <v>75</v>
      </c>
      <c r="L518">
        <f>_xlfn.XLOOKUP($I518,$A:$A,D:D)</f>
        <v>2</v>
      </c>
      <c r="M518" t="str">
        <f>_xlfn.XLOOKUP($I518,$A:$A,E:E)</f>
        <v>L1</v>
      </c>
    </row>
    <row r="519" spans="1:13" customFormat="1" ht="20.25">
      <c r="A519" s="34">
        <v>520</v>
      </c>
      <c r="B519" s="33" t="s">
        <v>597</v>
      </c>
      <c r="C519" s="34">
        <v>35</v>
      </c>
      <c r="D519" s="33">
        <v>1</v>
      </c>
      <c r="E519" s="33" t="s">
        <v>1416</v>
      </c>
      <c r="I519">
        <v>539</v>
      </c>
      <c r="J519" t="str">
        <f>_xlfn.XLOOKUP($I519,$A:$A,B:B)</f>
        <v>menudo</v>
      </c>
      <c r="K519">
        <f>_xlfn.XLOOKUP($I519,$A:$A,C:C)</f>
        <v>34</v>
      </c>
      <c r="L519">
        <f>_xlfn.XLOOKUP($I519,$A:$A,D:D)</f>
        <v>13</v>
      </c>
      <c r="M519" t="str">
        <f>_xlfn.XLOOKUP($I519,$A:$A,E:E)</f>
        <v>L2</v>
      </c>
    </row>
    <row r="520" spans="1:13" customFormat="1" ht="20.25">
      <c r="A520" s="34">
        <v>521</v>
      </c>
      <c r="B520" s="33" t="s">
        <v>598</v>
      </c>
      <c r="C520" s="34">
        <v>35</v>
      </c>
      <c r="D520" s="33">
        <v>8</v>
      </c>
      <c r="E520" s="33" t="s">
        <v>1416</v>
      </c>
      <c r="I520">
        <v>614</v>
      </c>
      <c r="J520" t="str">
        <f>_xlfn.XLOOKUP($I520,$A:$A,B:B)</f>
        <v>mercado</v>
      </c>
      <c r="K520">
        <f>_xlfn.XLOOKUP($I520,$A:$A,C:C)</f>
        <v>30</v>
      </c>
      <c r="L520">
        <f>_xlfn.XLOOKUP($I520,$A:$A,D:D)</f>
        <v>2</v>
      </c>
      <c r="M520" t="str">
        <f>_xlfn.XLOOKUP($I520,$A:$A,E:E)</f>
        <v>L2</v>
      </c>
    </row>
    <row r="521" spans="1:13" customFormat="1" ht="20.25">
      <c r="A521" s="34">
        <v>522</v>
      </c>
      <c r="B521" s="33" t="s">
        <v>599</v>
      </c>
      <c r="C521" s="34">
        <v>35</v>
      </c>
      <c r="D521" s="33">
        <v>2</v>
      </c>
      <c r="E521" s="33" t="s">
        <v>1416</v>
      </c>
      <c r="I521">
        <v>615</v>
      </c>
      <c r="J521" t="str">
        <f>_xlfn.XLOOKUP($I521,$A:$A,B:B)</f>
        <v>mes</v>
      </c>
      <c r="K521">
        <f>_xlfn.XLOOKUP($I521,$A:$A,C:C)</f>
        <v>30</v>
      </c>
      <c r="L521">
        <f>_xlfn.XLOOKUP($I521,$A:$A,D:D)</f>
        <v>9</v>
      </c>
      <c r="M521" t="str">
        <f>_xlfn.XLOOKUP($I521,$A:$A,E:E)</f>
        <v>L1</v>
      </c>
    </row>
    <row r="522" spans="1:13" customFormat="1" ht="20.25">
      <c r="A522" s="34">
        <v>523</v>
      </c>
      <c r="B522" s="33" t="s">
        <v>600</v>
      </c>
      <c r="C522" s="34">
        <v>35</v>
      </c>
      <c r="D522" s="33">
        <v>6</v>
      </c>
      <c r="E522" s="33" t="s">
        <v>1416</v>
      </c>
      <c r="I522">
        <v>307</v>
      </c>
      <c r="J522" t="str">
        <f>_xlfn.XLOOKUP($I522,$A:$A,B:B)</f>
        <v>meses</v>
      </c>
      <c r="K522">
        <f>_xlfn.XLOOKUP($I522,$A:$A,C:C)</f>
        <v>54</v>
      </c>
      <c r="L522">
        <f>_xlfn.XLOOKUP($I522,$A:$A,D:D)</f>
        <v>9</v>
      </c>
      <c r="M522" t="str">
        <f>_xlfn.XLOOKUP($I522,$A:$A,E:E)</f>
        <v>L1</v>
      </c>
    </row>
    <row r="523" spans="1:13" customFormat="1" ht="20.25">
      <c r="A523" s="34">
        <v>524</v>
      </c>
      <c r="B523" s="33" t="s">
        <v>601</v>
      </c>
      <c r="C523" s="34">
        <v>35</v>
      </c>
      <c r="D523" s="33">
        <v>3</v>
      </c>
      <c r="E523" s="33" t="s">
        <v>1416</v>
      </c>
      <c r="I523">
        <v>326</v>
      </c>
      <c r="J523" t="str">
        <f>_xlfn.XLOOKUP($I523,$A:$A,B:B)</f>
        <v>metros</v>
      </c>
      <c r="K523">
        <f>_xlfn.XLOOKUP($I523,$A:$A,C:C)</f>
        <v>51</v>
      </c>
      <c r="L523">
        <f>_xlfn.XLOOKUP($I523,$A:$A,D:D)</f>
        <v>6</v>
      </c>
      <c r="M523" t="str">
        <f>_xlfn.XLOOKUP($I523,$A:$A,E:E)</f>
        <v>L1</v>
      </c>
    </row>
    <row r="524" spans="1:13" customFormat="1" ht="20.25">
      <c r="A524" s="34">
        <v>525</v>
      </c>
      <c r="B524" s="33" t="s">
        <v>602</v>
      </c>
      <c r="C524" s="34">
        <v>35</v>
      </c>
      <c r="D524" s="33">
        <v>6</v>
      </c>
      <c r="E524" s="33" t="s">
        <v>1416</v>
      </c>
      <c r="I524">
        <v>335</v>
      </c>
      <c r="J524" t="str">
        <f>_xlfn.XLOOKUP($I524,$A:$A,B:B)</f>
        <v>México</v>
      </c>
      <c r="K524">
        <f>_xlfn.XLOOKUP($I524,$A:$A,C:C)</f>
        <v>50</v>
      </c>
      <c r="L524">
        <f>_xlfn.XLOOKUP($I524,$A:$A,D:D)</f>
        <v>1</v>
      </c>
      <c r="M524" t="str">
        <f>_xlfn.XLOOKUP($I524,$A:$A,E:E)</f>
        <v>L1</v>
      </c>
    </row>
    <row r="525" spans="1:13" customFormat="1" ht="20.25">
      <c r="A525" s="34">
        <v>526</v>
      </c>
      <c r="B525" s="33" t="s">
        <v>603</v>
      </c>
      <c r="C525" s="34">
        <v>35</v>
      </c>
      <c r="D525" s="33">
        <v>13</v>
      </c>
      <c r="E525" s="33" t="s">
        <v>1413</v>
      </c>
      <c r="I525">
        <v>512</v>
      </c>
      <c r="J525" t="str">
        <f>_xlfn.XLOOKUP($I525,$A:$A,B:B)</f>
        <v>miembro</v>
      </c>
      <c r="K525">
        <f>_xlfn.XLOOKUP($I525,$A:$A,C:C)</f>
        <v>36</v>
      </c>
      <c r="L525">
        <f>_xlfn.XLOOKUP($I525,$A:$A,D:D)</f>
        <v>1</v>
      </c>
      <c r="M525" t="str">
        <f>_xlfn.XLOOKUP($I525,$A:$A,E:E)</f>
        <v>L2</v>
      </c>
    </row>
    <row r="526" spans="1:13" customFormat="1" ht="20.25">
      <c r="A526" s="34">
        <v>527</v>
      </c>
      <c r="B526" s="33" t="s">
        <v>604</v>
      </c>
      <c r="C526" s="34">
        <v>35</v>
      </c>
      <c r="D526" s="33">
        <v>13</v>
      </c>
      <c r="E526" s="33" t="s">
        <v>1413</v>
      </c>
      <c r="I526">
        <v>317</v>
      </c>
      <c r="J526" t="str">
        <f>_xlfn.XLOOKUP($I526,$A:$A,B:B)</f>
        <v>miembros</v>
      </c>
      <c r="K526">
        <f>_xlfn.XLOOKUP($I526,$A:$A,C:C)</f>
        <v>52</v>
      </c>
      <c r="L526">
        <f>_xlfn.XLOOKUP($I526,$A:$A,D:D)</f>
        <v>1</v>
      </c>
      <c r="M526" t="str">
        <f>_xlfn.XLOOKUP($I526,$A:$A,E:E)</f>
        <v>L2</v>
      </c>
    </row>
    <row r="527" spans="1:13" customFormat="1" ht="20.25">
      <c r="A527" s="34">
        <v>528</v>
      </c>
      <c r="B527" s="33" t="s">
        <v>605</v>
      </c>
      <c r="C527" s="34">
        <v>35</v>
      </c>
      <c r="D527" s="33">
        <v>3</v>
      </c>
      <c r="E527" s="33" t="s">
        <v>1416</v>
      </c>
      <c r="I527">
        <v>93</v>
      </c>
      <c r="J527" t="str">
        <f>_xlfn.XLOOKUP($I527,$A:$A,B:B)</f>
        <v>mientras</v>
      </c>
      <c r="K527">
        <f>_xlfn.XLOOKUP($I527,$A:$A,C:C)</f>
        <v>134</v>
      </c>
      <c r="L527">
        <f>_xlfn.XLOOKUP($I527,$A:$A,D:D)</f>
        <v>9</v>
      </c>
      <c r="M527" t="str">
        <f>_xlfn.XLOOKUP($I527,$A:$A,E:E)</f>
        <v>L2</v>
      </c>
    </row>
    <row r="528" spans="1:13" customFormat="1" ht="20.25">
      <c r="A528" s="34">
        <v>529</v>
      </c>
      <c r="B528" s="33" t="s">
        <v>606</v>
      </c>
      <c r="C528" s="34">
        <v>35</v>
      </c>
      <c r="D528" s="33">
        <v>12</v>
      </c>
      <c r="E528" s="33" t="s">
        <v>1416</v>
      </c>
      <c r="I528">
        <v>715</v>
      </c>
      <c r="J528" t="str">
        <f>_xlfn.XLOOKUP($I528,$A:$A,B:B)</f>
        <v>mil</v>
      </c>
      <c r="K528">
        <f>_xlfn.XLOOKUP($I528,$A:$A,C:C)</f>
        <v>27</v>
      </c>
      <c r="L528">
        <f>_xlfn.XLOOKUP($I528,$A:$A,D:D)</f>
        <v>2</v>
      </c>
      <c r="M528" t="str">
        <f>_xlfn.XLOOKUP($I528,$A:$A,E:E)</f>
        <v>L1</v>
      </c>
    </row>
    <row r="529" spans="1:13" customFormat="1" ht="20.25">
      <c r="A529" s="34">
        <v>530</v>
      </c>
      <c r="B529" s="33" t="s">
        <v>607</v>
      </c>
      <c r="C529" s="34">
        <v>35</v>
      </c>
      <c r="D529" s="33">
        <v>7</v>
      </c>
      <c r="E529" s="33" t="s">
        <v>1416</v>
      </c>
      <c r="I529">
        <v>432</v>
      </c>
      <c r="J529" t="str">
        <f>_xlfn.XLOOKUP($I529,$A:$A,B:B)</f>
        <v>militar</v>
      </c>
      <c r="K529">
        <f>_xlfn.XLOOKUP($I529,$A:$A,C:C)</f>
        <v>40</v>
      </c>
      <c r="L529">
        <f>_xlfn.XLOOKUP($I529,$A:$A,D:D)</f>
        <v>1</v>
      </c>
      <c r="M529" t="str">
        <f>_xlfn.XLOOKUP($I529,$A:$A,E:E)</f>
        <v>L2</v>
      </c>
    </row>
    <row r="530" spans="1:13" customFormat="1" ht="20.25">
      <c r="A530" s="34">
        <v>531</v>
      </c>
      <c r="B530" s="33" t="s">
        <v>608</v>
      </c>
      <c r="C530" s="34">
        <v>35</v>
      </c>
      <c r="D530" s="33">
        <v>7</v>
      </c>
      <c r="E530" s="33" t="s">
        <v>1416</v>
      </c>
      <c r="I530">
        <v>788</v>
      </c>
      <c r="J530" t="str">
        <f>_xlfn.XLOOKUP($I530,$A:$A,B:B)</f>
        <v>militares</v>
      </c>
      <c r="K530">
        <f>_xlfn.XLOOKUP($I530,$A:$A,C:C)</f>
        <v>25</v>
      </c>
      <c r="L530">
        <f>_xlfn.XLOOKUP($I530,$A:$A,D:D)</f>
        <v>1</v>
      </c>
      <c r="M530" t="str">
        <f>_xlfn.XLOOKUP($I530,$A:$A,E:E)</f>
        <v>L2</v>
      </c>
    </row>
    <row r="531" spans="1:13" customFormat="1" ht="20.25">
      <c r="A531" s="34">
        <v>532</v>
      </c>
      <c r="B531" s="33" t="s">
        <v>609</v>
      </c>
      <c r="C531" s="34">
        <v>35</v>
      </c>
      <c r="D531" s="33">
        <v>9</v>
      </c>
      <c r="E531" s="33" t="s">
        <v>1416</v>
      </c>
      <c r="I531">
        <v>173</v>
      </c>
      <c r="J531" t="str">
        <f>_xlfn.XLOOKUP($I531,$A:$A,B:B)</f>
        <v>millones</v>
      </c>
      <c r="K531">
        <f>_xlfn.XLOOKUP($I531,$A:$A,C:C)</f>
        <v>82</v>
      </c>
      <c r="L531">
        <f>_xlfn.XLOOKUP($I531,$A:$A,D:D)</f>
        <v>2</v>
      </c>
      <c r="M531" t="str">
        <f>_xlfn.XLOOKUP($I531,$A:$A,E:E)</f>
        <v>L2</v>
      </c>
    </row>
    <row r="532" spans="1:13" customFormat="1" ht="20.25">
      <c r="A532" s="34">
        <v>533</v>
      </c>
      <c r="B532" s="33" t="s">
        <v>610</v>
      </c>
      <c r="C532" s="34">
        <v>35</v>
      </c>
      <c r="D532" s="33">
        <v>14</v>
      </c>
      <c r="E532" s="33" t="s">
        <v>1416</v>
      </c>
      <c r="I532">
        <v>925</v>
      </c>
      <c r="J532" t="str">
        <f>_xlfn.XLOOKUP($I532,$A:$A,B:B)</f>
        <v>minutos</v>
      </c>
      <c r="K532">
        <f>_xlfn.XLOOKUP($I532,$A:$A,C:C)</f>
        <v>22</v>
      </c>
      <c r="L532">
        <f>_xlfn.XLOOKUP($I532,$A:$A,D:D)</f>
        <v>4</v>
      </c>
      <c r="M532" t="str">
        <f>_xlfn.XLOOKUP($I532,$A:$A,E:E)</f>
        <v>L1</v>
      </c>
    </row>
    <row r="533" spans="1:13" customFormat="1" ht="20.25">
      <c r="A533" s="34">
        <v>534</v>
      </c>
      <c r="B533" s="33" t="s">
        <v>611</v>
      </c>
      <c r="C533" s="34">
        <v>35</v>
      </c>
      <c r="D533" s="33">
        <v>4</v>
      </c>
      <c r="E533" s="33" t="s">
        <v>1416</v>
      </c>
      <c r="I533">
        <v>827</v>
      </c>
      <c r="J533" t="str">
        <f>_xlfn.XLOOKUP($I533,$A:$A,B:B)</f>
        <v>misión</v>
      </c>
      <c r="K533">
        <f>_xlfn.XLOOKUP($I533,$A:$A,C:C)</f>
        <v>24</v>
      </c>
      <c r="L533">
        <f>_xlfn.XLOOKUP($I533,$A:$A,D:D)</f>
        <v>1</v>
      </c>
      <c r="M533" t="str">
        <f>_xlfn.XLOOKUP($I533,$A:$A,E:E)</f>
        <v>L2</v>
      </c>
    </row>
    <row r="534" spans="1:13" customFormat="1" ht="20.25">
      <c r="A534" s="34">
        <v>535</v>
      </c>
      <c r="B534" s="33" t="s">
        <v>612</v>
      </c>
      <c r="C534" s="34">
        <v>35</v>
      </c>
      <c r="D534" s="33">
        <v>5</v>
      </c>
      <c r="E534" s="33" t="s">
        <v>1413</v>
      </c>
      <c r="I534">
        <v>137</v>
      </c>
      <c r="J534" t="str">
        <f>_xlfn.XLOOKUP($I534,$A:$A,B:B)</f>
        <v>misma</v>
      </c>
      <c r="K534">
        <f>_xlfn.XLOOKUP($I534,$A:$A,C:C)</f>
        <v>98</v>
      </c>
      <c r="L534">
        <f>_xlfn.XLOOKUP($I534,$A:$A,D:D)</f>
        <v>12</v>
      </c>
      <c r="M534" t="str">
        <f>_xlfn.XLOOKUP($I534,$A:$A,E:E)</f>
        <v>L1</v>
      </c>
    </row>
    <row r="535" spans="1:13" customFormat="1" ht="20.25">
      <c r="A535" s="34">
        <v>536</v>
      </c>
      <c r="B535" s="33" t="s">
        <v>613</v>
      </c>
      <c r="C535" s="34">
        <v>35</v>
      </c>
      <c r="D535" s="33">
        <v>6</v>
      </c>
      <c r="E535" s="33" t="s">
        <v>1413</v>
      </c>
      <c r="I535">
        <v>65</v>
      </c>
      <c r="J535" t="str">
        <f>_xlfn.XLOOKUP($I535,$A:$A,B:B)</f>
        <v>mismo</v>
      </c>
      <c r="K535">
        <f>_xlfn.XLOOKUP($I535,$A:$A,C:C)</f>
        <v>188</v>
      </c>
      <c r="L535">
        <f>_xlfn.XLOOKUP($I535,$A:$A,D:D)</f>
        <v>12</v>
      </c>
      <c r="M535" t="str">
        <f>_xlfn.XLOOKUP($I535,$A:$A,E:E)</f>
        <v>L1</v>
      </c>
    </row>
    <row r="536" spans="1:13" customFormat="1" ht="20.25">
      <c r="A536" s="34">
        <v>537</v>
      </c>
      <c r="B536" s="33" t="s">
        <v>614</v>
      </c>
      <c r="C536" s="34"/>
      <c r="D536" s="33">
        <v>12</v>
      </c>
      <c r="E536" s="33" t="s">
        <v>1416</v>
      </c>
      <c r="I536">
        <v>682</v>
      </c>
      <c r="J536" t="str">
        <f>_xlfn.XLOOKUP($I536,$A:$A,B:B)</f>
        <v>mismos</v>
      </c>
      <c r="K536">
        <f>_xlfn.XLOOKUP($I536,$A:$A,C:C)</f>
        <v>28</v>
      </c>
      <c r="L536">
        <f>_xlfn.XLOOKUP($I536,$A:$A,D:D)</f>
        <v>12</v>
      </c>
      <c r="M536" t="str">
        <f>_xlfn.XLOOKUP($I536,$A:$A,E:E)</f>
        <v>L2</v>
      </c>
    </row>
    <row r="537" spans="1:13" customFormat="1" ht="20.25">
      <c r="A537" s="34">
        <v>538</v>
      </c>
      <c r="B537" s="33" t="s">
        <v>615</v>
      </c>
      <c r="C537" s="34">
        <v>34</v>
      </c>
      <c r="D537" s="33">
        <v>13</v>
      </c>
      <c r="E537" s="33" t="s">
        <v>1413</v>
      </c>
      <c r="I537">
        <v>495</v>
      </c>
      <c r="J537" t="str">
        <f>_xlfn.XLOOKUP($I537,$A:$A,B:B)</f>
        <v>mitad</v>
      </c>
      <c r="K537">
        <f>_xlfn.XLOOKUP($I537,$A:$A,C:C)</f>
        <v>37</v>
      </c>
      <c r="L537">
        <f>_xlfn.XLOOKUP($I537,$A:$A,D:D)</f>
        <v>2</v>
      </c>
      <c r="M537" t="str">
        <f>_xlfn.XLOOKUP($I537,$A:$A,E:E)</f>
        <v>L2</v>
      </c>
    </row>
    <row r="538" spans="1:13" customFormat="1" ht="20.25">
      <c r="A538" s="34">
        <v>539</v>
      </c>
      <c r="B538" s="33" t="s">
        <v>616</v>
      </c>
      <c r="C538" s="34">
        <v>34</v>
      </c>
      <c r="D538" s="33">
        <v>13</v>
      </c>
      <c r="E538" s="33" t="s">
        <v>1416</v>
      </c>
      <c r="I538">
        <v>477</v>
      </c>
      <c r="J538" t="str">
        <f>_xlfn.XLOOKUP($I538,$A:$A,B:B)</f>
        <v>mm</v>
      </c>
      <c r="K538">
        <f>_xlfn.XLOOKUP($I538,$A:$A,C:C)</f>
        <v>38</v>
      </c>
      <c r="L538">
        <f>_xlfn.XLOOKUP($I538,$A:$A,D:D)</f>
        <v>6</v>
      </c>
      <c r="M538" t="str">
        <f>_xlfn.XLOOKUP($I538,$A:$A,E:E)</f>
        <v>L1</v>
      </c>
    </row>
    <row r="539" spans="1:13" customFormat="1" ht="20.25">
      <c r="A539" s="34">
        <v>540</v>
      </c>
      <c r="B539" s="33" t="s">
        <v>617</v>
      </c>
      <c r="C539" s="34">
        <v>34</v>
      </c>
      <c r="D539" s="33">
        <v>12</v>
      </c>
      <c r="E539" s="33" t="s">
        <v>1413</v>
      </c>
      <c r="I539">
        <v>561</v>
      </c>
      <c r="J539" t="str">
        <f>_xlfn.XLOOKUP($I539,$A:$A,B:B)</f>
        <v>modelo</v>
      </c>
      <c r="K539">
        <f>_xlfn.XLOOKUP($I539,$A:$A,C:C)</f>
        <v>33</v>
      </c>
      <c r="L539">
        <f>_xlfn.XLOOKUP($I539,$A:$A,D:D)</f>
        <v>6</v>
      </c>
      <c r="M539" t="str">
        <f>_xlfn.XLOOKUP($I539,$A:$A,E:E)</f>
        <v>L2</v>
      </c>
    </row>
    <row r="540" spans="1:13" customFormat="1" ht="20.25">
      <c r="A540" s="34">
        <v>541</v>
      </c>
      <c r="B540" s="33" t="s">
        <v>618</v>
      </c>
      <c r="C540" s="34">
        <v>34</v>
      </c>
      <c r="D540" s="33">
        <v>9</v>
      </c>
      <c r="E540" s="33" t="s">
        <v>1416</v>
      </c>
      <c r="I540">
        <v>716</v>
      </c>
      <c r="J540" t="str">
        <f>_xlfn.XLOOKUP($I540,$A:$A,B:B)</f>
        <v>modelos</v>
      </c>
      <c r="K540">
        <f>_xlfn.XLOOKUP($I540,$A:$A,C:C)</f>
        <v>27</v>
      </c>
      <c r="L540">
        <f>_xlfn.XLOOKUP($I540,$A:$A,D:D)</f>
        <v>6</v>
      </c>
      <c r="M540" t="str">
        <f>_xlfn.XLOOKUP($I540,$A:$A,E:E)</f>
        <v>L2</v>
      </c>
    </row>
    <row r="541" spans="1:13" customFormat="1" ht="20.25">
      <c r="A541" s="34">
        <v>542</v>
      </c>
      <c r="B541" s="33" t="s">
        <v>619</v>
      </c>
      <c r="C541" s="34">
        <v>34</v>
      </c>
      <c r="D541" s="33">
        <v>1</v>
      </c>
      <c r="E541" s="33" t="s">
        <v>1416</v>
      </c>
      <c r="I541">
        <v>349</v>
      </c>
      <c r="J541" t="str">
        <f>_xlfn.XLOOKUP($I541,$A:$A,B:B)</f>
        <v>modo</v>
      </c>
      <c r="K541">
        <f>_xlfn.XLOOKUP($I541,$A:$A,C:C)</f>
        <v>48</v>
      </c>
      <c r="L541">
        <f>_xlfn.XLOOKUP($I541,$A:$A,D:D)</f>
        <v>6</v>
      </c>
      <c r="M541" t="str">
        <f>_xlfn.XLOOKUP($I541,$A:$A,E:E)</f>
        <v>L2</v>
      </c>
    </row>
    <row r="542" spans="1:13" customFormat="1" ht="20.25">
      <c r="A542" s="34">
        <v>543</v>
      </c>
      <c r="B542" s="33" t="s">
        <v>620</v>
      </c>
      <c r="C542" s="34">
        <v>34</v>
      </c>
      <c r="D542" s="33">
        <v>2</v>
      </c>
      <c r="E542" s="33" t="s">
        <v>1416</v>
      </c>
      <c r="I542">
        <v>169</v>
      </c>
      <c r="J542" t="str">
        <f>_xlfn.XLOOKUP($I542,$A:$A,B:B)</f>
        <v>momento</v>
      </c>
      <c r="K542">
        <f>_xlfn.XLOOKUP($I542,$A:$A,C:C)</f>
        <v>84</v>
      </c>
      <c r="L542">
        <f>_xlfn.XLOOKUP($I542,$A:$A,D:D)</f>
        <v>9</v>
      </c>
      <c r="M542" t="str">
        <f>_xlfn.XLOOKUP($I542,$A:$A,E:E)</f>
        <v>L1</v>
      </c>
    </row>
    <row r="543" spans="1:13" customFormat="1" ht="20.25">
      <c r="A543" s="34">
        <v>544</v>
      </c>
      <c r="B543" s="33" t="s">
        <v>621</v>
      </c>
      <c r="C543" s="34">
        <v>34</v>
      </c>
      <c r="D543" s="33">
        <v>13</v>
      </c>
      <c r="E543" s="33" t="s">
        <v>1413</v>
      </c>
      <c r="I543">
        <v>926</v>
      </c>
      <c r="J543" t="str">
        <f>_xlfn.XLOOKUP($I543,$A:$A,B:B)</f>
        <v>motor</v>
      </c>
      <c r="K543">
        <f>_xlfn.XLOOKUP($I543,$A:$A,C:C)</f>
        <v>22</v>
      </c>
      <c r="L543">
        <f>_xlfn.XLOOKUP($I543,$A:$A,D:D)</f>
        <v>6</v>
      </c>
      <c r="M543" t="str">
        <f>_xlfn.XLOOKUP($I543,$A:$A,E:E)</f>
        <v>L2</v>
      </c>
    </row>
    <row r="544" spans="1:13" customFormat="1" ht="20.25">
      <c r="A544" s="34">
        <v>545</v>
      </c>
      <c r="B544" s="33" t="s">
        <v>622</v>
      </c>
      <c r="C544" s="34">
        <v>34</v>
      </c>
      <c r="D544" s="33">
        <v>1</v>
      </c>
      <c r="E544" s="33" t="s">
        <v>1413</v>
      </c>
      <c r="I544">
        <v>496</v>
      </c>
      <c r="J544" t="str">
        <f>_xlfn.XLOOKUP($I544,$A:$A,B:B)</f>
        <v>movimiento</v>
      </c>
      <c r="K544">
        <f>_xlfn.XLOOKUP($I544,$A:$A,C:C)</f>
        <v>37</v>
      </c>
      <c r="L544">
        <f>_xlfn.XLOOKUP($I544,$A:$A,D:D)</f>
        <v>12</v>
      </c>
      <c r="M544" t="str">
        <f>_xlfn.XLOOKUP($I544,$A:$A,E:E)</f>
        <v>L2</v>
      </c>
    </row>
    <row r="545" spans="1:13" customFormat="1" ht="20.25">
      <c r="A545" s="34">
        <v>546</v>
      </c>
      <c r="B545" s="33" t="s">
        <v>623</v>
      </c>
      <c r="C545" s="34">
        <v>34</v>
      </c>
      <c r="D545" s="33">
        <v>12</v>
      </c>
      <c r="E545" s="33" t="s">
        <v>1413</v>
      </c>
      <c r="I545">
        <v>308</v>
      </c>
      <c r="J545" t="str">
        <f>_xlfn.XLOOKUP($I545,$A:$A,B:B)</f>
        <v>muchas</v>
      </c>
      <c r="K545">
        <f>_xlfn.XLOOKUP($I545,$A:$A,C:C)</f>
        <v>54</v>
      </c>
      <c r="L545">
        <f>_xlfn.XLOOKUP($I545,$A:$A,D:D)</f>
        <v>12</v>
      </c>
      <c r="M545" t="str">
        <f>_xlfn.XLOOKUP($I545,$A:$A,E:E)</f>
        <v>L1</v>
      </c>
    </row>
    <row r="546" spans="1:13" customFormat="1" ht="20.25">
      <c r="A546" s="34">
        <v>547</v>
      </c>
      <c r="B546" s="33" t="s">
        <v>624</v>
      </c>
      <c r="C546" s="34">
        <v>34</v>
      </c>
      <c r="D546" s="33">
        <v>13</v>
      </c>
      <c r="E546" s="33" t="s">
        <v>1413</v>
      </c>
      <c r="I546">
        <v>272</v>
      </c>
      <c r="J546" t="str">
        <f>_xlfn.XLOOKUP($I546,$A:$A,B:B)</f>
        <v>mucho</v>
      </c>
      <c r="K546">
        <f>_xlfn.XLOOKUP($I546,$A:$A,C:C)</f>
        <v>59</v>
      </c>
      <c r="L546">
        <f>_xlfn.XLOOKUP($I546,$A:$A,D:D)</f>
        <v>2</v>
      </c>
      <c r="M546" t="str">
        <f>_xlfn.XLOOKUP($I546,$A:$A,E:E)</f>
        <v>L1</v>
      </c>
    </row>
    <row r="547" spans="1:13" customFormat="1" ht="20.25">
      <c r="A547" s="34">
        <v>548</v>
      </c>
      <c r="B547" s="33" t="s">
        <v>625</v>
      </c>
      <c r="C547" s="34">
        <v>34</v>
      </c>
      <c r="D547" s="33">
        <v>11</v>
      </c>
      <c r="E547" s="33" t="s">
        <v>1413</v>
      </c>
      <c r="I547">
        <v>185</v>
      </c>
      <c r="J547" t="str">
        <f>_xlfn.XLOOKUP($I547,$A:$A,B:B)</f>
        <v>muchos</v>
      </c>
      <c r="K547">
        <f>_xlfn.XLOOKUP($I547,$A:$A,C:C)</f>
        <v>80</v>
      </c>
      <c r="L547">
        <f>_xlfn.XLOOKUP($I547,$A:$A,D:D)</f>
        <v>12</v>
      </c>
      <c r="M547" t="str">
        <f>_xlfn.XLOOKUP($I547,$A:$A,E:E)</f>
        <v>L1</v>
      </c>
    </row>
    <row r="548" spans="1:13" customFormat="1" ht="20.25">
      <c r="A548" s="34">
        <v>549</v>
      </c>
      <c r="B548" s="33" t="s">
        <v>626</v>
      </c>
      <c r="C548" s="34">
        <v>34</v>
      </c>
      <c r="D548" s="33">
        <v>6</v>
      </c>
      <c r="E548" s="33" t="s">
        <v>1413</v>
      </c>
      <c r="I548">
        <v>178</v>
      </c>
      <c r="J548" t="str">
        <f>_xlfn.XLOOKUP($I548,$A:$A,B:B)</f>
        <v>muerte</v>
      </c>
      <c r="K548">
        <f>_xlfn.XLOOKUP($I548,$A:$A,C:C)</f>
        <v>81</v>
      </c>
      <c r="L548">
        <f>_xlfn.XLOOKUP($I548,$A:$A,D:D)</f>
        <v>11</v>
      </c>
      <c r="M548" t="str">
        <f>_xlfn.XLOOKUP($I548,$A:$A,E:E)</f>
        <v>L2</v>
      </c>
    </row>
    <row r="549" spans="1:13" customFormat="1" ht="20.25">
      <c r="A549" s="34">
        <v>550</v>
      </c>
      <c r="B549" s="33" t="s">
        <v>627</v>
      </c>
      <c r="C549" s="34">
        <v>34</v>
      </c>
      <c r="D549" s="33">
        <v>9</v>
      </c>
      <c r="E549" s="33" t="s">
        <v>1416</v>
      </c>
      <c r="I549">
        <v>461</v>
      </c>
      <c r="J549" t="str">
        <f>_xlfn.XLOOKUP($I549,$A:$A,B:B)</f>
        <v>muestra</v>
      </c>
      <c r="K549">
        <f>_xlfn.XLOOKUP($I549,$A:$A,C:C)</f>
        <v>39</v>
      </c>
      <c r="L549">
        <f>_xlfn.XLOOKUP($I549,$A:$A,D:D)</f>
        <v>7</v>
      </c>
      <c r="M549" t="str">
        <f>_xlfn.XLOOKUP($I549,$A:$A,E:E)</f>
        <v>L2</v>
      </c>
    </row>
    <row r="550" spans="1:13" customFormat="1" ht="20.25">
      <c r="A550" s="34">
        <v>551</v>
      </c>
      <c r="B550" s="33" t="s">
        <v>628</v>
      </c>
      <c r="C550" s="34">
        <v>34</v>
      </c>
      <c r="D550" s="33">
        <v>8</v>
      </c>
      <c r="E550" s="33" t="s">
        <v>1416</v>
      </c>
      <c r="I550">
        <v>380</v>
      </c>
      <c r="J550" t="str">
        <f>_xlfn.XLOOKUP($I550,$A:$A,B:B)</f>
        <v>mujer</v>
      </c>
      <c r="K550">
        <f>_xlfn.XLOOKUP($I550,$A:$A,C:C)</f>
        <v>45</v>
      </c>
      <c r="L550">
        <f>_xlfn.XLOOKUP($I550,$A:$A,D:D)</f>
        <v>12</v>
      </c>
      <c r="M550" t="str">
        <f>_xlfn.XLOOKUP($I550,$A:$A,E:E)</f>
        <v>L1</v>
      </c>
    </row>
    <row r="551" spans="1:13" customFormat="1" ht="20.25">
      <c r="A551" s="34">
        <v>552</v>
      </c>
      <c r="B551" s="33" t="s">
        <v>629</v>
      </c>
      <c r="C551" s="34">
        <v>34</v>
      </c>
      <c r="D551" s="33">
        <v>2</v>
      </c>
      <c r="E551" s="33" t="s">
        <v>1413</v>
      </c>
      <c r="I551">
        <v>133</v>
      </c>
      <c r="J551" t="str">
        <f>_xlfn.XLOOKUP($I551,$A:$A,B:B)</f>
        <v>mujeres</v>
      </c>
      <c r="K551">
        <f>_xlfn.XLOOKUP($I551,$A:$A,C:C)</f>
        <v>100</v>
      </c>
      <c r="L551">
        <f>_xlfn.XLOOKUP($I551,$A:$A,D:D)</f>
        <v>12</v>
      </c>
      <c r="M551" t="str">
        <f>_xlfn.XLOOKUP($I551,$A:$A,E:E)</f>
        <v>L1</v>
      </c>
    </row>
    <row r="552" spans="1:13" customFormat="1" ht="20.25">
      <c r="A552" s="34">
        <v>553</v>
      </c>
      <c r="B552" s="33" t="s">
        <v>630</v>
      </c>
      <c r="C552" s="34">
        <v>34</v>
      </c>
      <c r="D552" s="33">
        <v>3</v>
      </c>
      <c r="E552" s="33" t="s">
        <v>1416</v>
      </c>
      <c r="I552">
        <v>800</v>
      </c>
      <c r="J552" t="str">
        <f>_xlfn.XLOOKUP($I552,$A:$A,B:B)</f>
        <v>Mundial</v>
      </c>
      <c r="K552">
        <f>_xlfn.XLOOKUP($I552,$A:$A,C:C)</f>
        <v>25</v>
      </c>
      <c r="L552">
        <f>_xlfn.XLOOKUP($I552,$A:$A,D:D)</f>
        <v>4</v>
      </c>
      <c r="M552" t="str">
        <f>_xlfn.XLOOKUP($I552,$A:$A,E:E)</f>
        <v>L2</v>
      </c>
    </row>
    <row r="553" spans="1:13" customFormat="1" ht="20.25">
      <c r="A553" s="34">
        <v>554</v>
      </c>
      <c r="B553" s="33" t="s">
        <v>631</v>
      </c>
      <c r="C553" s="34">
        <v>34</v>
      </c>
      <c r="D553" s="33">
        <v>10</v>
      </c>
      <c r="E553" s="33" t="s">
        <v>1416</v>
      </c>
      <c r="I553">
        <v>118</v>
      </c>
      <c r="J553" t="str">
        <f>_xlfn.XLOOKUP($I553,$A:$A,B:B)</f>
        <v>mundo</v>
      </c>
      <c r="K553">
        <f>_xlfn.XLOOKUP($I553,$A:$A,C:C)</f>
        <v>107</v>
      </c>
      <c r="L553">
        <f>_xlfn.XLOOKUP($I553,$A:$A,D:D)</f>
        <v>10</v>
      </c>
      <c r="M553" t="str">
        <f>_xlfn.XLOOKUP($I553,$A:$A,E:E)</f>
        <v>L1</v>
      </c>
    </row>
    <row r="554" spans="1:13" customFormat="1" ht="20.25">
      <c r="A554" s="34">
        <v>555</v>
      </c>
      <c r="B554" s="33" t="s">
        <v>632</v>
      </c>
      <c r="C554" s="34">
        <v>34</v>
      </c>
      <c r="D554" s="33">
        <v>6</v>
      </c>
      <c r="E554" s="33" t="s">
        <v>1416</v>
      </c>
      <c r="I554">
        <v>497</v>
      </c>
      <c r="J554" t="str">
        <f>_xlfn.XLOOKUP($I554,$A:$A,B:B)</f>
        <v>municipio</v>
      </c>
      <c r="K554">
        <f>_xlfn.XLOOKUP($I554,$A:$A,C:C)</f>
        <v>37</v>
      </c>
      <c r="L554">
        <f>_xlfn.XLOOKUP($I554,$A:$A,D:D)</f>
        <v>1</v>
      </c>
      <c r="M554" t="str">
        <f>_xlfn.XLOOKUP($I554,$A:$A,E:E)</f>
        <v>L2</v>
      </c>
    </row>
    <row r="555" spans="1:13" customFormat="1" ht="20.25">
      <c r="A555" s="34">
        <v>556</v>
      </c>
      <c r="B555" s="33" t="s">
        <v>633</v>
      </c>
      <c r="C555" s="34">
        <v>33</v>
      </c>
      <c r="D555" s="33">
        <v>9</v>
      </c>
      <c r="E555" s="33" t="s">
        <v>1416</v>
      </c>
      <c r="I555">
        <v>478</v>
      </c>
      <c r="J555" t="str">
        <f>_xlfn.XLOOKUP($I555,$A:$A,B:B)</f>
        <v>murió</v>
      </c>
      <c r="K555">
        <f>_xlfn.XLOOKUP($I555,$A:$A,C:C)</f>
        <v>38</v>
      </c>
      <c r="L555">
        <f>_xlfn.XLOOKUP($I555,$A:$A,D:D)</f>
        <v>11</v>
      </c>
      <c r="M555" t="str">
        <f>_xlfn.XLOOKUP($I555,$A:$A,E:E)</f>
        <v>L2</v>
      </c>
    </row>
    <row r="556" spans="1:13" customFormat="1" ht="20.25">
      <c r="A556" s="34">
        <v>557</v>
      </c>
      <c r="B556" s="33" t="s">
        <v>634</v>
      </c>
      <c r="C556" s="34">
        <v>33</v>
      </c>
      <c r="D556" s="33">
        <v>12</v>
      </c>
      <c r="E556" s="33" t="s">
        <v>1413</v>
      </c>
      <c r="I556">
        <v>318</v>
      </c>
      <c r="J556" t="str">
        <f>_xlfn.XLOOKUP($I556,$A:$A,B:B)</f>
        <v>música</v>
      </c>
      <c r="K556">
        <f>_xlfn.XLOOKUP($I556,$A:$A,C:C)</f>
        <v>51</v>
      </c>
      <c r="L556">
        <f>_xlfn.XLOOKUP($I556,$A:$A,D:D)</f>
        <v>3</v>
      </c>
      <c r="M556" t="str">
        <f>_xlfn.XLOOKUP($I556,$A:$A,E:E)</f>
        <v>L1</v>
      </c>
    </row>
    <row r="557" spans="1:13" customFormat="1" ht="20.25">
      <c r="A557" s="34">
        <v>558</v>
      </c>
      <c r="B557" s="33" t="s">
        <v>635</v>
      </c>
      <c r="C557" s="34">
        <v>33</v>
      </c>
      <c r="D557" s="33">
        <v>2</v>
      </c>
      <c r="E557" s="33" t="s">
        <v>1416</v>
      </c>
      <c r="I557">
        <v>645</v>
      </c>
      <c r="J557" t="str">
        <f>_xlfn.XLOOKUP($I557,$A:$A,B:B)</f>
        <v>musical</v>
      </c>
      <c r="K557">
        <f>_xlfn.XLOOKUP($I557,$A:$A,C:C)</f>
        <v>29</v>
      </c>
      <c r="L557">
        <f>_xlfn.XLOOKUP($I557,$A:$A,D:D)</f>
        <v>3</v>
      </c>
      <c r="M557" t="str">
        <f>_xlfn.XLOOKUP($I557,$A:$A,E:E)</f>
        <v>L2</v>
      </c>
    </row>
    <row r="558" spans="1:13" customFormat="1" ht="20.25">
      <c r="A558" s="34">
        <v>559</v>
      </c>
      <c r="B558" s="33" t="s">
        <v>636</v>
      </c>
      <c r="C558" s="34">
        <v>33</v>
      </c>
      <c r="D558" s="33">
        <v>4</v>
      </c>
      <c r="E558" s="33" t="s">
        <v>1416</v>
      </c>
      <c r="I558">
        <v>60</v>
      </c>
      <c r="J558" t="str">
        <f>_xlfn.XLOOKUP($I558,$A:$A,B:B)</f>
        <v>muy</v>
      </c>
      <c r="K558">
        <f>_xlfn.XLOOKUP($I558,$A:$A,C:C)</f>
        <v>205</v>
      </c>
      <c r="L558">
        <f>_xlfn.XLOOKUP($I558,$A:$A,D:D)</f>
        <v>14</v>
      </c>
      <c r="M558" t="str">
        <f>_xlfn.XLOOKUP($I558,$A:$A,E:E)</f>
        <v>L1</v>
      </c>
    </row>
    <row r="559" spans="1:13" customFormat="1" ht="20.25">
      <c r="A559" s="34">
        <v>560</v>
      </c>
      <c r="B559" s="33" t="s">
        <v>637</v>
      </c>
      <c r="C559" s="34">
        <v>33</v>
      </c>
      <c r="D559" s="33">
        <v>4</v>
      </c>
      <c r="E559" s="33" t="s">
        <v>1416</v>
      </c>
      <c r="I559">
        <v>974</v>
      </c>
      <c r="J559" t="str">
        <f>_xlfn.XLOOKUP($I559,$A:$A,B:B)</f>
        <v>nació</v>
      </c>
      <c r="K559">
        <f>_xlfn.XLOOKUP($I559,$A:$A,C:C)</f>
        <v>21</v>
      </c>
      <c r="L559">
        <f>_xlfn.XLOOKUP($I559,$A:$A,D:D)</f>
        <v>9</v>
      </c>
      <c r="M559" t="str">
        <f>_xlfn.XLOOKUP($I559,$A:$A,E:E)</f>
        <v>L1</v>
      </c>
    </row>
    <row r="560" spans="1:13" customFormat="1" ht="20.25">
      <c r="A560" s="34">
        <v>561</v>
      </c>
      <c r="B560" s="33" t="s">
        <v>638</v>
      </c>
      <c r="C560" s="34">
        <v>33</v>
      </c>
      <c r="D560" s="33">
        <v>6</v>
      </c>
      <c r="E560" s="33" t="s">
        <v>1416</v>
      </c>
      <c r="I560">
        <v>306</v>
      </c>
      <c r="J560" t="str">
        <f>_xlfn.XLOOKUP($I560,$A:$A,B:B)</f>
        <v>nacional</v>
      </c>
      <c r="K560">
        <f>_xlfn.XLOOKUP($I560,$A:$A,C:C)</f>
        <v>0</v>
      </c>
      <c r="L560">
        <f>_xlfn.XLOOKUP($I560,$A:$A,D:D)</f>
        <v>1</v>
      </c>
      <c r="M560" t="str">
        <f>_xlfn.XLOOKUP($I560,$A:$A,E:E)</f>
        <v>L2</v>
      </c>
    </row>
    <row r="561" spans="1:13" customFormat="1" ht="20.25">
      <c r="A561" s="34">
        <v>562</v>
      </c>
      <c r="B561" s="33" t="s">
        <v>639</v>
      </c>
      <c r="C561" s="34">
        <v>33</v>
      </c>
      <c r="D561" s="33">
        <v>5</v>
      </c>
      <c r="E561" s="33" t="s">
        <v>1416</v>
      </c>
      <c r="I561">
        <v>828</v>
      </c>
      <c r="J561" t="str">
        <f>_xlfn.XLOOKUP($I561,$A:$A,B:B)</f>
        <v>nada</v>
      </c>
      <c r="K561">
        <f>_xlfn.XLOOKUP($I561,$A:$A,C:C)</f>
        <v>24</v>
      </c>
      <c r="L561">
        <f>_xlfn.XLOOKUP($I561,$A:$A,D:D)</f>
        <v>15</v>
      </c>
      <c r="M561" t="str">
        <f>_xlfn.XLOOKUP($I561,$A:$A,E:E)</f>
        <v>L1</v>
      </c>
    </row>
    <row r="562" spans="1:13" customFormat="1" ht="20.25">
      <c r="A562" s="34">
        <v>563</v>
      </c>
      <c r="B562" s="33" t="s">
        <v>640</v>
      </c>
      <c r="C562" s="34">
        <v>33</v>
      </c>
      <c r="D562" s="33">
        <v>13</v>
      </c>
      <c r="E562" s="33" t="s">
        <v>1416</v>
      </c>
      <c r="I562">
        <v>616</v>
      </c>
      <c r="J562" t="str">
        <f>_xlfn.XLOOKUP($I562,$A:$A,B:B)</f>
        <v>natural</v>
      </c>
      <c r="K562">
        <f>_xlfn.XLOOKUP($I562,$A:$A,C:C)</f>
        <v>30</v>
      </c>
      <c r="L562">
        <f>_xlfn.XLOOKUP($I562,$A:$A,D:D)</f>
        <v>10</v>
      </c>
      <c r="M562" t="str">
        <f>_xlfn.XLOOKUP($I562,$A:$A,E:E)</f>
        <v>L2</v>
      </c>
    </row>
    <row r="563" spans="1:13" customFormat="1" ht="20.25">
      <c r="A563" s="34">
        <v>564</v>
      </c>
      <c r="B563" s="33" t="s">
        <v>641</v>
      </c>
      <c r="C563" s="34">
        <v>33</v>
      </c>
      <c r="D563" s="33">
        <v>12</v>
      </c>
      <c r="E563" s="33" t="s">
        <v>1419</v>
      </c>
      <c r="I563">
        <v>829</v>
      </c>
      <c r="J563" t="str">
        <f>_xlfn.XLOOKUP($I563,$A:$A,B:B)</f>
        <v>naturaleza</v>
      </c>
      <c r="K563">
        <f>_xlfn.XLOOKUP($I563,$A:$A,C:C)</f>
        <v>24</v>
      </c>
      <c r="L563">
        <f>_xlfn.XLOOKUP($I563,$A:$A,D:D)</f>
        <v>10</v>
      </c>
      <c r="M563" t="str">
        <f>_xlfn.XLOOKUP($I563,$A:$A,E:E)</f>
        <v>L2</v>
      </c>
    </row>
    <row r="564" spans="1:13" customFormat="1" ht="20.25">
      <c r="A564" s="34">
        <v>565</v>
      </c>
      <c r="B564" s="33" t="s">
        <v>642</v>
      </c>
      <c r="C564" s="34">
        <v>33</v>
      </c>
      <c r="D564" s="33">
        <v>6</v>
      </c>
      <c r="E564" s="33" t="s">
        <v>1416</v>
      </c>
      <c r="I564">
        <v>562</v>
      </c>
      <c r="J564" t="str">
        <f>_xlfn.XLOOKUP($I564,$A:$A,B:B)</f>
        <v>necesario</v>
      </c>
      <c r="K564">
        <f>_xlfn.XLOOKUP($I564,$A:$A,C:C)</f>
        <v>33</v>
      </c>
      <c r="L564">
        <f>_xlfn.XLOOKUP($I564,$A:$A,D:D)</f>
        <v>5</v>
      </c>
      <c r="M564" t="str">
        <f>_xlfn.XLOOKUP($I564,$A:$A,E:E)</f>
        <v>L2</v>
      </c>
    </row>
    <row r="565" spans="1:13" customFormat="1" ht="20.25">
      <c r="A565" s="34">
        <v>566</v>
      </c>
      <c r="B565" s="33" t="s">
        <v>643</v>
      </c>
      <c r="C565" s="34">
        <v>33</v>
      </c>
      <c r="D565" s="33">
        <v>7</v>
      </c>
      <c r="E565" s="33" t="s">
        <v>1416</v>
      </c>
      <c r="I565">
        <v>750</v>
      </c>
      <c r="J565" t="str">
        <f>_xlfn.XLOOKUP($I565,$A:$A,B:B)</f>
        <v>negro</v>
      </c>
      <c r="K565">
        <f>_xlfn.XLOOKUP($I565,$A:$A,C:C)</f>
        <v>26</v>
      </c>
      <c r="L565">
        <f>_xlfn.XLOOKUP($I565,$A:$A,D:D)</f>
        <v>3</v>
      </c>
      <c r="M565" t="str">
        <f>_xlfn.XLOOKUP($I565,$A:$A,E:E)</f>
        <v>L1</v>
      </c>
    </row>
    <row r="566" spans="1:13" customFormat="1" ht="20.25">
      <c r="A566" s="34">
        <v>567</v>
      </c>
      <c r="B566" s="33" t="s">
        <v>644</v>
      </c>
      <c r="C566" s="34">
        <v>33</v>
      </c>
      <c r="D566" s="33">
        <v>12</v>
      </c>
      <c r="E566" s="33" t="s">
        <v>1416</v>
      </c>
      <c r="I566">
        <v>451</v>
      </c>
      <c r="J566" t="str">
        <f>_xlfn.XLOOKUP($I566,$A:$A,B:B)</f>
        <v>ni</v>
      </c>
      <c r="K566">
        <f>_xlfn.XLOOKUP($I566,$A:$A,C:C)</f>
        <v>39</v>
      </c>
      <c r="L566">
        <f>_xlfn.XLOOKUP($I566,$A:$A,D:D)</f>
        <v>8</v>
      </c>
      <c r="M566" t="str">
        <f>_xlfn.XLOOKUP($I566,$A:$A,E:E)</f>
        <v>L1</v>
      </c>
    </row>
    <row r="567" spans="1:13" customFormat="1" ht="20.25">
      <c r="A567" s="34">
        <v>568</v>
      </c>
      <c r="B567" s="33" t="s">
        <v>645</v>
      </c>
      <c r="C567" s="34"/>
      <c r="D567" s="33">
        <v>9</v>
      </c>
      <c r="E567" s="33" t="s">
        <v>1413</v>
      </c>
      <c r="I567">
        <v>617</v>
      </c>
      <c r="J567" t="str">
        <f>_xlfn.XLOOKUP($I567,$A:$A,B:B)</f>
        <v>ningún</v>
      </c>
      <c r="K567">
        <f>_xlfn.XLOOKUP($I567,$A:$A,C:C)</f>
        <v>30</v>
      </c>
      <c r="L567">
        <f>_xlfn.XLOOKUP($I567,$A:$A,D:D)</f>
        <v>1</v>
      </c>
      <c r="M567" t="str">
        <f>_xlfn.XLOOKUP($I567,$A:$A,E:E)</f>
        <v>L1</v>
      </c>
    </row>
    <row r="568" spans="1:13" customFormat="1" ht="20.25">
      <c r="A568" s="34">
        <v>569</v>
      </c>
      <c r="B568" s="33" t="s">
        <v>646</v>
      </c>
      <c r="C568" s="34">
        <v>32</v>
      </c>
      <c r="D568" s="33">
        <v>5</v>
      </c>
      <c r="E568" s="33" t="s">
        <v>1416</v>
      </c>
      <c r="I568">
        <v>479</v>
      </c>
      <c r="J568" t="str">
        <f>_xlfn.XLOOKUP($I568,$A:$A,B:B)</f>
        <v>ninguna</v>
      </c>
      <c r="K568">
        <f>_xlfn.XLOOKUP($I568,$A:$A,C:C)</f>
        <v>38</v>
      </c>
      <c r="L568">
        <f>_xlfn.XLOOKUP($I568,$A:$A,D:D)</f>
        <v>1</v>
      </c>
      <c r="M568" t="str">
        <f>_xlfn.XLOOKUP($I568,$A:$A,E:E)</f>
        <v>L1</v>
      </c>
    </row>
    <row r="569" spans="1:13" customFormat="1" ht="20.25">
      <c r="A569" s="34">
        <v>570</v>
      </c>
      <c r="B569" s="33" t="s">
        <v>647</v>
      </c>
      <c r="C569" s="34">
        <v>32</v>
      </c>
      <c r="D569" s="33">
        <v>14</v>
      </c>
      <c r="E569" s="33" t="s">
        <v>1413</v>
      </c>
      <c r="I569">
        <v>358</v>
      </c>
      <c r="J569" t="str">
        <f>_xlfn.XLOOKUP($I569,$A:$A,B:B)</f>
        <v>niños</v>
      </c>
      <c r="K569">
        <f>_xlfn.XLOOKUP($I569,$A:$A,C:C)</f>
        <v>47</v>
      </c>
      <c r="L569">
        <f>_xlfn.XLOOKUP($I569,$A:$A,D:D)</f>
        <v>12</v>
      </c>
      <c r="M569" t="str">
        <f>_xlfn.XLOOKUP($I569,$A:$A,E:E)</f>
        <v>L1</v>
      </c>
    </row>
    <row r="570" spans="1:13" customFormat="1" ht="20.25">
      <c r="A570" s="34">
        <v>571</v>
      </c>
      <c r="B570" s="33" t="s">
        <v>648</v>
      </c>
      <c r="C570" s="34">
        <v>32</v>
      </c>
      <c r="D570" s="33">
        <v>13</v>
      </c>
      <c r="E570" s="33" t="s">
        <v>1416</v>
      </c>
      <c r="I570">
        <v>195</v>
      </c>
      <c r="J570" t="str">
        <f>_xlfn.XLOOKUP($I570,$A:$A,B:B)</f>
        <v>nivel</v>
      </c>
      <c r="K570">
        <f>_xlfn.XLOOKUP($I570,$A:$A,C:C)</f>
        <v>78</v>
      </c>
      <c r="L570">
        <f>_xlfn.XLOOKUP($I570,$A:$A,D:D)</f>
        <v>7</v>
      </c>
      <c r="M570" t="str">
        <f>_xlfn.XLOOKUP($I570,$A:$A,E:E)</f>
        <v>L2</v>
      </c>
    </row>
    <row r="571" spans="1:13" customFormat="1" ht="20.25">
      <c r="A571" s="34">
        <v>572</v>
      </c>
      <c r="B571" s="33" t="s">
        <v>649</v>
      </c>
      <c r="C571" s="34">
        <v>32</v>
      </c>
      <c r="D571" s="33">
        <v>1</v>
      </c>
      <c r="E571" s="33" t="s">
        <v>1413</v>
      </c>
      <c r="I571">
        <v>618</v>
      </c>
      <c r="J571" t="str">
        <f>_xlfn.XLOOKUP($I571,$A:$A,B:B)</f>
        <v>niveles</v>
      </c>
      <c r="K571">
        <f>_xlfn.XLOOKUP($I571,$A:$A,C:C)</f>
        <v>30</v>
      </c>
      <c r="L571">
        <f>_xlfn.XLOOKUP($I571,$A:$A,D:D)</f>
        <v>6</v>
      </c>
      <c r="M571" t="str">
        <f>_xlfn.XLOOKUP($I571,$A:$A,E:E)</f>
        <v>L2</v>
      </c>
    </row>
    <row r="572" spans="1:13" customFormat="1" ht="20.25">
      <c r="A572" s="34">
        <v>573</v>
      </c>
      <c r="B572" s="33" t="s">
        <v>650</v>
      </c>
      <c r="C572" s="34">
        <v>32</v>
      </c>
      <c r="D572" s="33">
        <v>9</v>
      </c>
      <c r="E572" s="33" t="s">
        <v>1413</v>
      </c>
      <c r="I572">
        <v>24</v>
      </c>
      <c r="J572" t="str">
        <f>_xlfn.XLOOKUP($I572,$A:$A,B:B)</f>
        <v>no</v>
      </c>
      <c r="K572">
        <f>_xlfn.XLOOKUP($I572,$A:$A,C:C)</f>
        <v>891</v>
      </c>
      <c r="L572">
        <f>_xlfn.XLOOKUP($I572,$A:$A,D:D)</f>
        <v>12</v>
      </c>
      <c r="M572" t="str">
        <f>_xlfn.XLOOKUP($I572,$A:$A,E:E)</f>
        <v>L1</v>
      </c>
    </row>
    <row r="573" spans="1:13" customFormat="1" ht="20.25">
      <c r="A573" s="34"/>
      <c r="B573" s="33"/>
      <c r="C573" s="34"/>
      <c r="D573" s="33"/>
      <c r="E573" s="33"/>
      <c r="I573">
        <v>527</v>
      </c>
      <c r="J573" t="str">
        <f>_xlfn.XLOOKUP($I573,$A:$A,B:B)</f>
        <v>noche</v>
      </c>
      <c r="K573">
        <f>_xlfn.XLOOKUP($I573,$A:$A,C:C)</f>
        <v>35</v>
      </c>
      <c r="L573">
        <f>_xlfn.XLOOKUP($I573,$A:$A,D:D)</f>
        <v>13</v>
      </c>
      <c r="M573" t="str">
        <f>_xlfn.XLOOKUP($I573,$A:$A,E:E)</f>
        <v>L1</v>
      </c>
    </row>
    <row r="574" spans="1:13" customFormat="1" ht="20.25">
      <c r="A574" s="34"/>
      <c r="B574" s="33"/>
      <c r="C574" s="34"/>
      <c r="D574" s="33"/>
      <c r="E574" s="33"/>
      <c r="I574">
        <v>619</v>
      </c>
      <c r="J574" t="str">
        <f>_xlfn.XLOOKUP($I574,$A:$A,B:B)</f>
        <v>nombrado</v>
      </c>
      <c r="K574">
        <f>_xlfn.XLOOKUP($I574,$A:$A,C:C)</f>
        <v>30</v>
      </c>
      <c r="L574">
        <f>_xlfn.XLOOKUP($I574,$A:$A,D:D)</f>
        <v>1</v>
      </c>
      <c r="M574" t="str">
        <f>_xlfn.XLOOKUP($I574,$A:$A,E:E)</f>
        <v>L3</v>
      </c>
    </row>
    <row r="575" spans="1:13" customFormat="1" ht="20.25">
      <c r="A575" s="34"/>
      <c r="B575" s="33"/>
      <c r="C575" s="34"/>
      <c r="D575" s="33"/>
      <c r="E575" s="33"/>
      <c r="I575">
        <v>81</v>
      </c>
      <c r="J575" t="str">
        <f>_xlfn.XLOOKUP($I575,$A:$A,B:B)</f>
        <v>nombre</v>
      </c>
      <c r="K575">
        <f>_xlfn.XLOOKUP($I575,$A:$A,C:C)</f>
        <v>150</v>
      </c>
      <c r="L575">
        <f>_xlfn.XLOOKUP($I575,$A:$A,D:D)</f>
        <v>3</v>
      </c>
      <c r="M575" t="str">
        <f>_xlfn.XLOOKUP($I575,$A:$A,E:E)</f>
        <v>L1</v>
      </c>
    </row>
    <row r="576" spans="1:13" customFormat="1" ht="20.25">
      <c r="A576" s="34"/>
      <c r="B576" s="33"/>
      <c r="C576" s="34"/>
      <c r="D576" s="33"/>
      <c r="E576" s="33"/>
      <c r="I576">
        <v>830</v>
      </c>
      <c r="J576" t="str">
        <f>_xlfn.XLOOKUP($I576,$A:$A,B:B)</f>
        <v>nombres</v>
      </c>
      <c r="K576">
        <f>_xlfn.XLOOKUP($I576,$A:$A,C:C)</f>
        <v>24</v>
      </c>
      <c r="L576">
        <f>_xlfn.XLOOKUP($I576,$A:$A,D:D)</f>
        <v>3</v>
      </c>
      <c r="M576" t="str">
        <f>_xlfn.XLOOKUP($I576,$A:$A,E:E)</f>
        <v>L1</v>
      </c>
    </row>
    <row r="577" spans="1:13" customFormat="1" ht="20.25">
      <c r="A577" s="34">
        <v>578</v>
      </c>
      <c r="B577" s="33" t="s">
        <v>655</v>
      </c>
      <c r="C577" s="34">
        <v>32</v>
      </c>
      <c r="D577" s="33">
        <v>9</v>
      </c>
      <c r="E577" s="33" t="s">
        <v>1413</v>
      </c>
      <c r="I577">
        <v>327</v>
      </c>
      <c r="J577" t="str">
        <f>_xlfn.XLOOKUP($I577,$A:$A,B:B)</f>
        <v>norte</v>
      </c>
      <c r="K577">
        <f>_xlfn.XLOOKUP($I577,$A:$A,C:C)</f>
        <v>51</v>
      </c>
      <c r="L577">
        <f>_xlfn.XLOOKUP($I577,$A:$A,D:D)</f>
        <v>10</v>
      </c>
      <c r="M577" t="str">
        <f>_xlfn.XLOOKUP($I577,$A:$A,E:E)</f>
        <v>L1</v>
      </c>
    </row>
    <row r="578" spans="1:13" customFormat="1" ht="20.25">
      <c r="A578" s="34">
        <v>579</v>
      </c>
      <c r="B578" s="33" t="s">
        <v>656</v>
      </c>
      <c r="C578" s="34">
        <v>32</v>
      </c>
      <c r="D578" s="33">
        <v>12</v>
      </c>
      <c r="E578" s="33" t="s">
        <v>1413</v>
      </c>
      <c r="I578">
        <v>927</v>
      </c>
      <c r="J578" t="str">
        <f>_xlfn.XLOOKUP($I578,$A:$A,B:B)</f>
        <v>nos</v>
      </c>
      <c r="K578">
        <f>_xlfn.XLOOKUP($I578,$A:$A,C:C)</f>
        <v>22</v>
      </c>
      <c r="L578">
        <f>_xlfn.XLOOKUP($I578,$A:$A,D:D)</f>
        <v>12</v>
      </c>
      <c r="M578" t="str">
        <f>_xlfn.XLOOKUP($I578,$A:$A,E:E)</f>
        <v>L1</v>
      </c>
    </row>
    <row r="579" spans="1:13" customFormat="1" ht="20.25">
      <c r="A579" s="34">
        <v>580</v>
      </c>
      <c r="B579" s="33" t="s">
        <v>657</v>
      </c>
      <c r="C579" s="34">
        <v>32</v>
      </c>
      <c r="D579" s="33">
        <v>6</v>
      </c>
      <c r="E579" s="33" t="s">
        <v>1416</v>
      </c>
      <c r="I579">
        <v>262</v>
      </c>
      <c r="J579" t="str">
        <f>_xlfn.XLOOKUP($I579,$A:$A,B:B)</f>
        <v>noviembre</v>
      </c>
      <c r="K579">
        <f>_xlfn.XLOOKUP($I579,$A:$A,C:C)</f>
        <v>61</v>
      </c>
      <c r="L579">
        <f>_xlfn.XLOOKUP($I579,$A:$A,D:D)</f>
        <v>9</v>
      </c>
      <c r="M579" t="str">
        <f>_xlfn.XLOOKUP($I579,$A:$A,E:E)</f>
        <v>L1</v>
      </c>
    </row>
    <row r="580" spans="1:13" customFormat="1" ht="20.25">
      <c r="A580" s="34">
        <v>581</v>
      </c>
      <c r="B580" s="33" t="s">
        <v>658</v>
      </c>
      <c r="C580" s="34">
        <v>32</v>
      </c>
      <c r="D580" s="33">
        <v>12</v>
      </c>
      <c r="E580" s="33" t="s">
        <v>1416</v>
      </c>
      <c r="I580">
        <v>156</v>
      </c>
      <c r="J580" t="str">
        <f>_xlfn.XLOOKUP($I580,$A:$A,B:B)</f>
        <v>nueva</v>
      </c>
      <c r="K580">
        <f>_xlfn.XLOOKUP($I580,$A:$A,C:C)</f>
        <v>89</v>
      </c>
      <c r="L580">
        <f>_xlfn.XLOOKUP($I580,$A:$A,D:D)</f>
        <v>13</v>
      </c>
      <c r="M580" t="str">
        <f>_xlfn.XLOOKUP($I580,$A:$A,E:E)</f>
        <v>L1</v>
      </c>
    </row>
    <row r="581" spans="1:13" customFormat="1" ht="20.25">
      <c r="A581" s="34">
        <v>582</v>
      </c>
      <c r="B581" s="33" t="s">
        <v>659</v>
      </c>
      <c r="C581" s="34">
        <v>32</v>
      </c>
      <c r="D581" s="33">
        <v>10</v>
      </c>
      <c r="E581" s="33" t="s">
        <v>1416</v>
      </c>
      <c r="I581">
        <v>989</v>
      </c>
      <c r="J581" t="str">
        <f>_xlfn.XLOOKUP($I581,$A:$A,B:B)</f>
        <v>Nueva York</v>
      </c>
      <c r="K581">
        <f>_xlfn.XLOOKUP($I581,$A:$A,C:C)</f>
        <v>21</v>
      </c>
      <c r="L581">
        <f>_xlfn.XLOOKUP($I581,$A:$A,D:D)</f>
        <v>13</v>
      </c>
      <c r="M581" t="str">
        <f>_xlfn.XLOOKUP($I581,$A:$A,E:E)</f>
        <v>L1</v>
      </c>
    </row>
    <row r="582" spans="1:13" customFormat="1" ht="20.25">
      <c r="A582" s="34">
        <v>583</v>
      </c>
      <c r="B582" s="33" t="s">
        <v>660</v>
      </c>
      <c r="C582" s="34"/>
      <c r="D582" s="33">
        <v>12</v>
      </c>
      <c r="E582" s="33" t="s">
        <v>1416</v>
      </c>
      <c r="I582">
        <v>646</v>
      </c>
      <c r="J582" t="str">
        <f>_xlfn.XLOOKUP($I582,$A:$A,B:B)</f>
        <v>nuevas</v>
      </c>
      <c r="K582">
        <f>_xlfn.XLOOKUP($I582,$A:$A,C:C)</f>
        <v>29</v>
      </c>
      <c r="L582">
        <f>_xlfn.XLOOKUP($I582,$A:$A,D:D)</f>
        <v>6</v>
      </c>
      <c r="M582" t="str">
        <f>_xlfn.XLOOKUP($I582,$A:$A,E:E)</f>
        <v>L1</v>
      </c>
    </row>
    <row r="583" spans="1:13" customFormat="1" ht="20.25">
      <c r="A583" s="34">
        <v>584</v>
      </c>
      <c r="B583" s="33" t="s">
        <v>661</v>
      </c>
      <c r="C583" s="34">
        <v>31</v>
      </c>
      <c r="D583" s="33">
        <v>12</v>
      </c>
      <c r="E583" s="33" t="s">
        <v>1413</v>
      </c>
      <c r="I583">
        <v>97</v>
      </c>
      <c r="J583" t="str">
        <f>_xlfn.XLOOKUP($I583,$A:$A,B:B)</f>
        <v>nuevo</v>
      </c>
      <c r="K583">
        <f>_xlfn.XLOOKUP($I583,$A:$A,C:C)</f>
        <v>132</v>
      </c>
      <c r="L583">
        <f>_xlfn.XLOOKUP($I583,$A:$A,D:D)</f>
        <v>6</v>
      </c>
      <c r="M583" t="str">
        <f>_xlfn.XLOOKUP($I583,$A:$A,E:E)</f>
        <v>L1</v>
      </c>
    </row>
    <row r="584" spans="1:13" customFormat="1" ht="20.25">
      <c r="A584" s="34">
        <v>585</v>
      </c>
      <c r="B584" s="33" t="s">
        <v>662</v>
      </c>
      <c r="C584" s="34">
        <v>31</v>
      </c>
      <c r="D584" s="33">
        <v>10</v>
      </c>
      <c r="E584" s="33" t="s">
        <v>1416</v>
      </c>
      <c r="I584">
        <v>433</v>
      </c>
      <c r="J584" t="str">
        <f>_xlfn.XLOOKUP($I584,$A:$A,B:B)</f>
        <v>nuevos</v>
      </c>
      <c r="K584">
        <f>_xlfn.XLOOKUP($I584,$A:$A,C:C)</f>
        <v>40</v>
      </c>
      <c r="L584">
        <f>_xlfn.XLOOKUP($I584,$A:$A,D:D)</f>
        <v>6</v>
      </c>
      <c r="M584" t="str">
        <f>_xlfn.XLOOKUP($I584,$A:$A,E:E)</f>
        <v>L1</v>
      </c>
    </row>
    <row r="585" spans="1:13" customFormat="1" ht="20.25">
      <c r="A585" s="34">
        <v>586</v>
      </c>
      <c r="B585" s="33" t="s">
        <v>663</v>
      </c>
      <c r="C585" s="34">
        <v>31</v>
      </c>
      <c r="D585" s="33">
        <v>7</v>
      </c>
      <c r="E585" s="33" t="s">
        <v>1416</v>
      </c>
      <c r="I585">
        <v>157</v>
      </c>
      <c r="J585" t="str">
        <f>_xlfn.XLOOKUP($I585,$A:$A,B:B)</f>
        <v>número</v>
      </c>
      <c r="K585">
        <f>_xlfn.XLOOKUP($I585,$A:$A,C:C)</f>
        <v>89</v>
      </c>
      <c r="L585">
        <f>_xlfn.XLOOKUP($I585,$A:$A,D:D)</f>
        <v>2</v>
      </c>
      <c r="M585" t="str">
        <f>_xlfn.XLOOKUP($I585,$A:$A,E:E)</f>
        <v>L1</v>
      </c>
    </row>
    <row r="586" spans="1:13" customFormat="1" ht="20.25">
      <c r="A586" s="34">
        <v>587</v>
      </c>
      <c r="B586" s="33" t="s">
        <v>664</v>
      </c>
      <c r="C586" s="34">
        <v>31</v>
      </c>
      <c r="D586" s="33">
        <v>9</v>
      </c>
      <c r="E586" s="33" t="s">
        <v>1416</v>
      </c>
      <c r="I586">
        <v>831</v>
      </c>
      <c r="J586" t="str">
        <f>_xlfn.XLOOKUP($I586,$A:$A,B:B)</f>
        <v>numerosas</v>
      </c>
      <c r="K586">
        <f>_xlfn.XLOOKUP($I586,$A:$A,C:C)</f>
        <v>24</v>
      </c>
      <c r="L586">
        <f>_xlfn.XLOOKUP($I586,$A:$A,D:D)</f>
        <v>2</v>
      </c>
      <c r="M586" t="str">
        <f>_xlfn.XLOOKUP($I586,$A:$A,E:E)</f>
        <v>L2</v>
      </c>
    </row>
    <row r="587" spans="1:13" customFormat="1" ht="20.25">
      <c r="A587" s="34">
        <v>588</v>
      </c>
      <c r="B587" s="33" t="s">
        <v>665</v>
      </c>
      <c r="C587" s="34">
        <v>31</v>
      </c>
      <c r="D587" s="33">
        <v>5</v>
      </c>
      <c r="E587" s="33" t="s">
        <v>1416</v>
      </c>
      <c r="I587">
        <v>302</v>
      </c>
      <c r="J587" t="str">
        <f>_xlfn.XLOOKUP($I587,$A:$A,B:B)</f>
        <v>nunca</v>
      </c>
      <c r="K587">
        <f>_xlfn.XLOOKUP($I587,$A:$A,C:C)</f>
        <v>55</v>
      </c>
      <c r="L587">
        <f>_xlfn.XLOOKUP($I587,$A:$A,D:D)</f>
        <v>9</v>
      </c>
      <c r="M587" t="str">
        <f>_xlfn.XLOOKUP($I587,$A:$A,E:E)</f>
        <v>L1</v>
      </c>
    </row>
    <row r="588" spans="1:13" customFormat="1" ht="20.25">
      <c r="A588" s="34">
        <v>589</v>
      </c>
      <c r="B588" s="33" t="s">
        <v>666</v>
      </c>
      <c r="C588" s="34">
        <v>31</v>
      </c>
      <c r="D588" s="33">
        <v>6</v>
      </c>
      <c r="E588" s="33" t="s">
        <v>1416</v>
      </c>
      <c r="I588">
        <v>29</v>
      </c>
      <c r="J588" t="str">
        <f>_xlfn.XLOOKUP($I588,$A:$A,B:B)</f>
        <v>o</v>
      </c>
      <c r="K588">
        <f>_xlfn.XLOOKUP($I588,$A:$A,C:C)</f>
        <v>458</v>
      </c>
      <c r="L588">
        <f>_xlfn.XLOOKUP($I588,$A:$A,D:D)</f>
        <v>2</v>
      </c>
      <c r="M588" t="str">
        <f>_xlfn.XLOOKUP($I588,$A:$A,E:E)</f>
        <v>L1</v>
      </c>
    </row>
    <row r="589" spans="1:13" customFormat="1" ht="20.25">
      <c r="A589" s="34">
        <v>590</v>
      </c>
      <c r="B589" s="33" t="s">
        <v>667</v>
      </c>
      <c r="C589" s="34">
        <v>31</v>
      </c>
      <c r="D589" s="33">
        <v>7</v>
      </c>
      <c r="E589" s="33" t="s">
        <v>1416</v>
      </c>
      <c r="I589">
        <v>394</v>
      </c>
      <c r="J589" t="str">
        <f>_xlfn.XLOOKUP($I589,$A:$A,B:B)</f>
        <v>objetivo</v>
      </c>
      <c r="K589">
        <f>_xlfn.XLOOKUP($I589,$A:$A,C:C)</f>
        <v>44</v>
      </c>
      <c r="L589">
        <f>_xlfn.XLOOKUP($I589,$A:$A,D:D)</f>
        <v>5</v>
      </c>
      <c r="M589" t="str">
        <f>_xlfn.XLOOKUP($I589,$A:$A,E:E)</f>
        <v>L2</v>
      </c>
    </row>
    <row r="590" spans="1:13" customFormat="1" ht="20.25">
      <c r="A590" s="34">
        <v>591</v>
      </c>
      <c r="B590" s="33" t="s">
        <v>668</v>
      </c>
      <c r="C590" s="34">
        <v>31</v>
      </c>
      <c r="D590" s="33">
        <v>1</v>
      </c>
      <c r="E590" s="33" t="s">
        <v>1416</v>
      </c>
      <c r="I590">
        <v>879</v>
      </c>
      <c r="J590" t="str">
        <f>_xlfn.XLOOKUP($I590,$A:$A,B:B)</f>
        <v>objetos</v>
      </c>
      <c r="K590">
        <f>_xlfn.XLOOKUP($I590,$A:$A,C:C)</f>
        <v>23</v>
      </c>
      <c r="L590">
        <f>_xlfn.XLOOKUP($I590,$A:$A,D:D)</f>
        <v>15</v>
      </c>
      <c r="M590" t="str">
        <f>_xlfn.XLOOKUP($I590,$A:$A,E:E)</f>
        <v>L1</v>
      </c>
    </row>
    <row r="591" spans="1:13" customFormat="1" ht="20.25">
      <c r="A591" s="34">
        <v>592</v>
      </c>
      <c r="B591" s="33" t="s">
        <v>669</v>
      </c>
      <c r="C591" s="34">
        <v>31</v>
      </c>
      <c r="D591" s="33">
        <v>3</v>
      </c>
      <c r="E591" s="33" t="s">
        <v>1416</v>
      </c>
      <c r="I591">
        <v>161</v>
      </c>
      <c r="J591" t="str">
        <f>_xlfn.XLOOKUP($I591,$A:$A,B:B)</f>
        <v>obra</v>
      </c>
      <c r="K591">
        <f>_xlfn.XLOOKUP($I591,$A:$A,C:C)</f>
        <v>87</v>
      </c>
      <c r="L591">
        <f>_xlfn.XLOOKUP($I591,$A:$A,D:D)</f>
        <v>3</v>
      </c>
      <c r="M591" t="str">
        <f>_xlfn.XLOOKUP($I591,$A:$A,E:E)</f>
        <v>L2</v>
      </c>
    </row>
    <row r="592" spans="1:13" customFormat="1" ht="20.25">
      <c r="A592" s="34">
        <v>593</v>
      </c>
      <c r="B592" s="33" t="s">
        <v>670</v>
      </c>
      <c r="C592" s="34">
        <v>31</v>
      </c>
      <c r="D592" s="33">
        <v>13</v>
      </c>
      <c r="E592" s="33" t="s">
        <v>1413</v>
      </c>
      <c r="I592">
        <v>255</v>
      </c>
      <c r="J592" t="str">
        <f>_xlfn.XLOOKUP($I592,$A:$A,B:B)</f>
        <v>obras</v>
      </c>
      <c r="K592">
        <f>_xlfn.XLOOKUP($I592,$A:$A,C:C)</f>
        <v>62</v>
      </c>
      <c r="L592">
        <f>_xlfn.XLOOKUP($I592,$A:$A,D:D)</f>
        <v>3</v>
      </c>
      <c r="M592" t="str">
        <f>_xlfn.XLOOKUP($I592,$A:$A,E:E)</f>
        <v>L2</v>
      </c>
    </row>
    <row r="593" spans="1:13" customFormat="1" ht="20.25">
      <c r="A593" s="34">
        <v>594</v>
      </c>
      <c r="B593" s="33" t="s">
        <v>671</v>
      </c>
      <c r="C593" s="34">
        <v>31</v>
      </c>
      <c r="D593" s="33">
        <v>6</v>
      </c>
      <c r="E593" s="33" t="s">
        <v>1416</v>
      </c>
      <c r="I593">
        <v>880</v>
      </c>
      <c r="J593" t="str">
        <f>_xlfn.XLOOKUP($I593,$A:$A,B:B)</f>
        <v>obstante</v>
      </c>
      <c r="K593">
        <f>_xlfn.XLOOKUP($I593,$A:$A,C:C)</f>
        <v>23</v>
      </c>
      <c r="L593">
        <f>_xlfn.XLOOKUP($I593,$A:$A,D:D)</f>
        <v>8</v>
      </c>
      <c r="M593" t="str">
        <f>_xlfn.XLOOKUP($I593,$A:$A,E:E)</f>
        <v>L3</v>
      </c>
    </row>
    <row r="594" spans="1:13" customFormat="1" ht="20.25">
      <c r="A594" s="34">
        <v>595</v>
      </c>
      <c r="B594" s="33" t="s">
        <v>672</v>
      </c>
      <c r="C594" s="34">
        <v>31</v>
      </c>
      <c r="D594" s="33">
        <v>10</v>
      </c>
      <c r="E594" s="33" t="s">
        <v>1416</v>
      </c>
      <c r="I594">
        <v>620</v>
      </c>
      <c r="J594" t="str">
        <f>_xlfn.XLOOKUP($I594,$A:$A,B:B)</f>
        <v>obtener</v>
      </c>
      <c r="K594">
        <f>_xlfn.XLOOKUP($I594,$A:$A,C:C)</f>
        <v>30</v>
      </c>
      <c r="L594">
        <f>_xlfn.XLOOKUP($I594,$A:$A,D:D)</f>
        <v>7</v>
      </c>
      <c r="M594" t="str">
        <f>_xlfn.XLOOKUP($I594,$A:$A,E:E)</f>
        <v>L3</v>
      </c>
    </row>
    <row r="595" spans="1:13" customFormat="1" ht="20.25">
      <c r="A595" s="34">
        <v>596</v>
      </c>
      <c r="B595" s="33" t="s">
        <v>673</v>
      </c>
      <c r="C595" s="34">
        <v>31</v>
      </c>
      <c r="D595" s="33">
        <v>7</v>
      </c>
      <c r="E595" s="33" t="s">
        <v>1416</v>
      </c>
      <c r="I595">
        <v>563</v>
      </c>
      <c r="J595" t="str">
        <f>_xlfn.XLOOKUP($I595,$A:$A,B:B)</f>
        <v>ocasiones</v>
      </c>
      <c r="K595">
        <f>_xlfn.XLOOKUP($I595,$A:$A,C:C)</f>
        <v>33</v>
      </c>
      <c r="L595">
        <f>_xlfn.XLOOKUP($I595,$A:$A,D:D)</f>
        <v>13</v>
      </c>
      <c r="M595" t="str">
        <f>_xlfn.XLOOKUP($I595,$A:$A,E:E)</f>
        <v>L2</v>
      </c>
    </row>
    <row r="596" spans="1:13" customFormat="1" ht="20.25">
      <c r="A596" s="34">
        <v>597</v>
      </c>
      <c r="B596" s="33" t="s">
        <v>674</v>
      </c>
      <c r="C596" s="34">
        <v>31</v>
      </c>
      <c r="D596" s="33">
        <v>10</v>
      </c>
      <c r="E596" s="33" t="s">
        <v>1416</v>
      </c>
      <c r="I596">
        <v>683</v>
      </c>
      <c r="J596" t="str">
        <f>_xlfn.XLOOKUP($I596,$A:$A,B:B)</f>
        <v>ocho</v>
      </c>
      <c r="K596">
        <f>_xlfn.XLOOKUP($I596,$A:$A,C:C)</f>
        <v>28</v>
      </c>
      <c r="L596">
        <f>_xlfn.XLOOKUP($I596,$A:$A,D:D)</f>
        <v>4</v>
      </c>
      <c r="M596" t="str">
        <f>_xlfn.XLOOKUP($I596,$A:$A,E:E)</f>
        <v>L1</v>
      </c>
    </row>
    <row r="597" spans="1:13" customFormat="1" ht="20.25">
      <c r="A597" s="34">
        <v>598</v>
      </c>
      <c r="B597" s="33" t="s">
        <v>675</v>
      </c>
      <c r="C597" s="34">
        <v>31</v>
      </c>
      <c r="D597" s="33">
        <v>1</v>
      </c>
      <c r="E597" s="33" t="s">
        <v>1413</v>
      </c>
      <c r="I597">
        <v>359</v>
      </c>
      <c r="J597" t="str">
        <f>_xlfn.XLOOKUP($I597,$A:$A,B:B)</f>
        <v>octubre</v>
      </c>
      <c r="K597">
        <f>_xlfn.XLOOKUP($I597,$A:$A,C:C)</f>
        <v>47</v>
      </c>
      <c r="L597">
        <f>_xlfn.XLOOKUP($I597,$A:$A,D:D)</f>
        <v>9</v>
      </c>
      <c r="M597" t="str">
        <f>_xlfn.XLOOKUP($I597,$A:$A,E:E)</f>
        <v>L1</v>
      </c>
    </row>
    <row r="598" spans="1:13" customFormat="1" ht="20.25">
      <c r="A598" s="34">
        <v>599</v>
      </c>
      <c r="B598" s="33" t="s">
        <v>676</v>
      </c>
      <c r="C598" s="34">
        <v>31</v>
      </c>
      <c r="D598" s="33">
        <v>1</v>
      </c>
      <c r="E598" s="33" t="s">
        <v>1413</v>
      </c>
      <c r="I598">
        <v>387</v>
      </c>
      <c r="J598" t="str">
        <f>_xlfn.XLOOKUP($I598,$A:$A,B:B)</f>
        <v>of</v>
      </c>
      <c r="K598">
        <f>_xlfn.XLOOKUP($I598,$A:$A,C:C)</f>
        <v>44</v>
      </c>
      <c r="L598">
        <f>_xlfn.XLOOKUP($I598,$A:$A,D:D)</f>
        <v>3</v>
      </c>
      <c r="M598" t="str">
        <f>_xlfn.XLOOKUP($I598,$A:$A,E:E)</f>
        <v>L3</v>
      </c>
    </row>
    <row r="599" spans="1:13" customFormat="1" ht="20.25">
      <c r="A599" s="34">
        <v>600</v>
      </c>
      <c r="B599" s="33" t="s">
        <v>677</v>
      </c>
      <c r="C599" s="34">
        <v>31</v>
      </c>
      <c r="D599" s="33">
        <v>12</v>
      </c>
      <c r="E599" s="33" t="s">
        <v>1419</v>
      </c>
      <c r="I599">
        <v>434</v>
      </c>
      <c r="J599" t="str">
        <f>_xlfn.XLOOKUP($I599,$A:$A,B:B)</f>
        <v>oficial</v>
      </c>
      <c r="K599">
        <f>_xlfn.XLOOKUP($I599,$A:$A,C:C)</f>
        <v>40</v>
      </c>
      <c r="L599">
        <f>_xlfn.XLOOKUP($I599,$A:$A,D:D)</f>
        <v>1</v>
      </c>
      <c r="M599" t="str">
        <f>_xlfn.XLOOKUP($I599,$A:$A,E:E)</f>
        <v>L2</v>
      </c>
    </row>
    <row r="600" spans="1:13" customFormat="1" ht="20.25">
      <c r="A600" s="34">
        <v>601</v>
      </c>
      <c r="B600" s="33" t="s">
        <v>678</v>
      </c>
      <c r="C600" s="34">
        <v>31</v>
      </c>
      <c r="D600" s="33">
        <v>1</v>
      </c>
      <c r="E600" s="33" t="s">
        <v>1419</v>
      </c>
      <c r="I600">
        <v>789</v>
      </c>
      <c r="J600" t="str">
        <f>_xlfn.XLOOKUP($I600,$A:$A,B:B)</f>
        <v>oficiales</v>
      </c>
      <c r="K600">
        <f>_xlfn.XLOOKUP($I600,$A:$A,C:C)</f>
        <v>25</v>
      </c>
      <c r="L600">
        <f>_xlfn.XLOOKUP($I600,$A:$A,D:D)</f>
        <v>1</v>
      </c>
      <c r="M600" t="str">
        <f>_xlfn.XLOOKUP($I600,$A:$A,E:E)</f>
        <v>L2</v>
      </c>
    </row>
    <row r="601" spans="1:13" customFormat="1" ht="20.25">
      <c r="A601" s="34">
        <v>602</v>
      </c>
      <c r="B601" s="33" t="s">
        <v>679</v>
      </c>
      <c r="C601" s="34">
        <v>31</v>
      </c>
      <c r="D601" s="33">
        <v>3</v>
      </c>
      <c r="E601" s="33" t="s">
        <v>1416</v>
      </c>
      <c r="I601">
        <v>928</v>
      </c>
      <c r="J601" t="str">
        <f>_xlfn.XLOOKUP($I601,$A:$A,B:B)</f>
        <v>operación</v>
      </c>
      <c r="K601">
        <f>_xlfn.XLOOKUP($I601,$A:$A,C:C)</f>
        <v>22</v>
      </c>
      <c r="L601">
        <f>_xlfn.XLOOKUP($I601,$A:$A,D:D)</f>
        <v>11</v>
      </c>
      <c r="M601" t="str">
        <f>_xlfn.XLOOKUP($I601,$A:$A,E:E)</f>
        <v>L3</v>
      </c>
    </row>
    <row r="602" spans="1:13" customFormat="1" ht="20.25">
      <c r="A602" s="34">
        <v>603</v>
      </c>
      <c r="B602" s="33" t="s">
        <v>680</v>
      </c>
      <c r="C602" s="34">
        <v>31</v>
      </c>
      <c r="D602" s="33">
        <v>8</v>
      </c>
      <c r="E602" s="33" t="s">
        <v>1419</v>
      </c>
      <c r="I602">
        <v>415</v>
      </c>
      <c r="J602" t="str">
        <f>_xlfn.XLOOKUP($I602,$A:$A,B:B)</f>
        <v>orden</v>
      </c>
      <c r="K602">
        <f>_xlfn.XLOOKUP($I602,$A:$A,C:C)</f>
        <v>42</v>
      </c>
      <c r="L602">
        <f>_xlfn.XLOOKUP($I602,$A:$A,D:D)</f>
        <v>8</v>
      </c>
      <c r="M602" t="str">
        <f>_xlfn.XLOOKUP($I602,$A:$A,E:E)</f>
        <v>L2</v>
      </c>
    </row>
    <row r="603" spans="1:13" customFormat="1" ht="20.25">
      <c r="A603" s="34">
        <v>604</v>
      </c>
      <c r="B603" s="33" t="s">
        <v>681</v>
      </c>
      <c r="C603" s="34">
        <v>31</v>
      </c>
      <c r="D603" s="33">
        <v>2</v>
      </c>
      <c r="E603" s="33" t="s">
        <v>1416</v>
      </c>
      <c r="I603">
        <v>416</v>
      </c>
      <c r="J603" t="str">
        <f>_xlfn.XLOOKUP($I603,$A:$A,B:B)</f>
        <v>organización</v>
      </c>
      <c r="K603">
        <f>_xlfn.XLOOKUP($I603,$A:$A,C:C)</f>
        <v>42</v>
      </c>
      <c r="L603">
        <f>_xlfn.XLOOKUP($I603,$A:$A,D:D)</f>
        <v>5</v>
      </c>
      <c r="M603" t="str">
        <f>_xlfn.XLOOKUP($I603,$A:$A,E:E)</f>
        <v>L3</v>
      </c>
    </row>
    <row r="604" spans="1:13" customFormat="1" ht="20.25">
      <c r="A604" s="34">
        <v>605</v>
      </c>
      <c r="B604" s="33" t="s">
        <v>682</v>
      </c>
      <c r="C604" s="34">
        <v>31</v>
      </c>
      <c r="D604" s="33">
        <v>4</v>
      </c>
      <c r="E604" s="33" t="s">
        <v>1416</v>
      </c>
      <c r="I604">
        <v>462</v>
      </c>
      <c r="J604" t="str">
        <f>_xlfn.XLOOKUP($I604,$A:$A,B:B)</f>
        <v>origen</v>
      </c>
      <c r="K604">
        <f>_xlfn.XLOOKUP($I604,$A:$A,C:C)</f>
        <v>39</v>
      </c>
      <c r="L604">
        <f>_xlfn.XLOOKUP($I604,$A:$A,D:D)</f>
        <v>9</v>
      </c>
      <c r="M604" t="str">
        <f>_xlfn.XLOOKUP($I604,$A:$A,E:E)</f>
        <v>L2</v>
      </c>
    </row>
    <row r="605" spans="1:13" customFormat="1" ht="20.25">
      <c r="A605" s="34">
        <v>606</v>
      </c>
      <c r="B605" s="33" t="s">
        <v>683</v>
      </c>
      <c r="C605" s="34">
        <v>31</v>
      </c>
      <c r="D605" s="33">
        <v>12</v>
      </c>
      <c r="E605" s="33" t="s">
        <v>1413</v>
      </c>
      <c r="I605">
        <v>417</v>
      </c>
      <c r="J605" t="str">
        <f>_xlfn.XLOOKUP($I605,$A:$A,B:B)</f>
        <v>original</v>
      </c>
      <c r="K605">
        <f>_xlfn.XLOOKUP($I605,$A:$A,C:C)</f>
        <v>42</v>
      </c>
      <c r="L605">
        <f>_xlfn.XLOOKUP($I605,$A:$A,D:D)</f>
        <v>3</v>
      </c>
      <c r="M605" t="str">
        <f>_xlfn.XLOOKUP($I605,$A:$A,E:E)</f>
        <v>L2</v>
      </c>
    </row>
    <row r="606" spans="1:13" customFormat="1" ht="20.25">
      <c r="A606" s="34">
        <v>607</v>
      </c>
      <c r="B606" s="33" t="s">
        <v>684</v>
      </c>
      <c r="C606" s="34">
        <v>31</v>
      </c>
      <c r="D606" s="33">
        <v>4</v>
      </c>
      <c r="E606" s="33" t="s">
        <v>1416</v>
      </c>
      <c r="I606">
        <v>929</v>
      </c>
      <c r="J606" t="str">
        <f>_xlfn.XLOOKUP($I606,$A:$A,B:B)</f>
        <v>oro</v>
      </c>
      <c r="K606">
        <f>_xlfn.XLOOKUP($I606,$A:$A,C:C)</f>
        <v>22</v>
      </c>
      <c r="L606">
        <f>_xlfn.XLOOKUP($I606,$A:$A,D:D)</f>
        <v>2</v>
      </c>
      <c r="M606" t="str">
        <f>_xlfn.XLOOKUP($I606,$A:$A,E:E)</f>
        <v>L2</v>
      </c>
    </row>
    <row r="607" spans="1:13" customFormat="1" ht="20.25">
      <c r="A607" s="34">
        <v>608</v>
      </c>
      <c r="B607" s="33" t="s">
        <v>685</v>
      </c>
      <c r="C607" s="34">
        <v>31</v>
      </c>
      <c r="D607" s="33">
        <v>5</v>
      </c>
      <c r="E607" s="33" t="s">
        <v>1413</v>
      </c>
      <c r="I607">
        <v>199</v>
      </c>
      <c r="J607" t="str">
        <f>_xlfn.XLOOKUP($I607,$A:$A,B:B)</f>
        <v>otra</v>
      </c>
      <c r="K607">
        <f>_xlfn.XLOOKUP($I607,$A:$A,C:C)</f>
        <v>77</v>
      </c>
      <c r="L607">
        <f>_xlfn.XLOOKUP($I607,$A:$A,D:D)</f>
        <v>12</v>
      </c>
      <c r="M607" t="str">
        <f>_xlfn.XLOOKUP($I607,$A:$A,E:E)</f>
        <v>L1</v>
      </c>
    </row>
    <row r="608" spans="1:13" customFormat="1" ht="20.25">
      <c r="A608" s="34">
        <v>609</v>
      </c>
      <c r="B608" s="33" t="s">
        <v>686</v>
      </c>
      <c r="C608" s="34">
        <v>31</v>
      </c>
      <c r="D608" s="33">
        <v>12</v>
      </c>
      <c r="E608" s="33" t="s">
        <v>1413</v>
      </c>
      <c r="I608">
        <v>103</v>
      </c>
      <c r="J608" t="str">
        <f>_xlfn.XLOOKUP($I608,$A:$A,B:B)</f>
        <v>otras</v>
      </c>
      <c r="K608">
        <f>_xlfn.XLOOKUP($I608,$A:$A,C:C)</f>
        <v>123</v>
      </c>
      <c r="L608">
        <f>_xlfn.XLOOKUP($I608,$A:$A,D:D)</f>
        <v>12</v>
      </c>
      <c r="M608" t="str">
        <f>_xlfn.XLOOKUP($I608,$A:$A,E:E)</f>
        <v>L1</v>
      </c>
    </row>
    <row r="609" spans="1:13" customFormat="1" ht="20.25">
      <c r="A609" s="34">
        <v>610</v>
      </c>
      <c r="B609" s="33" t="s">
        <v>687</v>
      </c>
      <c r="C609" s="34">
        <v>31</v>
      </c>
      <c r="D609" s="33">
        <v>12</v>
      </c>
      <c r="E609" s="33" t="s">
        <v>1419</v>
      </c>
      <c r="I609">
        <v>121</v>
      </c>
      <c r="J609" t="str">
        <f>_xlfn.XLOOKUP($I609,$A:$A,B:B)</f>
        <v>otro</v>
      </c>
      <c r="K609">
        <f>_xlfn.XLOOKUP($I609,$A:$A,C:C)</f>
        <v>106</v>
      </c>
      <c r="L609">
        <f>_xlfn.XLOOKUP($I609,$A:$A,D:D)</f>
        <v>12</v>
      </c>
      <c r="M609" t="str">
        <f>_xlfn.XLOOKUP($I609,$A:$A,E:E)</f>
        <v>L1</v>
      </c>
    </row>
    <row r="610" spans="1:13" customFormat="1" ht="20.25">
      <c r="A610" s="34">
        <v>611</v>
      </c>
      <c r="B610" s="33" t="s">
        <v>688</v>
      </c>
      <c r="C610" s="34"/>
      <c r="D610" s="33">
        <v>10</v>
      </c>
      <c r="E610" s="33" t="s">
        <v>1413</v>
      </c>
      <c r="I610">
        <v>69</v>
      </c>
      <c r="J610" t="str">
        <f>_xlfn.XLOOKUP($I610,$A:$A,B:B)</f>
        <v>otros</v>
      </c>
      <c r="K610">
        <f>_xlfn.XLOOKUP($I610,$A:$A,C:C)</f>
        <v>175</v>
      </c>
      <c r="L610">
        <f>_xlfn.XLOOKUP($I610,$A:$A,D:D)</f>
        <v>12</v>
      </c>
      <c r="M610" t="str">
        <f>_xlfn.XLOOKUP($I610,$A:$A,E:E)</f>
        <v>L1</v>
      </c>
    </row>
    <row r="611" spans="1:13" customFormat="1" ht="20.25">
      <c r="A611" s="34">
        <v>612</v>
      </c>
      <c r="B611" s="33" t="s">
        <v>689</v>
      </c>
      <c r="C611" s="34"/>
      <c r="D611" s="33">
        <v>13</v>
      </c>
      <c r="E611" s="33" t="s">
        <v>1416</v>
      </c>
      <c r="I611">
        <v>174</v>
      </c>
      <c r="J611" t="str">
        <f>_xlfn.XLOOKUP($I611,$A:$A,B:B)</f>
        <v>padre</v>
      </c>
      <c r="K611">
        <f>_xlfn.XLOOKUP($I611,$A:$A,C:C)</f>
        <v>82</v>
      </c>
      <c r="L611">
        <f>_xlfn.XLOOKUP($I611,$A:$A,D:D)</f>
        <v>12</v>
      </c>
      <c r="M611" t="str">
        <f>_xlfn.XLOOKUP($I611,$A:$A,E:E)</f>
        <v>L1</v>
      </c>
    </row>
    <row r="612" spans="1:13" customFormat="1" ht="20.25">
      <c r="A612" s="34">
        <v>613</v>
      </c>
      <c r="B612" s="33" t="s">
        <v>691</v>
      </c>
      <c r="C612" s="34">
        <v>30</v>
      </c>
      <c r="D612" s="33">
        <v>8</v>
      </c>
      <c r="E612" s="33" t="s">
        <v>1416</v>
      </c>
      <c r="I612">
        <v>124</v>
      </c>
      <c r="J612" t="str">
        <f>_xlfn.XLOOKUP($I612,$A:$A,B:B)</f>
        <v>país</v>
      </c>
      <c r="K612">
        <f>_xlfn.XLOOKUP($I612,$A:$A,C:C)</f>
        <v>105</v>
      </c>
      <c r="L612">
        <f>_xlfn.XLOOKUP($I612,$A:$A,D:D)</f>
        <v>1</v>
      </c>
      <c r="M612" t="str">
        <f>_xlfn.XLOOKUP($I612,$A:$A,E:E)</f>
        <v>L1</v>
      </c>
    </row>
    <row r="613" spans="1:13" customFormat="1" ht="20.25">
      <c r="A613" s="34">
        <v>614</v>
      </c>
      <c r="B613" s="33" t="s">
        <v>692</v>
      </c>
      <c r="C613" s="34">
        <v>30</v>
      </c>
      <c r="D613" s="33">
        <v>2</v>
      </c>
      <c r="E613" s="33" t="s">
        <v>1416</v>
      </c>
      <c r="I613">
        <v>418</v>
      </c>
      <c r="J613" t="str">
        <f>_xlfn.XLOOKUP($I613,$A:$A,B:B)</f>
        <v>países</v>
      </c>
      <c r="K613">
        <f>_xlfn.XLOOKUP($I613,$A:$A,C:C)</f>
        <v>0</v>
      </c>
      <c r="L613">
        <f>_xlfn.XLOOKUP($I613,$A:$A,D:D)</f>
        <v>1</v>
      </c>
      <c r="M613" t="str">
        <f>_xlfn.XLOOKUP($I613,$A:$A,E:E)</f>
        <v>L2</v>
      </c>
    </row>
    <row r="614" spans="1:13" customFormat="1" ht="20.25">
      <c r="A614" s="34">
        <v>615</v>
      </c>
      <c r="B614" s="33" t="s">
        <v>693</v>
      </c>
      <c r="C614" s="34">
        <v>30</v>
      </c>
      <c r="D614" s="33">
        <v>9</v>
      </c>
      <c r="E614" s="33" t="s">
        <v>1413</v>
      </c>
      <c r="I614">
        <v>647</v>
      </c>
      <c r="J614" t="str">
        <f>_xlfn.XLOOKUP($I614,$A:$A,B:B)</f>
        <v>palabra</v>
      </c>
      <c r="K614">
        <f>_xlfn.XLOOKUP($I614,$A:$A,C:C)</f>
        <v>29</v>
      </c>
      <c r="L614">
        <f>_xlfn.XLOOKUP($I614,$A:$A,D:D)</f>
        <v>12</v>
      </c>
      <c r="M614" t="str">
        <f>_xlfn.XLOOKUP($I614,$A:$A,E:E)</f>
        <v>L1</v>
      </c>
    </row>
    <row r="615" spans="1:13" customFormat="1" ht="20.25">
      <c r="A615" s="34">
        <v>616</v>
      </c>
      <c r="B615" s="33" t="s">
        <v>694</v>
      </c>
      <c r="C615" s="34">
        <v>30</v>
      </c>
      <c r="D615" s="33">
        <v>10</v>
      </c>
      <c r="E615" s="33" t="s">
        <v>1416</v>
      </c>
      <c r="I615">
        <v>751</v>
      </c>
      <c r="J615" t="str">
        <f>_xlfn.XLOOKUP($I615,$A:$A,B:B)</f>
        <v>palabras</v>
      </c>
      <c r="K615">
        <f>_xlfn.XLOOKUP($I615,$A:$A,C:C)</f>
        <v>26</v>
      </c>
      <c r="L615">
        <f>_xlfn.XLOOKUP($I615,$A:$A,D:D)</f>
        <v>7</v>
      </c>
      <c r="M615" t="str">
        <f>_xlfn.XLOOKUP($I615,$A:$A,E:E)</f>
        <v>L1</v>
      </c>
    </row>
    <row r="616" spans="1:13" customFormat="1" ht="20.25">
      <c r="A616" s="34">
        <v>617</v>
      </c>
      <c r="B616" s="33" t="s">
        <v>695</v>
      </c>
      <c r="C616" s="34">
        <v>30</v>
      </c>
      <c r="D616" s="33">
        <v>1</v>
      </c>
      <c r="E616" s="33" t="s">
        <v>1413</v>
      </c>
      <c r="I616">
        <v>395</v>
      </c>
      <c r="J616" t="str">
        <f>_xlfn.XLOOKUP($I616,$A:$A,B:B)</f>
        <v>papel</v>
      </c>
      <c r="K616">
        <f>_xlfn.XLOOKUP($I616,$A:$A,C:C)</f>
        <v>44</v>
      </c>
      <c r="L616">
        <f>_xlfn.XLOOKUP($I616,$A:$A,D:D)</f>
        <v>3</v>
      </c>
      <c r="M616" t="str">
        <f>_xlfn.XLOOKUP($I616,$A:$A,E:E)</f>
        <v>L1</v>
      </c>
    </row>
    <row r="617" spans="1:13" customFormat="1" ht="20.25">
      <c r="A617" s="34">
        <v>618</v>
      </c>
      <c r="B617" s="33" t="s">
        <v>696</v>
      </c>
      <c r="C617" s="34">
        <v>30</v>
      </c>
      <c r="D617" s="33">
        <v>6</v>
      </c>
      <c r="E617" s="33" t="s">
        <v>1416</v>
      </c>
      <c r="I617">
        <v>17</v>
      </c>
      <c r="J617" t="str">
        <f>_xlfn.XLOOKUP($I617,$A:$A,B:B)</f>
        <v>para</v>
      </c>
      <c r="K617">
        <f>_xlfn.XLOOKUP($I617,$A:$A,C:C)</f>
        <v>1498</v>
      </c>
      <c r="L617">
        <f>_xlfn.XLOOKUP($I617,$A:$A,D:D)</f>
        <v>5</v>
      </c>
      <c r="M617" t="str">
        <f>_xlfn.XLOOKUP($I617,$A:$A,E:E)</f>
        <v>L1</v>
      </c>
    </row>
    <row r="618" spans="1:13" customFormat="1" ht="20.25">
      <c r="A618" s="34">
        <v>619</v>
      </c>
      <c r="B618" s="33" t="s">
        <v>697</v>
      </c>
      <c r="C618" s="34">
        <v>30</v>
      </c>
      <c r="D618" s="33">
        <v>1</v>
      </c>
      <c r="E618" s="33" t="s">
        <v>1419</v>
      </c>
      <c r="I618">
        <v>648</v>
      </c>
      <c r="J618" t="str">
        <f>_xlfn.XLOOKUP($I618,$A:$A,B:B)</f>
        <v>parece</v>
      </c>
      <c r="K618">
        <f>_xlfn.XLOOKUP($I618,$A:$A,C:C)</f>
        <v>29</v>
      </c>
      <c r="L618">
        <f>_xlfn.XLOOKUP($I618,$A:$A,D:D)</f>
        <v>13</v>
      </c>
      <c r="M618" t="str">
        <f>_xlfn.XLOOKUP($I618,$A:$A,E:E)</f>
        <v>L2</v>
      </c>
    </row>
    <row r="619" spans="1:13" customFormat="1" ht="20.25">
      <c r="A619" s="34">
        <v>620</v>
      </c>
      <c r="B619" s="33" t="s">
        <v>698</v>
      </c>
      <c r="C619" s="34">
        <v>30</v>
      </c>
      <c r="D619" s="33">
        <v>7</v>
      </c>
      <c r="E619" s="33" t="s">
        <v>1419</v>
      </c>
      <c r="I619">
        <v>832</v>
      </c>
      <c r="J619" t="str">
        <f>_xlfn.XLOOKUP($I619,$A:$A,B:B)</f>
        <v>pareja</v>
      </c>
      <c r="K619">
        <f>_xlfn.XLOOKUP($I619,$A:$A,C:C)</f>
        <v>24</v>
      </c>
      <c r="L619">
        <f>_xlfn.XLOOKUP($I619,$A:$A,D:D)</f>
        <v>12</v>
      </c>
      <c r="M619" t="str">
        <f>_xlfn.XLOOKUP($I619,$A:$A,E:E)</f>
        <v>L2</v>
      </c>
    </row>
    <row r="620" spans="1:13" customFormat="1" ht="20.25">
      <c r="A620" s="34">
        <v>621</v>
      </c>
      <c r="B620" s="33" t="s">
        <v>700</v>
      </c>
      <c r="C620" s="34">
        <v>30</v>
      </c>
      <c r="D620" s="33">
        <v>8</v>
      </c>
      <c r="E620" s="33" t="s">
        <v>1416</v>
      </c>
      <c r="I620">
        <v>728</v>
      </c>
      <c r="J620" t="str">
        <f>_xlfn.XLOOKUP($I620,$A:$A,B:B)</f>
        <v>París</v>
      </c>
      <c r="K620">
        <f>_xlfn.XLOOKUP($I620,$A:$A,C:C)</f>
        <v>27</v>
      </c>
      <c r="L620">
        <f>_xlfn.XLOOKUP($I620,$A:$A,D:D)</f>
        <v>13</v>
      </c>
      <c r="M620" t="str">
        <f>_xlfn.XLOOKUP($I620,$A:$A,E:E)</f>
        <v>L1</v>
      </c>
    </row>
    <row r="621" spans="1:13" customFormat="1" ht="20.25">
      <c r="A621" s="34">
        <v>622</v>
      </c>
      <c r="B621" s="33" t="s">
        <v>701</v>
      </c>
      <c r="C621" s="34">
        <v>30</v>
      </c>
      <c r="D621" s="33">
        <v>5</v>
      </c>
      <c r="E621" s="33" t="s">
        <v>1416</v>
      </c>
      <c r="I621">
        <v>752</v>
      </c>
      <c r="J621" t="str">
        <f>_xlfn.XLOOKUP($I621,$A:$A,B:B)</f>
        <v>parque</v>
      </c>
      <c r="K621">
        <f>_xlfn.XLOOKUP($I621,$A:$A,C:C)</f>
        <v>26</v>
      </c>
      <c r="L621">
        <f>_xlfn.XLOOKUP($I621,$A:$A,D:D)</f>
        <v>10</v>
      </c>
      <c r="M621" t="str">
        <f>_xlfn.XLOOKUP($I621,$A:$A,E:E)</f>
        <v>L1</v>
      </c>
    </row>
    <row r="622" spans="1:13" customFormat="1" ht="20.25">
      <c r="A622" s="34">
        <v>623</v>
      </c>
      <c r="B622" s="33" t="s">
        <v>702</v>
      </c>
      <c r="C622" s="34">
        <v>30</v>
      </c>
      <c r="D622" s="33">
        <v>3</v>
      </c>
      <c r="E622" s="33" t="s">
        <v>1416</v>
      </c>
      <c r="I622">
        <v>46</v>
      </c>
      <c r="J622" t="str">
        <f>_xlfn.XLOOKUP($I622,$A:$A,B:B)</f>
        <v>parte</v>
      </c>
      <c r="K622">
        <f>_xlfn.XLOOKUP($I622,$A:$A,C:C)</f>
        <v>267</v>
      </c>
      <c r="L622">
        <f>_xlfn.XLOOKUP($I622,$A:$A,D:D)</f>
        <v>5</v>
      </c>
      <c r="M622" t="str">
        <f>_xlfn.XLOOKUP($I622,$A:$A,E:E)</f>
        <v>L1</v>
      </c>
    </row>
    <row r="623" spans="1:13" customFormat="1" ht="20.25">
      <c r="A623" s="34">
        <v>624</v>
      </c>
      <c r="B623" s="33" t="s">
        <v>703</v>
      </c>
      <c r="C623" s="34">
        <v>30</v>
      </c>
      <c r="D623" s="33">
        <v>9</v>
      </c>
      <c r="E623" s="33" t="s">
        <v>1419</v>
      </c>
      <c r="I623">
        <v>621</v>
      </c>
      <c r="J623" t="str">
        <f>_xlfn.XLOOKUP($I623,$A:$A,B:B)</f>
        <v>partes</v>
      </c>
      <c r="K623">
        <f>_xlfn.XLOOKUP($I623,$A:$A,C:C)</f>
        <v>30</v>
      </c>
      <c r="L623">
        <f>_xlfn.XLOOKUP($I623,$A:$A,D:D)</f>
        <v>8</v>
      </c>
      <c r="M623" t="str">
        <f>_xlfn.XLOOKUP($I623,$A:$A,E:E)</f>
        <v>L2</v>
      </c>
    </row>
    <row r="624" spans="1:13" customFormat="1" ht="20.25">
      <c r="A624" s="34">
        <v>625</v>
      </c>
      <c r="B624" s="33" t="s">
        <v>704</v>
      </c>
      <c r="C624" s="34">
        <v>30</v>
      </c>
      <c r="D624" s="33">
        <v>5</v>
      </c>
      <c r="E624" s="33" t="s">
        <v>1416</v>
      </c>
      <c r="I624">
        <v>564</v>
      </c>
      <c r="J624" t="str">
        <f>_xlfn.XLOOKUP($I624,$A:$A,B:B)</f>
        <v>participación</v>
      </c>
      <c r="K624">
        <f>_xlfn.XLOOKUP($I624,$A:$A,C:C)</f>
        <v>33</v>
      </c>
      <c r="L624">
        <f>_xlfn.XLOOKUP($I624,$A:$A,D:D)</f>
        <v>12</v>
      </c>
      <c r="M624" t="str">
        <f>_xlfn.XLOOKUP($I624,$A:$A,E:E)</f>
        <v>L3</v>
      </c>
    </row>
    <row r="625" spans="1:13" customFormat="1" ht="20.25">
      <c r="A625" s="34">
        <v>626</v>
      </c>
      <c r="B625" s="33" t="s">
        <v>705</v>
      </c>
      <c r="C625" s="34">
        <v>30</v>
      </c>
      <c r="D625" s="33">
        <v>1</v>
      </c>
      <c r="E625" s="33" t="s">
        <v>1416</v>
      </c>
      <c r="I625">
        <v>649</v>
      </c>
      <c r="J625" t="str">
        <f>_xlfn.XLOOKUP($I625,$A:$A,B:B)</f>
        <v>participó</v>
      </c>
      <c r="K625">
        <f>_xlfn.XLOOKUP($I625,$A:$A,C:C)</f>
        <v>29</v>
      </c>
      <c r="L625">
        <f>_xlfn.XLOOKUP($I625,$A:$A,D:D)</f>
        <v>4</v>
      </c>
      <c r="M625" t="str">
        <f>_xlfn.XLOOKUP($I625,$A:$A,E:E)</f>
        <v>L2</v>
      </c>
    </row>
    <row r="626" spans="1:13" customFormat="1" ht="20.25">
      <c r="A626" s="34">
        <v>627</v>
      </c>
      <c r="B626" s="33" t="s">
        <v>706</v>
      </c>
      <c r="C626" s="34">
        <v>30</v>
      </c>
      <c r="D626" s="33">
        <v>12</v>
      </c>
      <c r="E626" s="33" t="s">
        <v>1416</v>
      </c>
      <c r="I626">
        <v>295</v>
      </c>
      <c r="J626" t="str">
        <f>_xlfn.XLOOKUP($I626,$A:$A,B:B)</f>
        <v>partido</v>
      </c>
      <c r="K626">
        <f>_xlfn.XLOOKUP($I626,$A:$A,C:C)</f>
        <v>0</v>
      </c>
      <c r="L626">
        <f>_xlfn.XLOOKUP($I626,$A:$A,D:D)</f>
        <v>4</v>
      </c>
      <c r="M626" t="str">
        <f>_xlfn.XLOOKUP($I626,$A:$A,E:E)</f>
        <v>L2</v>
      </c>
    </row>
    <row r="627" spans="1:13" customFormat="1" ht="20.25">
      <c r="A627" s="34">
        <v>628</v>
      </c>
      <c r="B627" s="33" t="s">
        <v>707</v>
      </c>
      <c r="C627" s="34">
        <v>30</v>
      </c>
      <c r="D627" s="33">
        <v>6</v>
      </c>
      <c r="E627" s="33" t="s">
        <v>1416</v>
      </c>
      <c r="I627">
        <v>396</v>
      </c>
      <c r="J627" t="str">
        <f>_xlfn.XLOOKUP($I627,$A:$A,B:B)</f>
        <v>partidos</v>
      </c>
      <c r="K627">
        <f>_xlfn.XLOOKUP($I627,$A:$A,C:C)</f>
        <v>44</v>
      </c>
      <c r="L627">
        <f>_xlfn.XLOOKUP($I627,$A:$A,D:D)</f>
        <v>4</v>
      </c>
      <c r="M627" t="str">
        <f>_xlfn.XLOOKUP($I627,$A:$A,E:E)</f>
        <v>L2</v>
      </c>
    </row>
    <row r="628" spans="1:13" customFormat="1" ht="20.25">
      <c r="A628" s="34">
        <v>629</v>
      </c>
      <c r="B628" s="33" t="s">
        <v>708</v>
      </c>
      <c r="C628" s="34">
        <v>30</v>
      </c>
      <c r="D628" s="33">
        <v>9</v>
      </c>
      <c r="E628" s="33" t="s">
        <v>1416</v>
      </c>
      <c r="I628">
        <v>227</v>
      </c>
      <c r="J628" t="str">
        <f>_xlfn.XLOOKUP($I628,$A:$A,B:B)</f>
        <v>partir</v>
      </c>
      <c r="K628">
        <f>_xlfn.XLOOKUP($I628,$A:$A,C:C)</f>
        <v>68</v>
      </c>
      <c r="L628">
        <f>_xlfn.XLOOKUP($I628,$A:$A,D:D)</f>
        <v>9</v>
      </c>
      <c r="M628" t="str">
        <f>_xlfn.XLOOKUP($I628,$A:$A,E:E)</f>
        <v>L2</v>
      </c>
    </row>
    <row r="629" spans="1:13" customFormat="1" ht="20.25">
      <c r="A629" s="34">
        <v>630</v>
      </c>
      <c r="B629" s="33" t="s">
        <v>709</v>
      </c>
      <c r="C629" s="34">
        <v>30</v>
      </c>
      <c r="D629" s="33">
        <v>8</v>
      </c>
      <c r="E629" s="33" t="s">
        <v>1419</v>
      </c>
      <c r="I629">
        <v>717</v>
      </c>
      <c r="J629" t="str">
        <f>_xlfn.XLOOKUP($I629,$A:$A,B:B)</f>
        <v>pasar</v>
      </c>
      <c r="K629">
        <f>_xlfn.XLOOKUP($I629,$A:$A,C:C)</f>
        <v>27</v>
      </c>
      <c r="L629">
        <f>_xlfn.XLOOKUP($I629,$A:$A,D:D)</f>
        <v>13</v>
      </c>
      <c r="M629" t="str">
        <f>_xlfn.XLOOKUP($I629,$A:$A,E:E)</f>
        <v>L1</v>
      </c>
    </row>
    <row r="630" spans="1:13" customFormat="1" ht="20.25">
      <c r="A630" s="34">
        <v>631</v>
      </c>
      <c r="B630" s="33" t="s">
        <v>710</v>
      </c>
      <c r="C630" s="34">
        <v>30</v>
      </c>
      <c r="D630" s="33">
        <v>9</v>
      </c>
      <c r="E630" s="33" t="s">
        <v>1416</v>
      </c>
      <c r="I630">
        <v>565</v>
      </c>
      <c r="J630" t="str">
        <f>_xlfn.XLOOKUP($I630,$A:$A,B:B)</f>
        <v>paso</v>
      </c>
      <c r="K630">
        <f>_xlfn.XLOOKUP($I630,$A:$A,C:C)</f>
        <v>33</v>
      </c>
      <c r="L630">
        <f>_xlfn.XLOOKUP($I630,$A:$A,D:D)</f>
        <v>6</v>
      </c>
      <c r="M630" t="str">
        <f>_xlfn.XLOOKUP($I630,$A:$A,E:E)</f>
        <v>L2</v>
      </c>
    </row>
    <row r="631" spans="1:13" customFormat="1" ht="20.25">
      <c r="A631" s="34">
        <v>632</v>
      </c>
      <c r="B631" s="33" t="s">
        <v>712</v>
      </c>
      <c r="C631" s="34">
        <v>30</v>
      </c>
      <c r="D631" s="33">
        <v>12</v>
      </c>
      <c r="E631" s="33" t="s">
        <v>1413</v>
      </c>
      <c r="I631">
        <v>650</v>
      </c>
      <c r="J631" t="str">
        <f>_xlfn.XLOOKUP($I631,$A:$A,B:B)</f>
        <v>pasó</v>
      </c>
      <c r="K631">
        <f>_xlfn.XLOOKUP($I631,$A:$A,C:C)</f>
        <v>29</v>
      </c>
      <c r="L631">
        <f>_xlfn.XLOOKUP($I631,$A:$A,D:D)</f>
        <v>9</v>
      </c>
      <c r="M631" t="str">
        <f>_xlfn.XLOOKUP($I631,$A:$A,E:E)</f>
        <v>L2</v>
      </c>
    </row>
    <row r="632" spans="1:13" customFormat="1" ht="20.25">
      <c r="A632" s="34">
        <v>633</v>
      </c>
      <c r="B632" s="33" t="s">
        <v>713</v>
      </c>
      <c r="C632" s="34">
        <v>30</v>
      </c>
      <c r="D632" s="33">
        <v>9</v>
      </c>
      <c r="E632" s="33" t="s">
        <v>1416</v>
      </c>
      <c r="I632">
        <v>975</v>
      </c>
      <c r="J632" t="str">
        <f>_xlfn.XLOOKUP($I632,$A:$A,B:B)</f>
        <v>paz</v>
      </c>
      <c r="K632">
        <f>_xlfn.XLOOKUP($I632,$A:$A,C:C)</f>
        <v>21</v>
      </c>
      <c r="L632">
        <f>_xlfn.XLOOKUP($I632,$A:$A,D:D)</f>
        <v>1</v>
      </c>
      <c r="M632" t="str">
        <f>_xlfn.XLOOKUP($I632,$A:$A,E:E)</f>
        <v>L2</v>
      </c>
    </row>
    <row r="633" spans="1:13" customFormat="1" ht="20.25">
      <c r="A633" s="34">
        <v>634</v>
      </c>
      <c r="B633" s="33" t="s">
        <v>714</v>
      </c>
      <c r="C633" s="34">
        <v>30</v>
      </c>
      <c r="D633" s="33">
        <v>2</v>
      </c>
      <c r="E633" s="33" t="s">
        <v>1416</v>
      </c>
      <c r="I633">
        <v>578</v>
      </c>
      <c r="J633" t="str">
        <f>_xlfn.XLOOKUP($I633,$A:$A,B:B)</f>
        <v>Pedro</v>
      </c>
      <c r="K633">
        <f>_xlfn.XLOOKUP($I633,$A:$A,C:C)</f>
        <v>32</v>
      </c>
      <c r="L633">
        <f>_xlfn.XLOOKUP($I633,$A:$A,D:D)</f>
        <v>9</v>
      </c>
      <c r="M633" t="str">
        <f>_xlfn.XLOOKUP($I633,$A:$A,E:E)</f>
        <v>L1</v>
      </c>
    </row>
    <row r="634" spans="1:13" customFormat="1" ht="20.25">
      <c r="A634" s="34">
        <v>635</v>
      </c>
      <c r="B634" s="33" t="s">
        <v>715</v>
      </c>
      <c r="C634" s="34">
        <v>30</v>
      </c>
      <c r="D634" s="33">
        <v>11</v>
      </c>
      <c r="E634" s="33" t="s">
        <v>1413</v>
      </c>
      <c r="I634">
        <v>208</v>
      </c>
      <c r="J634" t="str">
        <f>_xlfn.XLOOKUP($I634,$A:$A,B:B)</f>
        <v>película</v>
      </c>
      <c r="K634">
        <f>_xlfn.XLOOKUP($I634,$A:$A,C:C)</f>
        <v>75</v>
      </c>
      <c r="L634">
        <f>_xlfn.XLOOKUP($I634,$A:$A,D:D)</f>
        <v>3</v>
      </c>
      <c r="M634" t="str">
        <f>_xlfn.XLOOKUP($I634,$A:$A,E:E)</f>
        <v>L2</v>
      </c>
    </row>
    <row r="635" spans="1:13" customFormat="1" ht="20.25">
      <c r="A635" s="34">
        <v>636</v>
      </c>
      <c r="B635" s="33" t="s">
        <v>716</v>
      </c>
      <c r="C635" s="34">
        <v>30</v>
      </c>
      <c r="D635" s="33">
        <v>1</v>
      </c>
      <c r="E635" s="33" t="s">
        <v>1416</v>
      </c>
      <c r="I635">
        <v>513</v>
      </c>
      <c r="J635" t="str">
        <f>_xlfn.XLOOKUP($I635,$A:$A,B:B)</f>
        <v>pequeña</v>
      </c>
      <c r="K635">
        <f>_xlfn.XLOOKUP($I635,$A:$A,C:C)</f>
        <v>36</v>
      </c>
      <c r="L635">
        <f>_xlfn.XLOOKUP($I635,$A:$A,D:D)</f>
        <v>10</v>
      </c>
      <c r="M635" t="str">
        <f>_xlfn.XLOOKUP($I635,$A:$A,E:E)</f>
        <v>L1</v>
      </c>
    </row>
    <row r="636" spans="1:13" customFormat="1" ht="20.25">
      <c r="A636" s="34">
        <v>637</v>
      </c>
      <c r="B636" s="33" t="s">
        <v>717</v>
      </c>
      <c r="C636" s="34">
        <v>30</v>
      </c>
      <c r="D636" s="33">
        <v>3</v>
      </c>
      <c r="E636" s="33" t="s">
        <v>1416</v>
      </c>
      <c r="I636">
        <v>718</v>
      </c>
      <c r="J636" t="str">
        <f>_xlfn.XLOOKUP($I636,$A:$A,B:B)</f>
        <v>pequeñas</v>
      </c>
      <c r="K636">
        <f>_xlfn.XLOOKUP($I636,$A:$A,C:C)</f>
        <v>27</v>
      </c>
      <c r="L636">
        <f>_xlfn.XLOOKUP($I636,$A:$A,D:D)</f>
        <v>15</v>
      </c>
      <c r="M636" t="str">
        <f>_xlfn.XLOOKUP($I636,$A:$A,E:E)</f>
        <v>L1</v>
      </c>
    </row>
    <row r="637" spans="1:13" customFormat="1" ht="20.25">
      <c r="A637" s="34">
        <v>638</v>
      </c>
      <c r="B637" s="33" t="s">
        <v>718</v>
      </c>
      <c r="C637" s="34">
        <v>30</v>
      </c>
      <c r="D637" s="33">
        <v>6</v>
      </c>
      <c r="E637" s="33" t="s">
        <v>1416</v>
      </c>
      <c r="I637">
        <v>381</v>
      </c>
      <c r="J637" t="str">
        <f>_xlfn.XLOOKUP($I637,$A:$A,B:B)</f>
        <v>pequeño</v>
      </c>
      <c r="K637">
        <f>_xlfn.XLOOKUP($I637,$A:$A,C:C)</f>
        <v>45</v>
      </c>
      <c r="L637">
        <f>_xlfn.XLOOKUP($I637,$A:$A,D:D)</f>
        <v>10</v>
      </c>
      <c r="M637" t="str">
        <f>_xlfn.XLOOKUP($I637,$A:$A,E:E)</f>
        <v>L1</v>
      </c>
    </row>
    <row r="638" spans="1:13" customFormat="1" ht="20.25">
      <c r="A638" s="34">
        <v>639</v>
      </c>
      <c r="B638" s="33" t="s">
        <v>719</v>
      </c>
      <c r="C638" s="34"/>
      <c r="D638" s="33">
        <v>6</v>
      </c>
      <c r="E638" s="33" t="s">
        <v>1419</v>
      </c>
      <c r="I638">
        <v>719</v>
      </c>
      <c r="J638" t="str">
        <f>_xlfn.XLOOKUP($I638,$A:$A,B:B)</f>
        <v>pequeños</v>
      </c>
      <c r="K638">
        <f>_xlfn.XLOOKUP($I638,$A:$A,C:C)</f>
        <v>27</v>
      </c>
      <c r="L638">
        <f>_xlfn.XLOOKUP($I638,$A:$A,D:D)</f>
        <v>15</v>
      </c>
      <c r="M638" t="str">
        <f>_xlfn.XLOOKUP($I638,$A:$A,E:E)</f>
        <v>L1</v>
      </c>
    </row>
    <row r="639" spans="1:13" customFormat="1" ht="20.25">
      <c r="A639" s="34">
        <v>640</v>
      </c>
      <c r="B639" s="33" t="s">
        <v>720</v>
      </c>
      <c r="C639" s="34">
        <v>29</v>
      </c>
      <c r="D639" s="33">
        <v>10</v>
      </c>
      <c r="E639" s="33" t="s">
        <v>1413</v>
      </c>
      <c r="I639">
        <v>888</v>
      </c>
      <c r="J639" t="str">
        <f>_xlfn.XLOOKUP($I639,$A:$A,B:B)</f>
        <v>pérdida</v>
      </c>
      <c r="K639">
        <f>_xlfn.XLOOKUP($I639,$A:$A,C:C)</f>
        <v>23</v>
      </c>
      <c r="L639">
        <f>_xlfn.XLOOKUP($I639,$A:$A,D:D)</f>
        <v>2</v>
      </c>
      <c r="M639" t="str">
        <f>_xlfn.XLOOKUP($I639,$A:$A,E:E)</f>
        <v>L2</v>
      </c>
    </row>
    <row r="640" spans="1:13" customFormat="1" ht="20.25">
      <c r="A640" s="34">
        <v>641</v>
      </c>
      <c r="B640" s="33" t="s">
        <v>721</v>
      </c>
      <c r="C640" s="34">
        <v>29</v>
      </c>
      <c r="D640" s="33">
        <v>12</v>
      </c>
      <c r="E640" s="33" t="s">
        <v>1416</v>
      </c>
      <c r="I640">
        <v>976</v>
      </c>
      <c r="J640" t="str">
        <f>_xlfn.XLOOKUP($I640,$A:$A,B:B)</f>
        <v>perdió</v>
      </c>
      <c r="K640">
        <f>_xlfn.XLOOKUP($I640,$A:$A,C:C)</f>
        <v>21</v>
      </c>
      <c r="L640">
        <f>_xlfn.XLOOKUP($I640,$A:$A,D:D)</f>
        <v>4</v>
      </c>
      <c r="M640" t="str">
        <f>_xlfn.XLOOKUP($I640,$A:$A,E:E)</f>
        <v>L1</v>
      </c>
    </row>
    <row r="641" spans="1:13" customFormat="1" ht="20.25">
      <c r="A641" s="34">
        <v>642</v>
      </c>
      <c r="B641" s="33" t="s">
        <v>722</v>
      </c>
      <c r="C641" s="34">
        <v>29</v>
      </c>
      <c r="D641" s="33">
        <v>7</v>
      </c>
      <c r="E641" s="33" t="s">
        <v>1416</v>
      </c>
      <c r="I641">
        <v>463</v>
      </c>
      <c r="J641" t="str">
        <f>_xlfn.XLOOKUP($I641,$A:$A,B:B)</f>
        <v>periodo</v>
      </c>
      <c r="K641">
        <f>_xlfn.XLOOKUP($I641,$A:$A,C:C)</f>
        <v>0</v>
      </c>
      <c r="L641">
        <f>_xlfn.XLOOKUP($I641,$A:$A,D:D)</f>
        <v>2</v>
      </c>
      <c r="M641" t="str">
        <f>_xlfn.XLOOKUP($I641,$A:$A,E:E)</f>
        <v>L2</v>
      </c>
    </row>
    <row r="642" spans="1:13" customFormat="1" ht="20.25">
      <c r="A642" s="34">
        <v>643</v>
      </c>
      <c r="B642" s="33" t="s">
        <v>723</v>
      </c>
      <c r="C642" s="34">
        <v>29</v>
      </c>
      <c r="D642" s="33">
        <v>1</v>
      </c>
      <c r="E642" s="33" t="s">
        <v>1416</v>
      </c>
      <c r="I642">
        <v>452</v>
      </c>
      <c r="J642" t="str">
        <f>_xlfn.XLOOKUP($I642,$A:$A,B:B)</f>
        <v>período</v>
      </c>
      <c r="K642">
        <f>_xlfn.XLOOKUP($I642,$A:$A,C:C)</f>
        <v>39</v>
      </c>
      <c r="L642">
        <f>_xlfn.XLOOKUP($I642,$A:$A,D:D)</f>
        <v>9</v>
      </c>
      <c r="M642" t="str">
        <f>_xlfn.XLOOKUP($I642,$A:$A,E:E)</f>
        <v>L2</v>
      </c>
    </row>
    <row r="643" spans="1:13" customFormat="1" ht="20.25">
      <c r="A643" s="34">
        <v>644</v>
      </c>
      <c r="B643" s="33" t="s">
        <v>724</v>
      </c>
      <c r="C643" s="34">
        <v>29</v>
      </c>
      <c r="D643" s="33">
        <v>5</v>
      </c>
      <c r="E643" s="33" t="s">
        <v>1416</v>
      </c>
      <c r="I643">
        <v>589</v>
      </c>
      <c r="J643" t="str">
        <f>_xlfn.XLOOKUP($I643,$A:$A,B:B)</f>
        <v>permite</v>
      </c>
      <c r="K643">
        <f>_xlfn.XLOOKUP($I643,$A:$A,C:C)</f>
        <v>31</v>
      </c>
      <c r="L643">
        <f>_xlfn.XLOOKUP($I643,$A:$A,D:D)</f>
        <v>6</v>
      </c>
      <c r="M643" t="str">
        <f>_xlfn.XLOOKUP($I643,$A:$A,E:E)</f>
        <v>L2</v>
      </c>
    </row>
    <row r="644" spans="1:13" customFormat="1" ht="20.25">
      <c r="A644" s="34">
        <v>645</v>
      </c>
      <c r="B644" s="33" t="s">
        <v>725</v>
      </c>
      <c r="C644" s="34">
        <v>29</v>
      </c>
      <c r="D644" s="33">
        <v>3</v>
      </c>
      <c r="E644" s="33" t="s">
        <v>1416</v>
      </c>
      <c r="I644">
        <v>930</v>
      </c>
      <c r="J644" t="str">
        <f>_xlfn.XLOOKUP($I644,$A:$A,B:B)</f>
        <v>permitió</v>
      </c>
      <c r="K644">
        <f>_xlfn.XLOOKUP($I644,$A:$A,C:C)</f>
        <v>22</v>
      </c>
      <c r="L644">
        <f>_xlfn.XLOOKUP($I644,$A:$A,D:D)</f>
        <v>1</v>
      </c>
      <c r="M644" t="str">
        <f>_xlfn.XLOOKUP($I644,$A:$A,E:E)</f>
        <v>L2</v>
      </c>
    </row>
    <row r="645" spans="1:13" customFormat="1" ht="20.25">
      <c r="A645" s="34">
        <v>646</v>
      </c>
      <c r="B645" s="33" t="s">
        <v>726</v>
      </c>
      <c r="C645" s="34">
        <v>29</v>
      </c>
      <c r="D645" s="33">
        <v>6</v>
      </c>
      <c r="E645" s="33" t="s">
        <v>1413</v>
      </c>
      <c r="I645">
        <v>35</v>
      </c>
      <c r="J645" t="str">
        <f>_xlfn.XLOOKUP($I645,$A:$A,B:B)</f>
        <v>pero</v>
      </c>
      <c r="K645">
        <f>_xlfn.XLOOKUP($I645,$A:$A,C:C)</f>
        <v>359</v>
      </c>
      <c r="L645">
        <f>_xlfn.XLOOKUP($I645,$A:$A,D:D)</f>
        <v>12</v>
      </c>
      <c r="M645" t="str">
        <f>_xlfn.XLOOKUP($I645,$A:$A,E:E)</f>
        <v>L1</v>
      </c>
    </row>
    <row r="646" spans="1:13" customFormat="1" ht="20.25">
      <c r="A646" s="34">
        <v>647</v>
      </c>
      <c r="B646" s="33" t="s">
        <v>727</v>
      </c>
      <c r="C646" s="34">
        <v>29</v>
      </c>
      <c r="D646" s="33">
        <v>12</v>
      </c>
      <c r="E646" s="33" t="s">
        <v>1413</v>
      </c>
      <c r="I646">
        <v>464</v>
      </c>
      <c r="J646" t="str">
        <f>_xlfn.XLOOKUP($I646,$A:$A,B:B)</f>
        <v>persona</v>
      </c>
      <c r="K646">
        <f>_xlfn.XLOOKUP($I646,$A:$A,C:C)</f>
        <v>0</v>
      </c>
      <c r="L646">
        <f>_xlfn.XLOOKUP($I646,$A:$A,D:D)</f>
        <v>11</v>
      </c>
      <c r="M646" t="str">
        <f>_xlfn.XLOOKUP($I646,$A:$A,E:E)</f>
        <v>L1</v>
      </c>
    </row>
    <row r="647" spans="1:13" customFormat="1" ht="20.25">
      <c r="A647" s="34">
        <v>648</v>
      </c>
      <c r="B647" s="33" t="s">
        <v>728</v>
      </c>
      <c r="C647" s="34">
        <v>29</v>
      </c>
      <c r="D647" s="33">
        <v>13</v>
      </c>
      <c r="E647" s="33" t="s">
        <v>1416</v>
      </c>
      <c r="I647">
        <v>684</v>
      </c>
      <c r="J647" t="str">
        <f>_xlfn.XLOOKUP($I647,$A:$A,B:B)</f>
        <v>personaje</v>
      </c>
      <c r="K647">
        <f>_xlfn.XLOOKUP($I647,$A:$A,C:C)</f>
        <v>28</v>
      </c>
      <c r="L647">
        <f>_xlfn.XLOOKUP($I647,$A:$A,D:D)</f>
        <v>3</v>
      </c>
      <c r="M647" t="str">
        <f>_xlfn.XLOOKUP($I647,$A:$A,E:E)</f>
        <v>L2</v>
      </c>
    </row>
    <row r="648" spans="1:13" customFormat="1" ht="20.25">
      <c r="A648" s="34">
        <v>649</v>
      </c>
      <c r="B648" s="33" t="s">
        <v>729</v>
      </c>
      <c r="C648" s="34">
        <v>29</v>
      </c>
      <c r="D648" s="33">
        <v>4</v>
      </c>
      <c r="E648" s="33" t="s">
        <v>1416</v>
      </c>
      <c r="I648">
        <v>790</v>
      </c>
      <c r="J648" t="str">
        <f>_xlfn.XLOOKUP($I648,$A:$A,B:B)</f>
        <v>personajes</v>
      </c>
      <c r="K648">
        <f>_xlfn.XLOOKUP($I648,$A:$A,C:C)</f>
        <v>25</v>
      </c>
      <c r="L648">
        <f>_xlfn.XLOOKUP($I648,$A:$A,D:D)</f>
        <v>3</v>
      </c>
      <c r="M648" t="str">
        <f>_xlfn.XLOOKUP($I648,$A:$A,E:E)</f>
        <v>L2</v>
      </c>
    </row>
    <row r="649" spans="1:13" customFormat="1" ht="20.25">
      <c r="A649" s="34">
        <v>650</v>
      </c>
      <c r="B649" s="33" t="s">
        <v>730</v>
      </c>
      <c r="C649" s="34">
        <v>29</v>
      </c>
      <c r="D649" s="33">
        <v>9</v>
      </c>
      <c r="E649" s="33" t="s">
        <v>1416</v>
      </c>
      <c r="I649">
        <v>622</v>
      </c>
      <c r="J649" t="str">
        <f>_xlfn.XLOOKUP($I649,$A:$A,B:B)</f>
        <v>personal</v>
      </c>
      <c r="K649">
        <f>_xlfn.XLOOKUP($I649,$A:$A,C:C)</f>
        <v>30</v>
      </c>
      <c r="L649">
        <f>_xlfn.XLOOKUP($I649,$A:$A,D:D)</f>
        <v>5</v>
      </c>
      <c r="M649" t="str">
        <f>_xlfn.XLOOKUP($I649,$A:$A,E:E)</f>
        <v>L2</v>
      </c>
    </row>
    <row r="650" spans="1:13" customFormat="1" ht="20.25">
      <c r="A650" s="34">
        <v>651</v>
      </c>
      <c r="B650" s="33" t="s">
        <v>731</v>
      </c>
      <c r="C650" s="34">
        <v>29</v>
      </c>
      <c r="D650" s="33">
        <v>2</v>
      </c>
      <c r="E650" s="33" t="s">
        <v>1416</v>
      </c>
      <c r="I650">
        <v>111</v>
      </c>
      <c r="J650" t="str">
        <f>_xlfn.XLOOKUP($I650,$A:$A,B:B)</f>
        <v>personas</v>
      </c>
      <c r="K650">
        <f>_xlfn.XLOOKUP($I650,$A:$A,C:C)</f>
        <v>115</v>
      </c>
      <c r="L650">
        <f>_xlfn.XLOOKUP($I650,$A:$A,D:D)</f>
        <v>12</v>
      </c>
      <c r="M650" t="str">
        <f>_xlfn.XLOOKUP($I650,$A:$A,E:E)</f>
        <v>L1</v>
      </c>
    </row>
    <row r="651" spans="1:13" customFormat="1" ht="20.25">
      <c r="A651" s="34">
        <v>652</v>
      </c>
      <c r="B651" s="33" t="s">
        <v>732</v>
      </c>
      <c r="C651" s="34">
        <v>29</v>
      </c>
      <c r="D651" s="33">
        <v>14</v>
      </c>
      <c r="E651" s="33" t="s">
        <v>1416</v>
      </c>
      <c r="I651">
        <v>902</v>
      </c>
      <c r="J651" t="str">
        <f>_xlfn.XLOOKUP($I651,$A:$A,B:B)</f>
        <v>Perú</v>
      </c>
      <c r="K651">
        <f>_xlfn.XLOOKUP($I651,$A:$A,C:C)</f>
        <v>0</v>
      </c>
      <c r="L651">
        <f>_xlfn.XLOOKUP($I651,$A:$A,D:D)</f>
        <v>13</v>
      </c>
      <c r="M651" t="str">
        <f>_xlfn.XLOOKUP($I651,$A:$A,E:E)</f>
        <v>L1</v>
      </c>
    </row>
    <row r="652" spans="1:13" customFormat="1" ht="20.25">
      <c r="A652" s="34">
        <v>653</v>
      </c>
      <c r="B652" s="33" t="s">
        <v>733</v>
      </c>
      <c r="C652" s="34">
        <v>29</v>
      </c>
      <c r="D652" s="33">
        <v>12</v>
      </c>
      <c r="E652" s="33" t="s">
        <v>1413</v>
      </c>
      <c r="I652">
        <v>223</v>
      </c>
      <c r="J652" t="str">
        <f>_xlfn.XLOOKUP($I652,$A:$A,B:B)</f>
        <v>pesar</v>
      </c>
      <c r="K652">
        <f>_xlfn.XLOOKUP($I652,$A:$A,C:C)</f>
        <v>70</v>
      </c>
      <c r="L652">
        <f>_xlfn.XLOOKUP($I652,$A:$A,D:D)</f>
        <v>12</v>
      </c>
      <c r="M652" t="str">
        <f>_xlfn.XLOOKUP($I652,$A:$A,E:E)</f>
        <v>L2</v>
      </c>
    </row>
    <row r="653" spans="1:13" customFormat="1" ht="20.25">
      <c r="A653" s="34">
        <v>654</v>
      </c>
      <c r="B653" s="33" t="s">
        <v>734</v>
      </c>
      <c r="C653" s="34">
        <v>29</v>
      </c>
      <c r="D653" s="33">
        <v>12</v>
      </c>
      <c r="E653" s="33" t="s">
        <v>1416</v>
      </c>
      <c r="I653">
        <v>753</v>
      </c>
      <c r="J653" t="str">
        <f>_xlfn.XLOOKUP($I653,$A:$A,B:B)</f>
        <v>piezas</v>
      </c>
      <c r="K653">
        <f>_xlfn.XLOOKUP($I653,$A:$A,C:C)</f>
        <v>26</v>
      </c>
      <c r="L653">
        <f>_xlfn.XLOOKUP($I653,$A:$A,D:D)</f>
        <v>3</v>
      </c>
      <c r="M653" t="str">
        <f>_xlfn.XLOOKUP($I653,$A:$A,E:E)</f>
        <v>L2</v>
      </c>
    </row>
    <row r="654" spans="1:13" customFormat="1" ht="20.25">
      <c r="A654" s="34">
        <v>655</v>
      </c>
      <c r="B654" s="33" t="s">
        <v>735</v>
      </c>
      <c r="C654" s="34"/>
      <c r="D654" s="33">
        <v>3</v>
      </c>
      <c r="E654" s="33" t="s">
        <v>1416</v>
      </c>
      <c r="I654">
        <v>881</v>
      </c>
      <c r="J654" t="str">
        <f>_xlfn.XLOOKUP($I654,$A:$A,B:B)</f>
        <v>plan</v>
      </c>
      <c r="K654">
        <f>_xlfn.XLOOKUP($I654,$A:$A,C:C)</f>
        <v>23</v>
      </c>
      <c r="L654">
        <f>_xlfn.XLOOKUP($I654,$A:$A,D:D)</f>
        <v>5</v>
      </c>
      <c r="M654" t="str">
        <f>_xlfn.XLOOKUP($I654,$A:$A,E:E)</f>
        <v>L2</v>
      </c>
    </row>
    <row r="655" spans="1:13" customFormat="1" ht="20.25">
      <c r="A655" s="34">
        <v>656</v>
      </c>
      <c r="B655" s="33" t="s">
        <v>736</v>
      </c>
      <c r="C655" s="34">
        <v>29</v>
      </c>
      <c r="D655" s="33">
        <v>5</v>
      </c>
      <c r="E655" s="33" t="s">
        <v>1413</v>
      </c>
      <c r="I655">
        <v>754</v>
      </c>
      <c r="J655" t="str">
        <f>_xlfn.XLOOKUP($I655,$A:$A,B:B)</f>
        <v>planta</v>
      </c>
      <c r="K655">
        <f>_xlfn.XLOOKUP($I655,$A:$A,C:C)</f>
        <v>26</v>
      </c>
      <c r="L655">
        <f>_xlfn.XLOOKUP($I655,$A:$A,D:D)</f>
        <v>10</v>
      </c>
      <c r="M655" t="str">
        <f>_xlfn.XLOOKUP($I655,$A:$A,E:E)</f>
        <v>L1</v>
      </c>
    </row>
    <row r="656" spans="1:13" customFormat="1" ht="20.25">
      <c r="A656" s="34"/>
      <c r="B656" s="33"/>
      <c r="C656" s="34"/>
      <c r="D656" s="33"/>
      <c r="E656" s="33"/>
      <c r="I656">
        <v>931</v>
      </c>
      <c r="J656" t="str">
        <f>_xlfn.XLOOKUP($I656,$A:$A,B:B)</f>
        <v>plaza</v>
      </c>
      <c r="K656">
        <f>_xlfn.XLOOKUP($I656,$A:$A,C:C)</f>
        <v>22</v>
      </c>
      <c r="L656">
        <f>_xlfn.XLOOKUP($I656,$A:$A,D:D)</f>
        <v>13</v>
      </c>
      <c r="M656" t="str">
        <f>_xlfn.XLOOKUP($I656,$A:$A,E:E)</f>
        <v>L2</v>
      </c>
    </row>
    <row r="657" spans="1:13" customFormat="1" ht="20.25">
      <c r="A657" s="34"/>
      <c r="B657" s="33"/>
      <c r="C657" s="34"/>
      <c r="D657" s="33"/>
      <c r="E657" s="33"/>
      <c r="I657">
        <v>196</v>
      </c>
      <c r="J657" t="str">
        <f>_xlfn.XLOOKUP($I657,$A:$A,B:B)</f>
        <v>población</v>
      </c>
      <c r="K657">
        <f>_xlfn.XLOOKUP($I657,$A:$A,C:C)</f>
        <v>78</v>
      </c>
      <c r="L657">
        <f>_xlfn.XLOOKUP($I657,$A:$A,D:D)</f>
        <v>12</v>
      </c>
      <c r="M657" t="str">
        <f>_xlfn.XLOOKUP($I657,$A:$A,E:E)</f>
        <v>L2</v>
      </c>
    </row>
    <row r="658" spans="1:13" customFormat="1" ht="20.25">
      <c r="A658" s="34"/>
      <c r="B658" s="33"/>
      <c r="C658" s="34"/>
      <c r="D658" s="33"/>
      <c r="E658" s="33"/>
      <c r="I658">
        <v>186</v>
      </c>
      <c r="J658" t="str">
        <f>_xlfn.XLOOKUP($I658,$A:$A,B:B)</f>
        <v>poco</v>
      </c>
      <c r="K658">
        <f>_xlfn.XLOOKUP($I658,$A:$A,C:C)</f>
        <v>80</v>
      </c>
      <c r="L658">
        <f>_xlfn.XLOOKUP($I658,$A:$A,D:D)</f>
        <v>12</v>
      </c>
      <c r="M658" t="str">
        <f>_xlfn.XLOOKUP($I658,$A:$A,E:E)</f>
        <v>L1</v>
      </c>
    </row>
    <row r="659" spans="1:13" customFormat="1" ht="20.25">
      <c r="A659" s="34">
        <v>660</v>
      </c>
      <c r="B659" s="33" t="s">
        <v>739</v>
      </c>
      <c r="C659" s="34">
        <v>29</v>
      </c>
      <c r="D659" s="33">
        <v>9</v>
      </c>
      <c r="E659" s="33" t="s">
        <v>1413</v>
      </c>
      <c r="I659">
        <v>540</v>
      </c>
      <c r="J659" t="str">
        <f>_xlfn.XLOOKUP($I659,$A:$A,B:B)</f>
        <v>pocos</v>
      </c>
      <c r="K659">
        <f>_xlfn.XLOOKUP($I659,$A:$A,C:C)</f>
        <v>34</v>
      </c>
      <c r="L659">
        <f>_xlfn.XLOOKUP($I659,$A:$A,D:D)</f>
        <v>12</v>
      </c>
      <c r="M659" t="str">
        <f>_xlfn.XLOOKUP($I659,$A:$A,E:E)</f>
        <v>L1</v>
      </c>
    </row>
    <row r="660" spans="1:13" customFormat="1" ht="20.25">
      <c r="A660" s="34"/>
      <c r="B660" s="33"/>
      <c r="C660" s="34"/>
      <c r="D660" s="33"/>
      <c r="E660" s="33"/>
      <c r="I660">
        <v>187</v>
      </c>
      <c r="J660" t="str">
        <f>_xlfn.XLOOKUP($I660,$A:$A,B:B)</f>
        <v>poder</v>
      </c>
      <c r="K660">
        <f>_xlfn.XLOOKUP($I660,$A:$A,C:C)</f>
        <v>80</v>
      </c>
      <c r="L660">
        <f>_xlfn.XLOOKUP($I660,$A:$A,D:D)</f>
        <v>1</v>
      </c>
      <c r="M660" t="str">
        <f>_xlfn.XLOOKUP($I660,$A:$A,E:E)</f>
        <v>L2</v>
      </c>
    </row>
    <row r="661" spans="1:13" customFormat="1" ht="20.25">
      <c r="A661" s="34"/>
      <c r="B661" s="33"/>
      <c r="C661" s="34"/>
      <c r="D661" s="33"/>
      <c r="E661" s="33"/>
      <c r="I661">
        <v>541</v>
      </c>
      <c r="J661" t="str">
        <f>_xlfn.XLOOKUP($I661,$A:$A,B:B)</f>
        <v>podía</v>
      </c>
      <c r="K661">
        <f>_xlfn.XLOOKUP($I661,$A:$A,C:C)</f>
        <v>34</v>
      </c>
      <c r="L661">
        <f>_xlfn.XLOOKUP($I661,$A:$A,D:D)</f>
        <v>9</v>
      </c>
      <c r="M661" t="str">
        <f>_xlfn.XLOOKUP($I661,$A:$A,E:E)</f>
        <v>L2</v>
      </c>
    </row>
    <row r="662" spans="1:13" customFormat="1" ht="20.25">
      <c r="A662" s="34"/>
      <c r="B662" s="33"/>
      <c r="C662" s="34"/>
      <c r="D662" s="33"/>
      <c r="E662" s="33"/>
      <c r="I662">
        <v>791</v>
      </c>
      <c r="J662" t="str">
        <f>_xlfn.XLOOKUP($I662,$A:$A,B:B)</f>
        <v>podría</v>
      </c>
      <c r="K662">
        <f>_xlfn.XLOOKUP($I662,$A:$A,C:C)</f>
        <v>25</v>
      </c>
      <c r="L662">
        <f>_xlfn.XLOOKUP($I662,$A:$A,D:D)</f>
        <v>15</v>
      </c>
      <c r="M662" t="str">
        <f>_xlfn.XLOOKUP($I662,$A:$A,E:E)</f>
        <v>L1</v>
      </c>
    </row>
    <row r="663" spans="1:13" customFormat="1" ht="20.25">
      <c r="A663" s="34"/>
      <c r="B663" s="33"/>
      <c r="C663" s="34"/>
      <c r="D663" s="33"/>
      <c r="E663" s="33"/>
      <c r="I663">
        <v>882</v>
      </c>
      <c r="J663" t="str">
        <f>_xlfn.XLOOKUP($I663,$A:$A,B:B)</f>
        <v>policía</v>
      </c>
      <c r="K663">
        <f>_xlfn.XLOOKUP($I663,$A:$A,C:C)</f>
        <v>23</v>
      </c>
      <c r="L663">
        <f>_xlfn.XLOOKUP($I663,$A:$A,D:D)</f>
        <v>8</v>
      </c>
      <c r="M663" t="str">
        <f>_xlfn.XLOOKUP($I663,$A:$A,E:E)</f>
        <v>L2</v>
      </c>
    </row>
    <row r="664" spans="1:13" customFormat="1" ht="20.25">
      <c r="A664" s="34">
        <v>665</v>
      </c>
      <c r="B664" s="33" t="s">
        <v>744</v>
      </c>
      <c r="C664" s="34">
        <v>29</v>
      </c>
      <c r="D664" s="33">
        <v>1</v>
      </c>
      <c r="E664" s="33" t="s">
        <v>1416</v>
      </c>
      <c r="I664">
        <v>366</v>
      </c>
      <c r="J664" t="str">
        <f>_xlfn.XLOOKUP($I664,$A:$A,B:B)</f>
        <v>política</v>
      </c>
      <c r="K664">
        <f>_xlfn.XLOOKUP($I664,$A:$A,C:C)</f>
        <v>46</v>
      </c>
      <c r="L664">
        <f>_xlfn.XLOOKUP($I664,$A:$A,D:D)</f>
        <v>1</v>
      </c>
      <c r="M664" t="str">
        <f>_xlfn.XLOOKUP($I664,$A:$A,E:E)</f>
        <v>L2</v>
      </c>
    </row>
    <row r="665" spans="1:13" customFormat="1" ht="20.25">
      <c r="A665" s="34">
        <v>666</v>
      </c>
      <c r="B665" s="33" t="s">
        <v>745</v>
      </c>
      <c r="C665" s="34">
        <v>29</v>
      </c>
      <c r="D665" s="33">
        <v>13</v>
      </c>
      <c r="E665" s="33" t="s">
        <v>1413</v>
      </c>
      <c r="I665">
        <v>833</v>
      </c>
      <c r="J665" t="str">
        <f>_xlfn.XLOOKUP($I665,$A:$A,B:B)</f>
        <v>políticas</v>
      </c>
      <c r="K665">
        <f>_xlfn.XLOOKUP($I665,$A:$A,C:C)</f>
        <v>24</v>
      </c>
      <c r="L665">
        <f>_xlfn.XLOOKUP($I665,$A:$A,D:D)</f>
        <v>1</v>
      </c>
      <c r="M665" t="str">
        <f>_xlfn.XLOOKUP($I665,$A:$A,E:E)</f>
        <v>L3</v>
      </c>
    </row>
    <row r="666" spans="1:13" customFormat="1" ht="20.25">
      <c r="A666" s="34">
        <v>667</v>
      </c>
      <c r="B666" s="33" t="s">
        <v>746</v>
      </c>
      <c r="C666" s="34">
        <v>29</v>
      </c>
      <c r="D666" s="33">
        <v>10</v>
      </c>
      <c r="E666" s="33" t="s">
        <v>1413</v>
      </c>
      <c r="I666">
        <v>883</v>
      </c>
      <c r="J666" t="str">
        <f>_xlfn.XLOOKUP($I666,$A:$A,B:B)</f>
        <v>políticos</v>
      </c>
      <c r="K666">
        <f>_xlfn.XLOOKUP($I666,$A:$A,C:C)</f>
        <v>23</v>
      </c>
      <c r="L666">
        <f>_xlfn.XLOOKUP($I666,$A:$A,D:D)</f>
        <v>1</v>
      </c>
      <c r="M666" t="str">
        <f>_xlfn.XLOOKUP($I666,$A:$A,E:E)</f>
        <v>L2</v>
      </c>
    </row>
    <row r="667" spans="1:13" customFormat="1" ht="20.25">
      <c r="A667" s="34">
        <v>668</v>
      </c>
      <c r="B667" s="33" t="s">
        <v>747</v>
      </c>
      <c r="C667" s="34">
        <v>29</v>
      </c>
      <c r="D667" s="33">
        <v>5</v>
      </c>
      <c r="E667" s="33" t="s">
        <v>1416</v>
      </c>
      <c r="I667">
        <v>528</v>
      </c>
      <c r="J667" t="str">
        <f>_xlfn.XLOOKUP($I667,$A:$A,B:B)</f>
        <v>popular</v>
      </c>
      <c r="K667">
        <f>_xlfn.XLOOKUP($I667,$A:$A,C:C)</f>
        <v>35</v>
      </c>
      <c r="L667">
        <f>_xlfn.XLOOKUP($I667,$A:$A,D:D)</f>
        <v>3</v>
      </c>
      <c r="M667" t="str">
        <f>_xlfn.XLOOKUP($I667,$A:$A,E:E)</f>
        <v>L2</v>
      </c>
    </row>
    <row r="668" spans="1:13" customFormat="1" ht="20.25">
      <c r="A668" s="34">
        <v>669</v>
      </c>
      <c r="B668" s="33" t="s">
        <v>748</v>
      </c>
      <c r="C668" s="34">
        <v>29</v>
      </c>
      <c r="D668" s="33">
        <v>7</v>
      </c>
      <c r="E668" s="33" t="s">
        <v>1416</v>
      </c>
      <c r="I668">
        <v>16</v>
      </c>
      <c r="J668" t="str">
        <f>_xlfn.XLOOKUP($I668,$A:$A,B:B)</f>
        <v>por</v>
      </c>
      <c r="K668">
        <f>_xlfn.XLOOKUP($I668,$A:$A,C:C)</f>
        <v>1899</v>
      </c>
      <c r="L668">
        <f>_xlfn.XLOOKUP($I668,$A:$A,D:D)</f>
        <v>8</v>
      </c>
      <c r="M668" t="str">
        <f>_xlfn.XLOOKUP($I668,$A:$A,E:E)</f>
        <v>L1</v>
      </c>
    </row>
    <row r="669" spans="1:13" customFormat="1" ht="20.25">
      <c r="A669" s="34">
        <v>670</v>
      </c>
      <c r="B669" s="33" t="s">
        <v>749</v>
      </c>
      <c r="C669" s="34">
        <v>29</v>
      </c>
      <c r="D669" s="33">
        <v>5</v>
      </c>
      <c r="E669" s="33" t="s">
        <v>1416</v>
      </c>
      <c r="I669">
        <v>221</v>
      </c>
      <c r="J669" t="str">
        <f>_xlfn.XLOOKUP($I669,$A:$A,B:B)</f>
        <v>porque</v>
      </c>
      <c r="K669">
        <f>_xlfn.XLOOKUP($I669,$A:$A,C:C)</f>
        <v>70</v>
      </c>
      <c r="L669">
        <f>_xlfn.XLOOKUP($I669,$A:$A,D:D)</f>
        <v>12</v>
      </c>
      <c r="M669" t="str">
        <f>_xlfn.XLOOKUP($I669,$A:$A,E:E)</f>
        <v>L1</v>
      </c>
    </row>
    <row r="670" spans="1:13" customFormat="1" ht="20.25">
      <c r="A670" s="34">
        <v>671</v>
      </c>
      <c r="B670" s="33" t="s">
        <v>750</v>
      </c>
      <c r="C670" s="34">
        <v>29</v>
      </c>
      <c r="D670" s="33">
        <v>13</v>
      </c>
      <c r="E670" s="33" t="s">
        <v>1413</v>
      </c>
      <c r="I670">
        <v>685</v>
      </c>
      <c r="J670" t="str">
        <f>_xlfn.XLOOKUP($I670,$A:$A,B:B)</f>
        <v>posee</v>
      </c>
      <c r="K670">
        <f>_xlfn.XLOOKUP($I670,$A:$A,C:C)</f>
        <v>28</v>
      </c>
      <c r="L670">
        <f>_xlfn.XLOOKUP($I670,$A:$A,D:D)</f>
        <v>10</v>
      </c>
      <c r="M670" t="str">
        <f>_xlfn.XLOOKUP($I670,$A:$A,E:E)</f>
        <v>L3</v>
      </c>
    </row>
    <row r="671" spans="1:13" customFormat="1" ht="20.25">
      <c r="A671" s="34">
        <v>672</v>
      </c>
      <c r="B671" s="33" t="s">
        <v>751</v>
      </c>
      <c r="C671" s="34">
        <v>29</v>
      </c>
      <c r="D671" s="33">
        <v>7</v>
      </c>
      <c r="E671" s="33" t="s">
        <v>1413</v>
      </c>
      <c r="I671">
        <v>360</v>
      </c>
      <c r="J671" t="str">
        <f>_xlfn.XLOOKUP($I671,$A:$A,B:B)</f>
        <v>posible</v>
      </c>
      <c r="K671">
        <f>_xlfn.XLOOKUP($I671,$A:$A,C:C)</f>
        <v>47</v>
      </c>
      <c r="L671">
        <f>_xlfn.XLOOKUP($I671,$A:$A,D:D)</f>
        <v>6</v>
      </c>
      <c r="M671" t="str">
        <f>_xlfn.XLOOKUP($I671,$A:$A,E:E)</f>
        <v>L2</v>
      </c>
    </row>
    <row r="672" spans="1:13" customFormat="1" ht="20.25">
      <c r="A672" s="34">
        <v>673</v>
      </c>
      <c r="B672" s="33" t="s">
        <v>752</v>
      </c>
      <c r="C672" s="34">
        <v>29</v>
      </c>
      <c r="D672" s="33">
        <v>7</v>
      </c>
      <c r="E672" s="33" t="s">
        <v>1416</v>
      </c>
      <c r="I672">
        <v>498</v>
      </c>
      <c r="J672" t="str">
        <f>_xlfn.XLOOKUP($I672,$A:$A,B:B)</f>
        <v>posición</v>
      </c>
      <c r="K672">
        <f>_xlfn.XLOOKUP($I672,$A:$A,C:C)</f>
        <v>37</v>
      </c>
      <c r="L672">
        <f>_xlfn.XLOOKUP($I672,$A:$A,D:D)</f>
        <v>4</v>
      </c>
      <c r="M672" t="str">
        <f>_xlfn.XLOOKUP($I672,$A:$A,E:E)</f>
        <v>L2</v>
      </c>
    </row>
    <row r="673" spans="1:13" customFormat="1" ht="20.25">
      <c r="A673" s="34">
        <v>674</v>
      </c>
      <c r="B673" s="33" t="s">
        <v>753</v>
      </c>
      <c r="C673" s="34">
        <v>29</v>
      </c>
      <c r="D673" s="33">
        <v>2</v>
      </c>
      <c r="E673" s="33" t="s">
        <v>1419</v>
      </c>
      <c r="I673">
        <v>720</v>
      </c>
      <c r="J673" t="str">
        <f>_xlfn.XLOOKUP($I673,$A:$A,B:B)</f>
        <v>posteriormente</v>
      </c>
      <c r="K673">
        <f>_xlfn.XLOOKUP($I673,$A:$A,C:C)</f>
        <v>27</v>
      </c>
      <c r="L673">
        <f>_xlfn.XLOOKUP($I673,$A:$A,D:D)</f>
        <v>9</v>
      </c>
      <c r="M673" t="str">
        <f>_xlfn.XLOOKUP($I673,$A:$A,E:E)</f>
        <v>L3</v>
      </c>
    </row>
    <row r="674" spans="1:13" customFormat="1" ht="20.25">
      <c r="A674" s="34">
        <v>675</v>
      </c>
      <c r="B674" s="33" t="s">
        <v>754</v>
      </c>
      <c r="C674" s="34">
        <v>29</v>
      </c>
      <c r="D674" s="33">
        <v>13</v>
      </c>
      <c r="E674" s="33" t="s">
        <v>1413</v>
      </c>
      <c r="I674">
        <v>886</v>
      </c>
      <c r="J674" t="str">
        <f>_xlfn.XLOOKUP($I674,$A:$A,B:B)</f>
        <v>práctica</v>
      </c>
      <c r="K674">
        <f>_xlfn.XLOOKUP($I674,$A:$A,C:C)</f>
        <v>23</v>
      </c>
      <c r="L674">
        <f>_xlfn.XLOOKUP($I674,$A:$A,D:D)</f>
        <v>6</v>
      </c>
      <c r="M674" t="str">
        <f>_xlfn.XLOOKUP($I674,$A:$A,E:E)</f>
        <v>L2</v>
      </c>
    </row>
    <row r="675" spans="1:13" customFormat="1" ht="20.25">
      <c r="A675" s="34">
        <v>676</v>
      </c>
      <c r="B675" s="33" t="s">
        <v>755</v>
      </c>
      <c r="C675" s="34"/>
      <c r="D675" s="33">
        <v>12</v>
      </c>
      <c r="E675" s="33" t="s">
        <v>1413</v>
      </c>
      <c r="I675">
        <v>623</v>
      </c>
      <c r="J675" t="str">
        <f>_xlfn.XLOOKUP($I675,$A:$A,B:B)</f>
        <v>premio</v>
      </c>
      <c r="K675">
        <f>_xlfn.XLOOKUP($I675,$A:$A,C:C)</f>
        <v>30</v>
      </c>
      <c r="L675">
        <f>_xlfn.XLOOKUP($I675,$A:$A,D:D)</f>
        <v>3</v>
      </c>
      <c r="M675" t="str">
        <f>_xlfn.XLOOKUP($I675,$A:$A,E:E)</f>
        <v>L2</v>
      </c>
    </row>
    <row r="676" spans="1:13" customFormat="1" ht="20.25">
      <c r="A676" s="34">
        <v>677</v>
      </c>
      <c r="B676" s="33" t="s">
        <v>756</v>
      </c>
      <c r="C676" s="33"/>
      <c r="D676" s="33">
        <v>12</v>
      </c>
      <c r="E676" s="33" t="s">
        <v>1416</v>
      </c>
      <c r="I676">
        <v>932</v>
      </c>
      <c r="J676" t="str">
        <f>_xlfn.XLOOKUP($I676,$A:$A,B:B)</f>
        <v>premios</v>
      </c>
      <c r="K676">
        <f>_xlfn.XLOOKUP($I676,$A:$A,C:C)</f>
        <v>22</v>
      </c>
      <c r="L676">
        <f>_xlfn.XLOOKUP($I676,$A:$A,D:D)</f>
        <v>3</v>
      </c>
      <c r="M676" t="str">
        <f>_xlfn.XLOOKUP($I676,$A:$A,E:E)</f>
        <v>L2</v>
      </c>
    </row>
    <row r="677" spans="1:13" customFormat="1" ht="20.25">
      <c r="A677" s="34">
        <v>678</v>
      </c>
      <c r="B677" s="33" t="s">
        <v>757</v>
      </c>
      <c r="C677" s="34"/>
      <c r="D677" s="33">
        <v>6</v>
      </c>
      <c r="E677" s="33" t="s">
        <v>1419</v>
      </c>
      <c r="I677">
        <v>542</v>
      </c>
      <c r="J677" t="str">
        <f>_xlfn.XLOOKUP($I677,$A:$A,B:B)</f>
        <v>presencia</v>
      </c>
      <c r="K677">
        <f>_xlfn.XLOOKUP($I677,$A:$A,C:C)</f>
        <v>34</v>
      </c>
      <c r="L677">
        <f>_xlfn.XLOOKUP($I677,$A:$A,D:D)</f>
        <v>1</v>
      </c>
      <c r="M677" t="str">
        <f>_xlfn.XLOOKUP($I677,$A:$A,E:E)</f>
        <v>L2</v>
      </c>
    </row>
    <row r="678" spans="1:13" customFormat="1" ht="20.25">
      <c r="A678" s="34">
        <v>679</v>
      </c>
      <c r="B678" s="33" t="s">
        <v>758</v>
      </c>
      <c r="C678" s="34"/>
      <c r="D678" s="33">
        <v>6</v>
      </c>
      <c r="E678" s="33" t="s">
        <v>1416</v>
      </c>
      <c r="I678">
        <v>590</v>
      </c>
      <c r="J678" t="str">
        <f>_xlfn.XLOOKUP($I678,$A:$A,B:B)</f>
        <v>presenta</v>
      </c>
      <c r="K678">
        <f>_xlfn.XLOOKUP($I678,$A:$A,C:C)</f>
        <v>31</v>
      </c>
      <c r="L678">
        <f>_xlfn.XLOOKUP($I678,$A:$A,D:D)</f>
        <v>7</v>
      </c>
      <c r="M678" t="str">
        <f>_xlfn.XLOOKUP($I678,$A:$A,E:E)</f>
        <v>L2</v>
      </c>
    </row>
    <row r="679" spans="1:13" customFormat="1" ht="20.25">
      <c r="A679" s="34">
        <v>680</v>
      </c>
      <c r="B679" s="33" t="s">
        <v>759</v>
      </c>
      <c r="C679" s="34">
        <v>28</v>
      </c>
      <c r="D679" s="33">
        <v>2</v>
      </c>
      <c r="E679" s="33" t="s">
        <v>1416</v>
      </c>
      <c r="I679">
        <v>341</v>
      </c>
      <c r="J679" t="str">
        <f>_xlfn.XLOOKUP($I679,$A:$A,B:B)</f>
        <v>presidente</v>
      </c>
      <c r="K679">
        <f>_xlfn.XLOOKUP($I679,$A:$A,C:C)</f>
        <v>49</v>
      </c>
      <c r="L679">
        <f>_xlfn.XLOOKUP($I679,$A:$A,D:D)</f>
        <v>1</v>
      </c>
      <c r="M679" t="str">
        <f>_xlfn.XLOOKUP($I679,$A:$A,E:E)</f>
        <v>L2</v>
      </c>
    </row>
    <row r="680" spans="1:13" customFormat="1" ht="20.25">
      <c r="A680" s="34">
        <v>681</v>
      </c>
      <c r="B680" s="33" t="s">
        <v>760</v>
      </c>
      <c r="C680" s="34">
        <v>28</v>
      </c>
      <c r="D680" s="33">
        <v>5</v>
      </c>
      <c r="E680" s="33" t="s">
        <v>1416</v>
      </c>
      <c r="I680">
        <v>74</v>
      </c>
      <c r="J680" t="str">
        <f>_xlfn.XLOOKUP($I680,$A:$A,B:B)</f>
        <v>primer</v>
      </c>
      <c r="K680">
        <f>_xlfn.XLOOKUP($I680,$A:$A,C:C)</f>
        <v>168</v>
      </c>
      <c r="L680">
        <f>_xlfn.XLOOKUP($I680,$A:$A,D:D)</f>
        <v>7</v>
      </c>
      <c r="M680" t="str">
        <f>_xlfn.XLOOKUP($I680,$A:$A,E:E)</f>
        <v>L1</v>
      </c>
    </row>
    <row r="681" spans="1:13" customFormat="1" ht="20.25">
      <c r="A681" s="34">
        <v>682</v>
      </c>
      <c r="B681" s="33" t="s">
        <v>761</v>
      </c>
      <c r="C681" s="34">
        <v>28</v>
      </c>
      <c r="D681" s="33">
        <v>12</v>
      </c>
      <c r="E681" s="33" t="s">
        <v>1416</v>
      </c>
      <c r="I681">
        <v>64</v>
      </c>
      <c r="J681" t="str">
        <f>_xlfn.XLOOKUP($I681,$A:$A,B:B)</f>
        <v>primera</v>
      </c>
      <c r="K681">
        <f>_xlfn.XLOOKUP($I681,$A:$A,C:C)</f>
        <v>191</v>
      </c>
      <c r="L681">
        <f>_xlfn.XLOOKUP($I681,$A:$A,D:D)</f>
        <v>4</v>
      </c>
      <c r="M681" t="str">
        <f>_xlfn.XLOOKUP($I681,$A:$A,E:E)</f>
        <v>L1</v>
      </c>
    </row>
    <row r="682" spans="1:13" customFormat="1" ht="20.25">
      <c r="A682" s="34">
        <v>683</v>
      </c>
      <c r="B682" s="33" t="s">
        <v>762</v>
      </c>
      <c r="C682" s="34">
        <v>28</v>
      </c>
      <c r="D682" s="33">
        <v>4</v>
      </c>
      <c r="E682" s="33" t="s">
        <v>1413</v>
      </c>
      <c r="I682">
        <v>367</v>
      </c>
      <c r="J682" t="str">
        <f>_xlfn.XLOOKUP($I682,$A:$A,B:B)</f>
        <v>primeras</v>
      </c>
      <c r="K682">
        <f>_xlfn.XLOOKUP($I682,$A:$A,C:C)</f>
        <v>46</v>
      </c>
      <c r="L682">
        <f>_xlfn.XLOOKUP($I682,$A:$A,D:D)</f>
        <v>9</v>
      </c>
      <c r="M682" t="str">
        <f>_xlfn.XLOOKUP($I682,$A:$A,E:E)</f>
        <v>L1</v>
      </c>
    </row>
    <row r="683" spans="1:13" customFormat="1" ht="20.25">
      <c r="A683" s="34">
        <v>684</v>
      </c>
      <c r="B683" s="33" t="s">
        <v>763</v>
      </c>
      <c r="C683" s="34">
        <v>28</v>
      </c>
      <c r="D683" s="33">
        <v>3</v>
      </c>
      <c r="E683" s="33" t="s">
        <v>1416</v>
      </c>
      <c r="I683">
        <v>465</v>
      </c>
      <c r="J683" t="str">
        <f>_xlfn.XLOOKUP($I683,$A:$A,B:B)</f>
        <v>primero</v>
      </c>
      <c r="K683">
        <f>_xlfn.XLOOKUP($I683,$A:$A,C:C)</f>
        <v>0</v>
      </c>
      <c r="L683">
        <f>_xlfn.XLOOKUP($I683,$A:$A,D:D)</f>
        <v>4</v>
      </c>
      <c r="M683" t="str">
        <f>_xlfn.XLOOKUP($I683,$A:$A,E:E)</f>
        <v>L1</v>
      </c>
    </row>
    <row r="684" spans="1:13" customFormat="1" ht="20.25">
      <c r="A684" s="34">
        <v>685</v>
      </c>
      <c r="B684" s="33" t="s">
        <v>764</v>
      </c>
      <c r="C684" s="34">
        <v>28</v>
      </c>
      <c r="D684" s="33">
        <v>10</v>
      </c>
      <c r="E684" s="33" t="s">
        <v>1419</v>
      </c>
      <c r="I684">
        <v>279</v>
      </c>
      <c r="J684" t="str">
        <f>_xlfn.XLOOKUP($I684,$A:$A,B:B)</f>
        <v>primeros</v>
      </c>
      <c r="K684">
        <f>_xlfn.XLOOKUP($I684,$A:$A,C:C)</f>
        <v>57</v>
      </c>
      <c r="L684">
        <f>_xlfn.XLOOKUP($I684,$A:$A,D:D)</f>
        <v>9</v>
      </c>
      <c r="M684" t="str">
        <f>_xlfn.XLOOKUP($I684,$A:$A,E:E)</f>
        <v>L1</v>
      </c>
    </row>
    <row r="685" spans="1:13" customFormat="1" ht="20.25">
      <c r="A685" s="34">
        <v>686</v>
      </c>
      <c r="B685" s="33" t="s">
        <v>765</v>
      </c>
      <c r="C685" s="34">
        <v>28</v>
      </c>
      <c r="D685" s="33">
        <v>4</v>
      </c>
      <c r="E685" s="33" t="s">
        <v>1416</v>
      </c>
      <c r="I685">
        <v>213</v>
      </c>
      <c r="J685" t="str">
        <f>_xlfn.XLOOKUP($I685,$A:$A,B:B)</f>
        <v>principal</v>
      </c>
      <c r="K685">
        <f>_xlfn.XLOOKUP($I685,$A:$A,C:C)</f>
        <v>72</v>
      </c>
      <c r="L685">
        <f>_xlfn.XLOOKUP($I685,$A:$A,D:D)</f>
        <v>7</v>
      </c>
      <c r="M685" t="str">
        <f>_xlfn.XLOOKUP($I685,$A:$A,E:E)</f>
        <v>L2</v>
      </c>
    </row>
    <row r="686" spans="1:13" customFormat="1" ht="20.25">
      <c r="A686" s="34">
        <v>687</v>
      </c>
      <c r="B686" s="33" t="s">
        <v>766</v>
      </c>
      <c r="C686" s="34">
        <v>28</v>
      </c>
      <c r="D686" s="33">
        <v>7</v>
      </c>
      <c r="E686" s="33" t="s">
        <v>1419</v>
      </c>
      <c r="I686">
        <v>368</v>
      </c>
      <c r="J686" t="str">
        <f>_xlfn.XLOOKUP($I686,$A:$A,B:B)</f>
        <v>principales</v>
      </c>
      <c r="K686">
        <f>_xlfn.XLOOKUP($I686,$A:$A,C:C)</f>
        <v>46</v>
      </c>
      <c r="L686">
        <f>_xlfn.XLOOKUP($I686,$A:$A,D:D)</f>
        <v>2</v>
      </c>
      <c r="M686" t="str">
        <f>_xlfn.XLOOKUP($I686,$A:$A,E:E)</f>
        <v>L2</v>
      </c>
    </row>
    <row r="687" spans="1:13" customFormat="1" ht="20.25">
      <c r="A687" s="34">
        <v>688</v>
      </c>
      <c r="B687" s="33" t="s">
        <v>767</v>
      </c>
      <c r="C687" s="34">
        <v>28</v>
      </c>
      <c r="D687" s="33">
        <v>6</v>
      </c>
      <c r="E687" s="33" t="s">
        <v>1416</v>
      </c>
      <c r="I687">
        <v>543</v>
      </c>
      <c r="J687" t="str">
        <f>_xlfn.XLOOKUP($I687,$A:$A,B:B)</f>
        <v>principalmente</v>
      </c>
      <c r="K687">
        <f>_xlfn.XLOOKUP($I687,$A:$A,C:C)</f>
        <v>34</v>
      </c>
      <c r="L687">
        <f>_xlfn.XLOOKUP($I687,$A:$A,D:D)</f>
        <v>2</v>
      </c>
      <c r="M687" t="str">
        <f>_xlfn.XLOOKUP($I687,$A:$A,E:E)</f>
        <v>L2</v>
      </c>
    </row>
    <row r="688" spans="1:13" customFormat="1" ht="20.25">
      <c r="A688" s="34">
        <v>689</v>
      </c>
      <c r="B688" s="33" t="s">
        <v>768</v>
      </c>
      <c r="C688" s="34">
        <v>28</v>
      </c>
      <c r="D688" s="33">
        <v>8</v>
      </c>
      <c r="E688" s="33" t="s">
        <v>1419</v>
      </c>
      <c r="I688">
        <v>792</v>
      </c>
      <c r="J688" t="str">
        <f>_xlfn.XLOOKUP($I688,$A:$A,B:B)</f>
        <v>principio</v>
      </c>
      <c r="K688">
        <f>_xlfn.XLOOKUP($I688,$A:$A,C:C)</f>
        <v>25</v>
      </c>
      <c r="L688">
        <f>_xlfn.XLOOKUP($I688,$A:$A,D:D)</f>
        <v>9</v>
      </c>
      <c r="M688" t="str">
        <f>_xlfn.XLOOKUP($I688,$A:$A,E:E)</f>
        <v>L2</v>
      </c>
    </row>
    <row r="689" spans="1:13" customFormat="1" ht="20.25">
      <c r="A689" s="34">
        <v>690</v>
      </c>
      <c r="B689" s="33" t="s">
        <v>769</v>
      </c>
      <c r="C689" s="34">
        <v>28</v>
      </c>
      <c r="D689" s="33">
        <v>6</v>
      </c>
      <c r="E689" s="33" t="s">
        <v>1416</v>
      </c>
      <c r="I689">
        <v>624</v>
      </c>
      <c r="J689" t="str">
        <f>_xlfn.XLOOKUP($I689,$A:$A,B:B)</f>
        <v>principios</v>
      </c>
      <c r="K689">
        <f>_xlfn.XLOOKUP($I689,$A:$A,C:C)</f>
        <v>30</v>
      </c>
      <c r="L689">
        <f>_xlfn.XLOOKUP($I689,$A:$A,D:D)</f>
        <v>9</v>
      </c>
      <c r="M689" t="str">
        <f>_xlfn.XLOOKUP($I689,$A:$A,E:E)</f>
        <v>L3</v>
      </c>
    </row>
    <row r="690" spans="1:13" customFormat="1" ht="20.25">
      <c r="A690" s="34">
        <v>691</v>
      </c>
      <c r="B690" s="33" t="s">
        <v>770</v>
      </c>
      <c r="C690" s="34">
        <v>28</v>
      </c>
      <c r="D690" s="33">
        <v>4</v>
      </c>
      <c r="E690" s="33" t="s">
        <v>1416</v>
      </c>
      <c r="I690">
        <v>884</v>
      </c>
      <c r="J690" t="str">
        <f>_xlfn.XLOOKUP($I690,$A:$A,B:B)</f>
        <v>problema</v>
      </c>
      <c r="K690">
        <f>_xlfn.XLOOKUP($I690,$A:$A,C:C)</f>
        <v>23</v>
      </c>
      <c r="L690">
        <f>_xlfn.XLOOKUP($I690,$A:$A,D:D)</f>
        <v>12</v>
      </c>
      <c r="M690" t="str">
        <f>_xlfn.XLOOKUP($I690,$A:$A,E:E)</f>
        <v>L1</v>
      </c>
    </row>
    <row r="691" spans="1:13" customFormat="1" ht="20.25">
      <c r="A691" s="34"/>
      <c r="B691" s="33"/>
      <c r="C691" s="34"/>
      <c r="D691" s="33"/>
      <c r="E691" s="33"/>
      <c r="I691">
        <v>328</v>
      </c>
      <c r="J691" t="str">
        <f>_xlfn.XLOOKUP($I691,$A:$A,B:B)</f>
        <v>problemas</v>
      </c>
      <c r="K691">
        <f>_xlfn.XLOOKUP($I691,$A:$A,C:C)</f>
        <v>51</v>
      </c>
      <c r="L691">
        <f>_xlfn.XLOOKUP($I691,$A:$A,D:D)</f>
        <v>12</v>
      </c>
      <c r="M691" t="str">
        <f>_xlfn.XLOOKUP($I691,$A:$A,E:E)</f>
        <v>L2</v>
      </c>
    </row>
    <row r="692" spans="1:13" customFormat="1" ht="20.25">
      <c r="A692" s="34"/>
      <c r="B692" s="33"/>
      <c r="C692" s="34"/>
      <c r="D692" s="33"/>
      <c r="E692" s="33"/>
      <c r="I692">
        <v>285</v>
      </c>
      <c r="J692" t="str">
        <f>_xlfn.XLOOKUP($I692,$A:$A,B:B)</f>
        <v>proceso</v>
      </c>
      <c r="K692">
        <f>_xlfn.XLOOKUP($I692,$A:$A,C:C)</f>
        <v>56</v>
      </c>
      <c r="L692">
        <f>_xlfn.XLOOKUP($I692,$A:$A,D:D)</f>
        <v>6</v>
      </c>
      <c r="M692" t="str">
        <f>_xlfn.XLOOKUP($I692,$A:$A,E:E)</f>
        <v>L2</v>
      </c>
    </row>
    <row r="693" spans="1:13" customFormat="1" ht="20.25">
      <c r="A693" s="34"/>
      <c r="B693" s="33"/>
      <c r="C693" s="34"/>
      <c r="D693" s="33"/>
      <c r="E693" s="33"/>
      <c r="I693">
        <v>755</v>
      </c>
      <c r="J693" t="str">
        <f>_xlfn.XLOOKUP($I693,$A:$A,B:B)</f>
        <v>procesos</v>
      </c>
      <c r="K693">
        <f>_xlfn.XLOOKUP($I693,$A:$A,C:C)</f>
        <v>26</v>
      </c>
      <c r="L693">
        <f>_xlfn.XLOOKUP($I693,$A:$A,D:D)</f>
        <v>6</v>
      </c>
      <c r="M693" t="str">
        <f>_xlfn.XLOOKUP($I693,$A:$A,E:E)</f>
        <v>L3</v>
      </c>
    </row>
    <row r="694" spans="1:13" customFormat="1" ht="20.25">
      <c r="A694" s="34">
        <v>695</v>
      </c>
      <c r="B694" s="33" t="s">
        <v>774</v>
      </c>
      <c r="C694" s="34">
        <v>28</v>
      </c>
      <c r="D694" s="33">
        <v>9</v>
      </c>
      <c r="E694" s="33" t="s">
        <v>1413</v>
      </c>
      <c r="I694">
        <v>263</v>
      </c>
      <c r="J694" t="str">
        <f>_xlfn.XLOOKUP($I694,$A:$A,B:B)</f>
        <v>producción</v>
      </c>
      <c r="K694">
        <f>_xlfn.XLOOKUP($I694,$A:$A,C:C)</f>
        <v>61</v>
      </c>
      <c r="L694">
        <f>_xlfn.XLOOKUP($I694,$A:$A,D:D)</f>
        <v>5</v>
      </c>
      <c r="M694" t="str">
        <f>_xlfn.XLOOKUP($I694,$A:$A,E:E)</f>
        <v>L2</v>
      </c>
    </row>
    <row r="695" spans="1:13" customFormat="1" ht="20.25">
      <c r="A695" s="34"/>
      <c r="B695" s="33"/>
      <c r="C695" s="34"/>
      <c r="D695" s="33"/>
      <c r="E695" s="33"/>
      <c r="I695">
        <v>651</v>
      </c>
      <c r="J695" t="str">
        <f>_xlfn.XLOOKUP($I695,$A:$A,B:B)</f>
        <v>producto</v>
      </c>
      <c r="K695">
        <f>_xlfn.XLOOKUP($I695,$A:$A,C:C)</f>
        <v>29</v>
      </c>
      <c r="L695">
        <f>_xlfn.XLOOKUP($I695,$A:$A,D:D)</f>
        <v>2</v>
      </c>
      <c r="M695" t="str">
        <f>_xlfn.XLOOKUP($I695,$A:$A,E:E)</f>
        <v>L2</v>
      </c>
    </row>
    <row r="696" spans="1:13" customFormat="1" ht="20.25">
      <c r="A696" s="34"/>
      <c r="B696" s="33"/>
      <c r="C696" s="34"/>
      <c r="D696" s="33"/>
      <c r="E696" s="33"/>
      <c r="I696">
        <v>834</v>
      </c>
      <c r="J696" t="str">
        <f>_xlfn.XLOOKUP($I696,$A:$A,B:B)</f>
        <v>productos</v>
      </c>
      <c r="K696">
        <f>_xlfn.XLOOKUP($I696,$A:$A,C:C)</f>
        <v>24</v>
      </c>
      <c r="L696">
        <f>_xlfn.XLOOKUP($I696,$A:$A,D:D)</f>
        <v>5</v>
      </c>
      <c r="M696" t="str">
        <f>_xlfn.XLOOKUP($I696,$A:$A,E:E)</f>
        <v>L2</v>
      </c>
    </row>
    <row r="697" spans="1:13" customFormat="1" ht="20.25">
      <c r="A697" s="34">
        <v>698</v>
      </c>
      <c r="B697" s="33" t="s">
        <v>777</v>
      </c>
      <c r="C697" s="34">
        <v>28</v>
      </c>
      <c r="D697" s="33">
        <v>1</v>
      </c>
      <c r="E697" s="33" t="s">
        <v>1419</v>
      </c>
      <c r="I697">
        <v>885</v>
      </c>
      <c r="J697" t="str">
        <f>_xlfn.XLOOKUP($I697,$A:$A,B:B)</f>
        <v>profesional</v>
      </c>
      <c r="K697">
        <f>_xlfn.XLOOKUP($I697,$A:$A,C:C)</f>
        <v>23</v>
      </c>
      <c r="L697">
        <f>_xlfn.XLOOKUP($I697,$A:$A,D:D)</f>
        <v>5</v>
      </c>
      <c r="M697" t="str">
        <f>_xlfn.XLOOKUP($I697,$A:$A,E:E)</f>
        <v>L2</v>
      </c>
    </row>
    <row r="698" spans="1:13" customFormat="1" ht="20.25">
      <c r="A698" s="34">
        <v>699</v>
      </c>
      <c r="B698" s="33" t="s">
        <v>778</v>
      </c>
      <c r="C698" s="34">
        <v>28</v>
      </c>
      <c r="D698" s="33">
        <v>14</v>
      </c>
      <c r="E698" s="33" t="s">
        <v>1413</v>
      </c>
      <c r="I698">
        <v>835</v>
      </c>
      <c r="J698" t="str">
        <f>_xlfn.XLOOKUP($I698,$A:$A,B:B)</f>
        <v>profesor</v>
      </c>
      <c r="K698">
        <f>_xlfn.XLOOKUP($I698,$A:$A,C:C)</f>
        <v>24</v>
      </c>
      <c r="L698">
        <f>_xlfn.XLOOKUP($I698,$A:$A,D:D)</f>
        <v>7</v>
      </c>
      <c r="M698" t="str">
        <f>_xlfn.XLOOKUP($I698,$A:$A,E:E)</f>
        <v>L1</v>
      </c>
    </row>
    <row r="699" spans="1:13" customFormat="1" ht="20.25">
      <c r="A699" s="34">
        <v>700</v>
      </c>
      <c r="B699" s="33" t="s">
        <v>779</v>
      </c>
      <c r="C699" s="34">
        <v>28</v>
      </c>
      <c r="D699" s="33">
        <v>11</v>
      </c>
      <c r="E699" s="33" t="s">
        <v>1416</v>
      </c>
      <c r="I699">
        <v>286</v>
      </c>
      <c r="J699" t="str">
        <f>_xlfn.XLOOKUP($I699,$A:$A,B:B)</f>
        <v>programa</v>
      </c>
      <c r="K699">
        <f>_xlfn.XLOOKUP($I699,$A:$A,C:C)</f>
        <v>56</v>
      </c>
      <c r="L699">
        <f>_xlfn.XLOOKUP($I699,$A:$A,D:D)</f>
        <v>6</v>
      </c>
      <c r="M699" t="str">
        <f>_xlfn.XLOOKUP($I699,$A:$A,E:E)</f>
        <v>L2</v>
      </c>
    </row>
    <row r="700" spans="1:13" customFormat="1" ht="20.25">
      <c r="A700" s="34">
        <v>701</v>
      </c>
      <c r="B700" s="33" t="s">
        <v>780</v>
      </c>
      <c r="C700" s="34">
        <v>28</v>
      </c>
      <c r="D700" s="33">
        <v>12</v>
      </c>
      <c r="E700" s="33" t="s">
        <v>1413</v>
      </c>
      <c r="I700">
        <v>756</v>
      </c>
      <c r="J700" t="str">
        <f>_xlfn.XLOOKUP($I700,$A:$A,B:B)</f>
        <v>programas</v>
      </c>
      <c r="K700">
        <f>_xlfn.XLOOKUP($I700,$A:$A,C:C)</f>
        <v>26</v>
      </c>
      <c r="L700">
        <f>_xlfn.XLOOKUP($I700,$A:$A,D:D)</f>
        <v>6</v>
      </c>
      <c r="M700" t="str">
        <f>_xlfn.XLOOKUP($I700,$A:$A,E:E)</f>
        <v>L2</v>
      </c>
    </row>
    <row r="701" spans="1:13" customFormat="1" ht="20.25">
      <c r="A701" s="34">
        <v>702</v>
      </c>
      <c r="B701" s="33" t="s">
        <v>781</v>
      </c>
      <c r="C701" s="34">
        <v>28</v>
      </c>
      <c r="D701" s="33">
        <v>1</v>
      </c>
      <c r="E701" s="33" t="s">
        <v>1416</v>
      </c>
      <c r="I701">
        <v>793</v>
      </c>
      <c r="J701" t="str">
        <f>_xlfn.XLOOKUP($I701,$A:$A,B:B)</f>
        <v>promedio</v>
      </c>
      <c r="K701">
        <f>_xlfn.XLOOKUP($I701,$A:$A,C:C)</f>
        <v>25</v>
      </c>
      <c r="L701">
        <f>_xlfn.XLOOKUP($I701,$A:$A,D:D)</f>
        <v>2</v>
      </c>
      <c r="M701" t="str">
        <f>_xlfn.XLOOKUP($I701,$A:$A,E:E)</f>
        <v>L3</v>
      </c>
    </row>
    <row r="702" spans="1:13" customFormat="1" ht="20.25">
      <c r="A702" s="34">
        <v>703</v>
      </c>
      <c r="B702" s="33" t="s">
        <v>782</v>
      </c>
      <c r="C702" s="34">
        <v>28</v>
      </c>
      <c r="D702" s="33">
        <v>15</v>
      </c>
      <c r="E702" s="33" t="s">
        <v>1413</v>
      </c>
      <c r="I702">
        <v>529</v>
      </c>
      <c r="J702" t="str">
        <f>_xlfn.XLOOKUP($I702,$A:$A,B:B)</f>
        <v>propia</v>
      </c>
      <c r="K702">
        <f>_xlfn.XLOOKUP($I702,$A:$A,C:C)</f>
        <v>35</v>
      </c>
      <c r="L702">
        <f>_xlfn.XLOOKUP($I702,$A:$A,D:D)</f>
        <v>12</v>
      </c>
      <c r="M702" t="str">
        <f>_xlfn.XLOOKUP($I702,$A:$A,E:E)</f>
        <v>L2</v>
      </c>
    </row>
    <row r="703" spans="1:13" customFormat="1" ht="20.25">
      <c r="A703" s="34">
        <v>704</v>
      </c>
      <c r="B703" s="33" t="s">
        <v>783</v>
      </c>
      <c r="C703" s="34">
        <v>28</v>
      </c>
      <c r="D703" s="33">
        <v>5</v>
      </c>
      <c r="E703" s="33" t="s">
        <v>1419</v>
      </c>
      <c r="I703">
        <v>977</v>
      </c>
      <c r="J703" t="str">
        <f>_xlfn.XLOOKUP($I703,$A:$A,B:B)</f>
        <v>propias</v>
      </c>
      <c r="K703">
        <f>_xlfn.XLOOKUP($I703,$A:$A,C:C)</f>
        <v>21</v>
      </c>
      <c r="L703">
        <f>_xlfn.XLOOKUP($I703,$A:$A,D:D)</f>
        <v>12</v>
      </c>
      <c r="M703" t="str">
        <f>_xlfn.XLOOKUP($I703,$A:$A,E:E)</f>
        <v>L2</v>
      </c>
    </row>
    <row r="704" spans="1:13" customFormat="1" ht="20.25">
      <c r="A704" s="34">
        <v>705</v>
      </c>
      <c r="B704" s="33" t="s">
        <v>784</v>
      </c>
      <c r="C704" s="34">
        <v>27</v>
      </c>
      <c r="D704" s="33">
        <v>7</v>
      </c>
      <c r="E704" s="33" t="s">
        <v>1413</v>
      </c>
      <c r="I704">
        <v>836</v>
      </c>
      <c r="J704" t="str">
        <f>_xlfn.XLOOKUP($I704,$A:$A,B:B)</f>
        <v>propiedades</v>
      </c>
      <c r="K704">
        <f>_xlfn.XLOOKUP($I704,$A:$A,C:C)</f>
        <v>24</v>
      </c>
      <c r="L704">
        <f>_xlfn.XLOOKUP($I704,$A:$A,D:D)</f>
        <v>6</v>
      </c>
      <c r="M704" t="str">
        <f>_xlfn.XLOOKUP($I704,$A:$A,E:E)</f>
        <v>L3</v>
      </c>
    </row>
    <row r="705" spans="1:13" customFormat="1" ht="20.25">
      <c r="A705" s="34">
        <v>706</v>
      </c>
      <c r="B705" s="33" t="s">
        <v>785</v>
      </c>
      <c r="C705" s="34">
        <v>27</v>
      </c>
      <c r="D705" s="33">
        <v>6</v>
      </c>
      <c r="E705" s="33" t="s">
        <v>1419</v>
      </c>
      <c r="I705">
        <v>319</v>
      </c>
      <c r="J705" t="str">
        <f>_xlfn.XLOOKUP($I705,$A:$A,B:B)</f>
        <v>propio</v>
      </c>
      <c r="K705">
        <f>_xlfn.XLOOKUP($I705,$A:$A,C:C)</f>
        <v>51</v>
      </c>
      <c r="L705">
        <f>_xlfn.XLOOKUP($I705,$A:$A,D:D)</f>
        <v>12</v>
      </c>
      <c r="M705" t="str">
        <f>_xlfn.XLOOKUP($I705,$A:$A,E:E)</f>
        <v>L2</v>
      </c>
    </row>
    <row r="706" spans="1:13" customFormat="1" ht="20.25">
      <c r="A706" s="34">
        <v>707</v>
      </c>
      <c r="B706" s="33" t="s">
        <v>786</v>
      </c>
      <c r="C706" s="34">
        <v>27</v>
      </c>
      <c r="D706" s="33">
        <v>4</v>
      </c>
      <c r="E706" s="33" t="s">
        <v>1413</v>
      </c>
      <c r="I706">
        <v>933</v>
      </c>
      <c r="J706" t="str">
        <f>_xlfn.XLOOKUP($I706,$A:$A,B:B)</f>
        <v>propios</v>
      </c>
      <c r="K706">
        <f>_xlfn.XLOOKUP($I706,$A:$A,C:C)</f>
        <v>22</v>
      </c>
      <c r="L706">
        <f>_xlfn.XLOOKUP($I706,$A:$A,D:D)</f>
        <v>12</v>
      </c>
      <c r="M706" t="str">
        <f>_xlfn.XLOOKUP($I706,$A:$A,E:E)</f>
        <v>L2</v>
      </c>
    </row>
    <row r="707" spans="1:13" customFormat="1" ht="20.25">
      <c r="A707" s="34">
        <v>708</v>
      </c>
      <c r="B707" s="33" t="s">
        <v>787</v>
      </c>
      <c r="C707" s="34">
        <v>27</v>
      </c>
      <c r="D707" s="33">
        <v>6</v>
      </c>
      <c r="E707" s="33" t="s">
        <v>1416</v>
      </c>
      <c r="I707">
        <v>591</v>
      </c>
      <c r="J707" t="str">
        <f>_xlfn.XLOOKUP($I707,$A:$A,B:B)</f>
        <v>provincia</v>
      </c>
      <c r="K707">
        <f>_xlfn.XLOOKUP($I707,$A:$A,C:C)</f>
        <v>31</v>
      </c>
      <c r="L707">
        <f>_xlfn.XLOOKUP($I707,$A:$A,D:D)</f>
        <v>1</v>
      </c>
      <c r="M707" t="str">
        <f>_xlfn.XLOOKUP($I707,$A:$A,E:E)</f>
        <v>L2</v>
      </c>
    </row>
    <row r="708" spans="1:13" customFormat="1" ht="20.25">
      <c r="A708" s="34">
        <v>709</v>
      </c>
      <c r="B708" s="33" t="s">
        <v>788</v>
      </c>
      <c r="C708" s="34">
        <v>27</v>
      </c>
      <c r="D708" s="33">
        <v>3</v>
      </c>
      <c r="E708" s="33" t="s">
        <v>1416</v>
      </c>
      <c r="I708">
        <v>296</v>
      </c>
      <c r="J708" t="str">
        <f>_xlfn.XLOOKUP($I708,$A:$A,B:B)</f>
        <v>proyecto</v>
      </c>
      <c r="K708">
        <f>_xlfn.XLOOKUP($I708,$A:$A,C:C)</f>
        <v>0</v>
      </c>
      <c r="L708">
        <f>_xlfn.XLOOKUP($I708,$A:$A,D:D)</f>
        <v>5</v>
      </c>
      <c r="M708" t="str">
        <f>_xlfn.XLOOKUP($I708,$A:$A,E:E)</f>
        <v>L2</v>
      </c>
    </row>
    <row r="709" spans="1:13" customFormat="1" ht="20.25">
      <c r="A709" s="34">
        <v>710</v>
      </c>
      <c r="B709" s="33" t="s">
        <v>789</v>
      </c>
      <c r="C709" s="34">
        <v>27</v>
      </c>
      <c r="D709" s="33">
        <v>12</v>
      </c>
      <c r="E709" s="33" t="s">
        <v>1416</v>
      </c>
      <c r="I709">
        <v>934</v>
      </c>
      <c r="J709" t="str">
        <f>_xlfn.XLOOKUP($I709,$A:$A,B:B)</f>
        <v>proyectos</v>
      </c>
      <c r="K709">
        <f>_xlfn.XLOOKUP($I709,$A:$A,C:C)</f>
        <v>22</v>
      </c>
      <c r="L709">
        <f>_xlfn.XLOOKUP($I709,$A:$A,D:D)</f>
        <v>5</v>
      </c>
      <c r="M709" t="str">
        <f>_xlfn.XLOOKUP($I709,$A:$A,E:E)</f>
        <v>L2</v>
      </c>
    </row>
    <row r="710" spans="1:13" customFormat="1" ht="20.25">
      <c r="A710" s="34">
        <v>711</v>
      </c>
      <c r="B710" s="33" t="s">
        <v>790</v>
      </c>
      <c r="C710" s="34">
        <v>27</v>
      </c>
      <c r="D710" s="33">
        <v>15</v>
      </c>
      <c r="E710" s="33" t="s">
        <v>1413</v>
      </c>
      <c r="I710">
        <v>794</v>
      </c>
      <c r="J710" t="str">
        <f>_xlfn.XLOOKUP($I710,$A:$A,B:B)</f>
        <v>prueba</v>
      </c>
      <c r="K710">
        <f>_xlfn.XLOOKUP($I710,$A:$A,C:C)</f>
        <v>25</v>
      </c>
      <c r="L710">
        <f>_xlfn.XLOOKUP($I710,$A:$A,D:D)</f>
        <v>6</v>
      </c>
      <c r="M710" t="str">
        <f>_xlfn.XLOOKUP($I710,$A:$A,E:E)</f>
        <v>L2</v>
      </c>
    </row>
    <row r="711" spans="1:13" customFormat="1" ht="20.25">
      <c r="A711" s="34">
        <v>712</v>
      </c>
      <c r="B711" s="33" t="s">
        <v>791</v>
      </c>
      <c r="C711" s="34">
        <v>27</v>
      </c>
      <c r="D711" s="33">
        <v>10</v>
      </c>
      <c r="E711" s="33" t="s">
        <v>1416</v>
      </c>
      <c r="I711">
        <v>721</v>
      </c>
      <c r="J711" t="str">
        <f>_xlfn.XLOOKUP($I711,$A:$A,B:B)</f>
        <v>pruebas</v>
      </c>
      <c r="K711">
        <f>_xlfn.XLOOKUP($I711,$A:$A,C:C)</f>
        <v>27</v>
      </c>
      <c r="L711">
        <f>_xlfn.XLOOKUP($I711,$A:$A,D:D)</f>
        <v>8</v>
      </c>
      <c r="M711" t="str">
        <f>_xlfn.XLOOKUP($I711,$A:$A,E:E)</f>
        <v>L2</v>
      </c>
    </row>
    <row r="712" spans="1:13" customFormat="1" ht="20.25">
      <c r="A712" s="34">
        <v>713</v>
      </c>
      <c r="B712" s="33" t="s">
        <v>792</v>
      </c>
      <c r="C712" s="34">
        <v>27</v>
      </c>
      <c r="D712" s="33">
        <v>11</v>
      </c>
      <c r="E712" s="33" t="s">
        <v>1413</v>
      </c>
      <c r="I712">
        <v>889</v>
      </c>
      <c r="J712" t="str">
        <f>_xlfn.XLOOKUP($I712,$A:$A,B:B)</f>
        <v>pública</v>
      </c>
      <c r="K712">
        <f>_xlfn.XLOOKUP($I712,$A:$A,C:C)</f>
        <v>23</v>
      </c>
      <c r="L712">
        <f>_xlfn.XLOOKUP($I712,$A:$A,D:D)</f>
        <v>1</v>
      </c>
      <c r="M712" t="str">
        <f>_xlfn.XLOOKUP($I712,$A:$A,E:E)</f>
        <v>L2</v>
      </c>
    </row>
    <row r="713" spans="1:13" customFormat="1" ht="20.25">
      <c r="A713" s="34">
        <v>714</v>
      </c>
      <c r="B713" s="33" t="s">
        <v>793</v>
      </c>
      <c r="C713" s="34">
        <v>27</v>
      </c>
      <c r="D713" s="33">
        <v>9</v>
      </c>
      <c r="E713" s="33" t="s">
        <v>1416</v>
      </c>
      <c r="I713">
        <v>978</v>
      </c>
      <c r="J713" t="str">
        <f>_xlfn.XLOOKUP($I713,$A:$A,B:B)</f>
        <v>publicación</v>
      </c>
      <c r="K713">
        <f>_xlfn.XLOOKUP($I713,$A:$A,C:C)</f>
        <v>21</v>
      </c>
      <c r="L713">
        <f>_xlfn.XLOOKUP($I713,$A:$A,D:D)</f>
        <v>3</v>
      </c>
      <c r="M713" t="str">
        <f>_xlfn.XLOOKUP($I713,$A:$A,E:E)</f>
        <v>L2</v>
      </c>
    </row>
    <row r="714" spans="1:13" customFormat="1" ht="20.25">
      <c r="A714" s="34">
        <v>715</v>
      </c>
      <c r="B714" s="33" t="s">
        <v>794</v>
      </c>
      <c r="C714" s="34">
        <v>27</v>
      </c>
      <c r="D714" s="33">
        <v>2</v>
      </c>
      <c r="E714" s="33" t="s">
        <v>1413</v>
      </c>
      <c r="I714">
        <v>722</v>
      </c>
      <c r="J714" t="str">
        <f>_xlfn.XLOOKUP($I714,$A:$A,B:B)</f>
        <v>publicado</v>
      </c>
      <c r="K714">
        <f>_xlfn.XLOOKUP($I714,$A:$A,C:C)</f>
        <v>27</v>
      </c>
      <c r="L714">
        <f>_xlfn.XLOOKUP($I714,$A:$A,D:D)</f>
        <v>3</v>
      </c>
      <c r="M714" t="str">
        <f>_xlfn.XLOOKUP($I714,$A:$A,E:E)</f>
        <v>L2</v>
      </c>
    </row>
    <row r="715" spans="1:13" customFormat="1" ht="20.25">
      <c r="A715" s="34">
        <v>716</v>
      </c>
      <c r="B715" s="33" t="s">
        <v>795</v>
      </c>
      <c r="C715" s="34">
        <v>27</v>
      </c>
      <c r="D715" s="33">
        <v>6</v>
      </c>
      <c r="E715" s="33" t="s">
        <v>1416</v>
      </c>
      <c r="I715">
        <v>566</v>
      </c>
      <c r="J715" t="str">
        <f>_xlfn.XLOOKUP($I715,$A:$A,B:B)</f>
        <v>publicó</v>
      </c>
      <c r="K715">
        <f>_xlfn.XLOOKUP($I715,$A:$A,C:C)</f>
        <v>33</v>
      </c>
      <c r="L715">
        <f>_xlfn.XLOOKUP($I715,$A:$A,D:D)</f>
        <v>7</v>
      </c>
      <c r="M715" t="str">
        <f>_xlfn.XLOOKUP($I715,$A:$A,E:E)</f>
        <v>L2</v>
      </c>
    </row>
    <row r="716" spans="1:13" customFormat="1" ht="20.25">
      <c r="A716" s="34">
        <v>717</v>
      </c>
      <c r="B716" s="33" t="s">
        <v>796</v>
      </c>
      <c r="C716" s="34">
        <v>27</v>
      </c>
      <c r="D716" s="33">
        <v>13</v>
      </c>
      <c r="E716" s="33" t="s">
        <v>1413</v>
      </c>
      <c r="I716">
        <v>303</v>
      </c>
      <c r="J716" t="str">
        <f>_xlfn.XLOOKUP($I716,$A:$A,B:B)</f>
        <v>público</v>
      </c>
      <c r="K716">
        <f>_xlfn.XLOOKUP($I716,$A:$A,C:C)</f>
        <v>55</v>
      </c>
      <c r="L716">
        <f>_xlfn.XLOOKUP($I716,$A:$A,D:D)</f>
        <v>12</v>
      </c>
      <c r="M716" t="str">
        <f>_xlfn.XLOOKUP($I716,$A:$A,E:E)</f>
        <v>L2</v>
      </c>
    </row>
    <row r="717" spans="1:13" customFormat="1" ht="20.25">
      <c r="A717" s="34">
        <v>718</v>
      </c>
      <c r="B717" s="33" t="s">
        <v>797</v>
      </c>
      <c r="C717" s="34">
        <v>27</v>
      </c>
      <c r="D717" s="33">
        <v>15</v>
      </c>
      <c r="E717" s="33" t="s">
        <v>1413</v>
      </c>
      <c r="I717">
        <v>466</v>
      </c>
      <c r="J717" t="str">
        <f>_xlfn.XLOOKUP($I717,$A:$A,B:B)</f>
        <v>pudo</v>
      </c>
      <c r="K717">
        <f>_xlfn.XLOOKUP($I717,$A:$A,C:C)</f>
        <v>0</v>
      </c>
      <c r="L717">
        <f>_xlfn.XLOOKUP($I717,$A:$A,D:D)</f>
        <v>9</v>
      </c>
      <c r="M717" t="str">
        <f>_xlfn.XLOOKUP($I717,$A:$A,E:E)</f>
        <v>L2</v>
      </c>
    </row>
    <row r="718" spans="1:13" customFormat="1" ht="20.25">
      <c r="A718" s="34">
        <v>719</v>
      </c>
      <c r="B718" s="33" t="s">
        <v>798</v>
      </c>
      <c r="C718" s="34">
        <v>27</v>
      </c>
      <c r="D718" s="33">
        <v>15</v>
      </c>
      <c r="E718" s="33" t="s">
        <v>1413</v>
      </c>
      <c r="I718">
        <v>273</v>
      </c>
      <c r="J718" t="str">
        <f>_xlfn.XLOOKUP($I718,$A:$A,B:B)</f>
        <v>pueblo</v>
      </c>
      <c r="K718">
        <f>_xlfn.XLOOKUP($I718,$A:$A,C:C)</f>
        <v>58</v>
      </c>
      <c r="L718">
        <f>_xlfn.XLOOKUP($I718,$A:$A,D:D)</f>
        <v>12</v>
      </c>
      <c r="M718" t="str">
        <f>_xlfn.XLOOKUP($I718,$A:$A,E:E)</f>
        <v>L2</v>
      </c>
    </row>
    <row r="719" spans="1:13" customFormat="1" ht="20.25">
      <c r="A719" s="34">
        <v>720</v>
      </c>
      <c r="B719" s="33" t="s">
        <v>799</v>
      </c>
      <c r="C719" s="34">
        <v>27</v>
      </c>
      <c r="D719" s="33">
        <v>9</v>
      </c>
      <c r="E719" s="33" t="s">
        <v>1419</v>
      </c>
      <c r="I719">
        <v>52</v>
      </c>
      <c r="J719" t="str">
        <f>_xlfn.XLOOKUP($I719,$A:$A,B:B)</f>
        <v>puede</v>
      </c>
      <c r="K719">
        <f>_xlfn.XLOOKUP($I719,$A:$A,C:C)</f>
        <v>236</v>
      </c>
      <c r="L719">
        <f>_xlfn.XLOOKUP($I719,$A:$A,D:D)</f>
        <v>6</v>
      </c>
      <c r="M719" t="str">
        <f>_xlfn.XLOOKUP($I719,$A:$A,E:E)</f>
        <v>L1</v>
      </c>
    </row>
    <row r="720" spans="1:13" customFormat="1" ht="20.25">
      <c r="A720" s="34">
        <v>721</v>
      </c>
      <c r="B720" s="33" t="s">
        <v>800</v>
      </c>
      <c r="C720" s="34">
        <v>27</v>
      </c>
      <c r="D720" s="33">
        <v>8</v>
      </c>
      <c r="E720" s="33" t="s">
        <v>1416</v>
      </c>
      <c r="I720">
        <v>89</v>
      </c>
      <c r="J720" t="str">
        <f>_xlfn.XLOOKUP($I720,$A:$A,B:B)</f>
        <v>pueden</v>
      </c>
      <c r="K720">
        <f>_xlfn.XLOOKUP($I720,$A:$A,C:C)</f>
        <v>136</v>
      </c>
      <c r="L720">
        <f>_xlfn.XLOOKUP($I720,$A:$A,D:D)</f>
        <v>6</v>
      </c>
      <c r="M720" t="str">
        <f>_xlfn.XLOOKUP($I720,$A:$A,E:E)</f>
        <v>L1</v>
      </c>
    </row>
    <row r="721" spans="1:13" customFormat="1" ht="20.25">
      <c r="A721" s="34">
        <v>722</v>
      </c>
      <c r="B721" s="33" t="s">
        <v>801</v>
      </c>
      <c r="C721" s="34">
        <v>27</v>
      </c>
      <c r="D721" s="33">
        <v>3</v>
      </c>
      <c r="E721" s="33" t="s">
        <v>1416</v>
      </c>
      <c r="I721">
        <v>887</v>
      </c>
      <c r="J721" t="str">
        <f>_xlfn.XLOOKUP($I721,$A:$A,B:B)</f>
        <v>puente</v>
      </c>
      <c r="K721">
        <f>_xlfn.XLOOKUP($I721,$A:$A,C:C)</f>
        <v>23</v>
      </c>
      <c r="L721">
        <f>_xlfn.XLOOKUP($I721,$A:$A,D:D)</f>
        <v>10</v>
      </c>
      <c r="M721" t="str">
        <f>_xlfn.XLOOKUP($I721,$A:$A,E:E)</f>
        <v>L2</v>
      </c>
    </row>
    <row r="722" spans="1:13" customFormat="1" ht="20.25">
      <c r="A722" s="34">
        <v>723</v>
      </c>
      <c r="B722" s="33" t="s">
        <v>802</v>
      </c>
      <c r="C722" s="34">
        <v>27</v>
      </c>
      <c r="D722" s="33">
        <v>3</v>
      </c>
      <c r="E722" s="33" t="s">
        <v>1413</v>
      </c>
      <c r="I722">
        <v>419</v>
      </c>
      <c r="J722" t="str">
        <f>_xlfn.XLOOKUP($I722,$A:$A,B:B)</f>
        <v>pues</v>
      </c>
      <c r="K722">
        <f>_xlfn.XLOOKUP($I722,$A:$A,C:C)</f>
        <v>0</v>
      </c>
      <c r="L722">
        <f>_xlfn.XLOOKUP($I722,$A:$A,D:D)</f>
        <v>12</v>
      </c>
      <c r="M722" t="str">
        <f>_xlfn.XLOOKUP($I722,$A:$A,E:E)</f>
        <v>L1</v>
      </c>
    </row>
    <row r="723" spans="1:13" customFormat="1" ht="20.25">
      <c r="A723" s="34">
        <v>724</v>
      </c>
      <c r="B723" s="33" t="s">
        <v>803</v>
      </c>
      <c r="C723" s="34">
        <v>27</v>
      </c>
      <c r="D723" s="33">
        <v>8</v>
      </c>
      <c r="E723" s="33" t="s">
        <v>1416</v>
      </c>
      <c r="I723">
        <v>382</v>
      </c>
      <c r="J723" t="str">
        <f>_xlfn.XLOOKUP($I723,$A:$A,B:B)</f>
        <v>puesto</v>
      </c>
      <c r="K723">
        <f>_xlfn.XLOOKUP($I723,$A:$A,C:C)</f>
        <v>45</v>
      </c>
      <c r="L723">
        <f>_xlfn.XLOOKUP($I723,$A:$A,D:D)</f>
        <v>5</v>
      </c>
      <c r="M723" t="str">
        <f>_xlfn.XLOOKUP($I723,$A:$A,E:E)</f>
        <v>L2</v>
      </c>
    </row>
    <row r="724" spans="1:13" customFormat="1" ht="20.25">
      <c r="A724" s="34">
        <v>725</v>
      </c>
      <c r="B724" s="33" t="s">
        <v>804</v>
      </c>
      <c r="C724" s="34">
        <v>27</v>
      </c>
      <c r="D724" s="33">
        <v>15</v>
      </c>
      <c r="E724" s="33" t="s">
        <v>1413</v>
      </c>
      <c r="I724">
        <v>222</v>
      </c>
      <c r="J724" t="str">
        <f>_xlfn.XLOOKUP($I724,$A:$A,B:B)</f>
        <v>punto</v>
      </c>
      <c r="K724">
        <f>_xlfn.XLOOKUP($I724,$A:$A,C:C)</f>
        <v>70</v>
      </c>
      <c r="L724">
        <f>_xlfn.XLOOKUP($I724,$A:$A,D:D)</f>
        <v>2</v>
      </c>
      <c r="M724" t="str">
        <f>_xlfn.XLOOKUP($I724,$A:$A,E:E)</f>
        <v>L2</v>
      </c>
    </row>
    <row r="725" spans="1:13" customFormat="1" ht="20.25">
      <c r="A725" s="34">
        <v>726</v>
      </c>
      <c r="B725" s="33" t="s">
        <v>805</v>
      </c>
      <c r="C725" s="34">
        <v>27</v>
      </c>
      <c r="D725" s="33">
        <v>15</v>
      </c>
      <c r="E725" s="33" t="s">
        <v>1413</v>
      </c>
      <c r="I725">
        <v>309</v>
      </c>
      <c r="J725" t="str">
        <f>_xlfn.XLOOKUP($I725,$A:$A,B:B)</f>
        <v>puntos</v>
      </c>
      <c r="K725">
        <f>_xlfn.XLOOKUP($I725,$A:$A,C:C)</f>
        <v>54</v>
      </c>
      <c r="L725">
        <f>_xlfn.XLOOKUP($I725,$A:$A,D:D)</f>
        <v>4</v>
      </c>
      <c r="M725" t="str">
        <f>_xlfn.XLOOKUP($I725,$A:$A,E:E)</f>
        <v>L2</v>
      </c>
    </row>
    <row r="726" spans="1:13" customFormat="1" ht="20.25">
      <c r="A726" s="34">
        <v>727</v>
      </c>
      <c r="B726" s="33" t="s">
        <v>806</v>
      </c>
      <c r="C726" s="34">
        <v>27</v>
      </c>
      <c r="D726" s="33">
        <v>3</v>
      </c>
      <c r="E726" s="33" t="s">
        <v>1413</v>
      </c>
      <c r="I726">
        <v>6</v>
      </c>
      <c r="J726" t="str">
        <f>_xlfn.XLOOKUP($I726,$A:$A,B:B)</f>
        <v>que</v>
      </c>
      <c r="K726">
        <f>_xlfn.XLOOKUP($I726,$A:$A,C:C)</f>
        <v>4171</v>
      </c>
      <c r="L726">
        <f>_xlfn.XLOOKUP($I726,$A:$A,D:D)</f>
        <v>12</v>
      </c>
      <c r="M726" t="str">
        <f>_xlfn.XLOOKUP($I726,$A:$A,E:E)</f>
        <v>L1</v>
      </c>
    </row>
    <row r="727" spans="1:13" customFormat="1" ht="20.25">
      <c r="A727" s="34">
        <v>728</v>
      </c>
      <c r="B727" s="33" t="s">
        <v>807</v>
      </c>
      <c r="C727" s="34">
        <v>27</v>
      </c>
      <c r="D727" s="33">
        <v>13</v>
      </c>
      <c r="E727" s="33" t="s">
        <v>1413</v>
      </c>
      <c r="I727">
        <v>653</v>
      </c>
      <c r="J727" t="str">
        <f>_xlfn.XLOOKUP($I727,$A:$A,B:B)</f>
        <v>qué</v>
      </c>
      <c r="K727">
        <f>_xlfn.XLOOKUP($I727,$A:$A,C:C)</f>
        <v>29</v>
      </c>
      <c r="L727">
        <f>_xlfn.XLOOKUP($I727,$A:$A,D:D)</f>
        <v>12</v>
      </c>
      <c r="M727" t="str">
        <f>_xlfn.XLOOKUP($I727,$A:$A,E:E)</f>
        <v>L1</v>
      </c>
    </row>
    <row r="728" spans="1:13" customFormat="1" ht="20.25">
      <c r="A728" s="34">
        <v>729</v>
      </c>
      <c r="B728" s="33" t="s">
        <v>808</v>
      </c>
      <c r="C728" s="34">
        <v>27</v>
      </c>
      <c r="D728" s="33">
        <v>3</v>
      </c>
      <c r="E728" s="33" t="s">
        <v>1413</v>
      </c>
      <c r="I728">
        <v>652</v>
      </c>
      <c r="J728" t="str">
        <f>_xlfn.XLOOKUP($I728,$A:$A,B:B)</f>
        <v>queda</v>
      </c>
      <c r="K728">
        <f>_xlfn.XLOOKUP($I728,$A:$A,C:C)</f>
        <v>29</v>
      </c>
      <c r="L728">
        <f>_xlfn.XLOOKUP($I728,$A:$A,D:D)</f>
        <v>14</v>
      </c>
      <c r="M728" t="str">
        <f>_xlfn.XLOOKUP($I728,$A:$A,E:E)</f>
        <v>L2</v>
      </c>
    </row>
    <row r="729" spans="1:13" customFormat="1" ht="20.25">
      <c r="A729" s="34">
        <v>730</v>
      </c>
      <c r="B729" s="33" t="s">
        <v>809</v>
      </c>
      <c r="C729" s="34">
        <v>27</v>
      </c>
      <c r="D729" s="33">
        <v>10</v>
      </c>
      <c r="E729" s="33" t="s">
        <v>1416</v>
      </c>
      <c r="I729">
        <v>686</v>
      </c>
      <c r="J729" t="str">
        <f>_xlfn.XLOOKUP($I729,$A:$A,B:B)</f>
        <v>quedó</v>
      </c>
      <c r="K729">
        <f>_xlfn.XLOOKUP($I729,$A:$A,C:C)</f>
        <v>28</v>
      </c>
      <c r="L729">
        <f>_xlfn.XLOOKUP($I729,$A:$A,D:D)</f>
        <v>4</v>
      </c>
      <c r="M729" t="str">
        <f>_xlfn.XLOOKUP($I729,$A:$A,E:E)</f>
        <v>L2</v>
      </c>
    </row>
    <row r="730" spans="1:13" customFormat="1" ht="20.25">
      <c r="A730" s="34">
        <v>731</v>
      </c>
      <c r="B730" s="33" t="s">
        <v>810</v>
      </c>
      <c r="C730" s="34">
        <v>27</v>
      </c>
      <c r="D730" s="33">
        <v>9</v>
      </c>
      <c r="E730" s="33" t="s">
        <v>1416</v>
      </c>
      <c r="I730">
        <v>122</v>
      </c>
      <c r="J730" t="str">
        <f>_xlfn.XLOOKUP($I730,$A:$A,B:B)</f>
        <v>quien</v>
      </c>
      <c r="K730">
        <f>_xlfn.XLOOKUP($I730,$A:$A,C:C)</f>
        <v>106</v>
      </c>
      <c r="L730">
        <f>_xlfn.XLOOKUP($I730,$A:$A,D:D)</f>
        <v>12</v>
      </c>
      <c r="M730" t="str">
        <f>_xlfn.XLOOKUP($I730,$A:$A,E:E)</f>
        <v>L1</v>
      </c>
    </row>
    <row r="731" spans="1:13" customFormat="1" ht="20.25">
      <c r="A731" s="34">
        <v>732</v>
      </c>
      <c r="B731" s="33" t="s">
        <v>811</v>
      </c>
      <c r="C731" s="34">
        <v>27</v>
      </c>
      <c r="D731" s="33">
        <v>12</v>
      </c>
      <c r="E731" s="33" t="s">
        <v>1419</v>
      </c>
      <c r="I731">
        <v>979</v>
      </c>
      <c r="J731" t="str">
        <f>_xlfn.XLOOKUP($I731,$A:$A,B:B)</f>
        <v>quienes</v>
      </c>
      <c r="K731">
        <f>_xlfn.XLOOKUP($I731,$A:$A,C:C)</f>
        <v>21</v>
      </c>
      <c r="L731">
        <f>_xlfn.XLOOKUP($I731,$A:$A,D:D)</f>
        <v>12</v>
      </c>
      <c r="M731" t="str">
        <f>_xlfn.XLOOKUP($I731,$A:$A,E:E)</f>
        <v>L1</v>
      </c>
    </row>
    <row r="732" spans="1:13" customFormat="1" ht="20.25">
      <c r="A732" s="34">
        <v>733</v>
      </c>
      <c r="B732" s="33" t="s">
        <v>812</v>
      </c>
      <c r="C732" s="34">
        <v>27</v>
      </c>
      <c r="D732" s="33">
        <v>9</v>
      </c>
      <c r="E732" s="33" t="s">
        <v>1413</v>
      </c>
      <c r="I732">
        <v>592</v>
      </c>
      <c r="J732" t="str">
        <f>_xlfn.XLOOKUP($I732,$A:$A,B:B)</f>
        <v>radio</v>
      </c>
      <c r="K732">
        <f>_xlfn.XLOOKUP($I732,$A:$A,C:C)</f>
        <v>31</v>
      </c>
      <c r="L732">
        <f>_xlfn.XLOOKUP($I732,$A:$A,D:D)</f>
        <v>3</v>
      </c>
      <c r="M732" t="str">
        <f>_xlfn.XLOOKUP($I732,$A:$A,E:E)</f>
        <v>L2</v>
      </c>
    </row>
    <row r="733" spans="1:13" customFormat="1" ht="20.25">
      <c r="A733" s="34">
        <v>734</v>
      </c>
      <c r="B733" s="33" t="s">
        <v>813</v>
      </c>
      <c r="C733" s="34">
        <v>27</v>
      </c>
      <c r="D733" s="33">
        <v>15</v>
      </c>
      <c r="E733" s="33" t="s">
        <v>1416</v>
      </c>
      <c r="I733">
        <v>758</v>
      </c>
      <c r="J733" t="str">
        <f>_xlfn.XLOOKUP($I733,$A:$A,B:B)</f>
        <v>rápidamente</v>
      </c>
      <c r="K733">
        <f>_xlfn.XLOOKUP($I733,$A:$A,C:C)</f>
        <v>26</v>
      </c>
      <c r="L733">
        <f>_xlfn.XLOOKUP($I733,$A:$A,D:D)</f>
        <v>14</v>
      </c>
      <c r="M733" t="str">
        <f>_xlfn.XLOOKUP($I733,$A:$A,E:E)</f>
        <v>L2</v>
      </c>
    </row>
    <row r="734" spans="1:13" customFormat="1" ht="20.25">
      <c r="A734" s="34">
        <v>735</v>
      </c>
      <c r="B734" s="33" t="s">
        <v>814</v>
      </c>
      <c r="C734" s="34">
        <v>27</v>
      </c>
      <c r="D734" s="33">
        <v>1</v>
      </c>
      <c r="E734" s="33" t="s">
        <v>1416</v>
      </c>
      <c r="I734">
        <v>890</v>
      </c>
      <c r="J734" t="str">
        <f>_xlfn.XLOOKUP($I734,$A:$A,B:B)</f>
        <v>real</v>
      </c>
      <c r="K734">
        <f>_xlfn.XLOOKUP($I734,$A:$A,C:C)</f>
        <v>23</v>
      </c>
      <c r="L734">
        <f>_xlfn.XLOOKUP($I734,$A:$A,D:D)</f>
        <v>15</v>
      </c>
      <c r="M734" t="str">
        <f>_xlfn.XLOOKUP($I734,$A:$A,E:E)</f>
        <v>L1</v>
      </c>
    </row>
    <row r="735" spans="1:13" customFormat="1" ht="20.25">
      <c r="A735" s="34">
        <v>736</v>
      </c>
      <c r="B735" s="33" t="s">
        <v>815</v>
      </c>
      <c r="C735" s="34">
        <v>27</v>
      </c>
      <c r="D735" s="33">
        <v>2</v>
      </c>
      <c r="E735" s="33" t="s">
        <v>1416</v>
      </c>
      <c r="I735">
        <v>654</v>
      </c>
      <c r="J735" t="str">
        <f>_xlfn.XLOOKUP($I735,$A:$A,B:B)</f>
        <v>realidad</v>
      </c>
      <c r="K735">
        <f>_xlfn.XLOOKUP($I735,$A:$A,C:C)</f>
        <v>29</v>
      </c>
      <c r="L735">
        <f>_xlfn.XLOOKUP($I735,$A:$A,D:D)</f>
        <v>12</v>
      </c>
      <c r="M735" t="str">
        <f>_xlfn.XLOOKUP($I735,$A:$A,E:E)</f>
        <v>L2</v>
      </c>
    </row>
    <row r="736" spans="1:13" customFormat="1" ht="20.25">
      <c r="A736" s="34">
        <v>737</v>
      </c>
      <c r="B736" s="33" t="s">
        <v>816</v>
      </c>
      <c r="C736" s="34">
        <v>27</v>
      </c>
      <c r="D736" s="33">
        <v>7</v>
      </c>
      <c r="E736" s="33" t="s">
        <v>1413</v>
      </c>
      <c r="I736">
        <v>687</v>
      </c>
      <c r="J736" t="str">
        <f>_xlfn.XLOOKUP($I736,$A:$A,B:B)</f>
        <v>realizado</v>
      </c>
      <c r="K736">
        <f>_xlfn.XLOOKUP($I736,$A:$A,C:C)</f>
        <v>28</v>
      </c>
      <c r="L736">
        <f>_xlfn.XLOOKUP($I736,$A:$A,D:D)</f>
        <v>7</v>
      </c>
      <c r="M736" t="str">
        <f>_xlfn.XLOOKUP($I736,$A:$A,E:E)</f>
        <v>L3</v>
      </c>
    </row>
    <row r="737" spans="1:13" customFormat="1" ht="20.25">
      <c r="A737" s="34">
        <v>738</v>
      </c>
      <c r="B737" s="33" t="s">
        <v>817</v>
      </c>
      <c r="C737" s="34">
        <v>27</v>
      </c>
      <c r="D737" s="33">
        <v>3</v>
      </c>
      <c r="E737" s="33" t="s">
        <v>1416</v>
      </c>
      <c r="I737">
        <v>342</v>
      </c>
      <c r="J737" t="str">
        <f>_xlfn.XLOOKUP($I737,$A:$A,B:B)</f>
        <v>realizar</v>
      </c>
      <c r="K737">
        <f>_xlfn.XLOOKUP($I737,$A:$A,C:C)</f>
        <v>49</v>
      </c>
      <c r="L737">
        <f>_xlfn.XLOOKUP($I737,$A:$A,D:D)</f>
        <v>5</v>
      </c>
      <c r="M737" t="str">
        <f>_xlfn.XLOOKUP($I737,$A:$A,E:E)</f>
        <v>L2</v>
      </c>
    </row>
    <row r="738" spans="1:13" customFormat="1" ht="20.25">
      <c r="A738" s="34">
        <v>739</v>
      </c>
      <c r="B738" s="33" t="s">
        <v>818</v>
      </c>
      <c r="C738" s="34">
        <v>27</v>
      </c>
      <c r="D738" s="33">
        <v>7</v>
      </c>
      <c r="E738" s="33" t="s">
        <v>1419</v>
      </c>
      <c r="I738">
        <v>435</v>
      </c>
      <c r="J738" t="str">
        <f>_xlfn.XLOOKUP($I738,$A:$A,B:B)</f>
        <v>realizó</v>
      </c>
      <c r="K738">
        <f>_xlfn.XLOOKUP($I738,$A:$A,C:C)</f>
        <v>40</v>
      </c>
      <c r="L738">
        <f>_xlfn.XLOOKUP($I738,$A:$A,D:D)</f>
        <v>7</v>
      </c>
      <c r="M738" t="str">
        <f>_xlfn.XLOOKUP($I738,$A:$A,E:E)</f>
        <v>L2</v>
      </c>
    </row>
    <row r="739" spans="1:13" customFormat="1" ht="20.25">
      <c r="A739" s="34">
        <v>740</v>
      </c>
      <c r="B739" s="33" t="s">
        <v>819</v>
      </c>
      <c r="C739" s="34">
        <v>26</v>
      </c>
      <c r="D739" s="33">
        <v>12</v>
      </c>
      <c r="E739" s="33" t="s">
        <v>1416</v>
      </c>
      <c r="I739">
        <v>935</v>
      </c>
      <c r="J739" t="str">
        <f>_xlfn.XLOOKUP($I739,$A:$A,B:B)</f>
        <v>recibido</v>
      </c>
      <c r="K739">
        <f>_xlfn.XLOOKUP($I739,$A:$A,C:C)</f>
        <v>22</v>
      </c>
      <c r="L739">
        <f>_xlfn.XLOOKUP($I739,$A:$A,D:D)</f>
        <v>5</v>
      </c>
      <c r="M739" t="str">
        <f>_xlfn.XLOOKUP($I739,$A:$A,E:E)</f>
        <v>L2</v>
      </c>
    </row>
    <row r="740" spans="1:13" customFormat="1" ht="20.25">
      <c r="A740" s="34">
        <v>741</v>
      </c>
      <c r="B740" s="33" t="s">
        <v>820</v>
      </c>
      <c r="C740" s="34">
        <v>26</v>
      </c>
      <c r="D740" s="33">
        <v>14</v>
      </c>
      <c r="E740" s="33" t="s">
        <v>1413</v>
      </c>
      <c r="I740">
        <v>499</v>
      </c>
      <c r="J740" t="str">
        <f>_xlfn.XLOOKUP($I740,$A:$A,B:B)</f>
        <v>recibió</v>
      </c>
      <c r="K740">
        <f>_xlfn.XLOOKUP($I740,$A:$A,C:C)</f>
        <v>37</v>
      </c>
      <c r="L740">
        <f>_xlfn.XLOOKUP($I740,$A:$A,D:D)</f>
        <v>3</v>
      </c>
      <c r="M740" t="str">
        <f>_xlfn.XLOOKUP($I740,$A:$A,E:E)</f>
        <v>L2</v>
      </c>
    </row>
    <row r="741" spans="1:13" customFormat="1" ht="20.25">
      <c r="A741" s="34">
        <v>742</v>
      </c>
      <c r="B741" s="33" t="s">
        <v>821</v>
      </c>
      <c r="C741" s="34">
        <v>26</v>
      </c>
      <c r="D741" s="33">
        <v>12</v>
      </c>
      <c r="E741" s="33" t="s">
        <v>1419</v>
      </c>
      <c r="I741">
        <v>688</v>
      </c>
      <c r="J741" t="str">
        <f>_xlfn.XLOOKUP($I741,$A:$A,B:B)</f>
        <v>red</v>
      </c>
      <c r="K741">
        <f>_xlfn.XLOOKUP($I741,$A:$A,C:C)</f>
        <v>28</v>
      </c>
      <c r="L741">
        <f>_xlfn.XLOOKUP($I741,$A:$A,D:D)</f>
        <v>6</v>
      </c>
      <c r="M741" t="str">
        <f>_xlfn.XLOOKUP($I741,$A:$A,E:E)</f>
        <v>L2</v>
      </c>
    </row>
    <row r="742" spans="1:13" customFormat="1" ht="20.25">
      <c r="A742" s="34">
        <v>743</v>
      </c>
      <c r="B742" s="33" t="s">
        <v>822</v>
      </c>
      <c r="C742" s="34">
        <v>26</v>
      </c>
      <c r="D742" s="33">
        <v>15</v>
      </c>
      <c r="E742" s="33" t="s">
        <v>1413</v>
      </c>
      <c r="I742">
        <v>757</v>
      </c>
      <c r="J742" t="str">
        <f>_xlfn.XLOOKUP($I742,$A:$A,B:B)</f>
        <v>referencia</v>
      </c>
      <c r="K742">
        <f>_xlfn.XLOOKUP($I742,$A:$A,C:C)</f>
        <v>26</v>
      </c>
      <c r="L742">
        <f>_xlfn.XLOOKUP($I742,$A:$A,D:D)</f>
        <v>7</v>
      </c>
      <c r="M742" t="str">
        <f>_xlfn.XLOOKUP($I742,$A:$A,E:E)</f>
        <v>L3</v>
      </c>
    </row>
    <row r="743" spans="1:13" customFormat="1" ht="20.25">
      <c r="A743" s="34">
        <v>744</v>
      </c>
      <c r="B743" s="33" t="s">
        <v>823</v>
      </c>
      <c r="C743" s="34">
        <v>26</v>
      </c>
      <c r="D743" s="33">
        <v>15</v>
      </c>
      <c r="E743" s="33" t="s">
        <v>1416</v>
      </c>
      <c r="I743">
        <v>689</v>
      </c>
      <c r="J743" t="str">
        <f>_xlfn.XLOOKUP($I743,$A:$A,B:B)</f>
        <v>refiere</v>
      </c>
      <c r="K743">
        <f>_xlfn.XLOOKUP($I743,$A:$A,C:C)</f>
        <v>28</v>
      </c>
      <c r="L743">
        <f>_xlfn.XLOOKUP($I743,$A:$A,D:D)</f>
        <v>8</v>
      </c>
      <c r="M743" t="str">
        <f>_xlfn.XLOOKUP($I743,$A:$A,E:E)</f>
        <v>L3</v>
      </c>
    </row>
    <row r="744" spans="1:13" customFormat="1" ht="20.25">
      <c r="A744" s="34">
        <v>745</v>
      </c>
      <c r="B744" s="33" t="s">
        <v>824</v>
      </c>
      <c r="C744" s="34">
        <v>26</v>
      </c>
      <c r="D744" s="33">
        <v>5</v>
      </c>
      <c r="E744" s="33" t="s">
        <v>1416</v>
      </c>
      <c r="I744">
        <v>350</v>
      </c>
      <c r="J744" t="str">
        <f>_xlfn.XLOOKUP($I744,$A:$A,B:B)</f>
        <v>región</v>
      </c>
      <c r="K744">
        <f>_xlfn.XLOOKUP($I744,$A:$A,C:C)</f>
        <v>48</v>
      </c>
      <c r="L744">
        <f>_xlfn.XLOOKUP($I744,$A:$A,D:D)</f>
        <v>10</v>
      </c>
      <c r="M744" t="str">
        <f>_xlfn.XLOOKUP($I744,$A:$A,E:E)</f>
        <v>L2</v>
      </c>
    </row>
    <row r="745" spans="1:13" customFormat="1" ht="20.25">
      <c r="A745" s="34">
        <v>746</v>
      </c>
      <c r="B745" s="33" t="s">
        <v>825</v>
      </c>
      <c r="C745" s="34">
        <v>26</v>
      </c>
      <c r="D745" s="33">
        <v>9</v>
      </c>
      <c r="E745" s="33" t="s">
        <v>1419</v>
      </c>
      <c r="I745">
        <v>801</v>
      </c>
      <c r="J745" t="str">
        <f>_xlfn.XLOOKUP($I745,$A:$A,B:B)</f>
        <v>Reino</v>
      </c>
      <c r="K745">
        <f>_xlfn.XLOOKUP($I745,$A:$A,C:C)</f>
        <v>25</v>
      </c>
      <c r="L745">
        <f>_xlfn.XLOOKUP($I745,$A:$A,D:D)</f>
        <v>1</v>
      </c>
      <c r="M745" t="str">
        <f>_xlfn.XLOOKUP($I745,$A:$A,E:E)</f>
        <v>L2</v>
      </c>
    </row>
    <row r="746" spans="1:13" customFormat="1" ht="20.25">
      <c r="A746" s="34">
        <v>747</v>
      </c>
      <c r="B746" s="33" t="s">
        <v>826</v>
      </c>
      <c r="C746" s="34">
        <v>26</v>
      </c>
      <c r="D746" s="33">
        <v>1</v>
      </c>
      <c r="E746" s="33" t="s">
        <v>1419</v>
      </c>
      <c r="I746">
        <v>287</v>
      </c>
      <c r="J746" t="str">
        <f>_xlfn.XLOOKUP($I746,$A:$A,B:B)</f>
        <v>relación</v>
      </c>
      <c r="K746">
        <f>_xlfn.XLOOKUP($I746,$A:$A,C:C)</f>
        <v>56</v>
      </c>
      <c r="L746">
        <f>_xlfn.XLOOKUP($I746,$A:$A,D:D)</f>
        <v>12</v>
      </c>
      <c r="M746" t="str">
        <f>_xlfn.XLOOKUP($I746,$A:$A,E:E)</f>
        <v>L2</v>
      </c>
    </row>
    <row r="747" spans="1:13" customFormat="1" ht="20.25">
      <c r="A747" s="34">
        <v>748</v>
      </c>
      <c r="B747" s="33" t="s">
        <v>827</v>
      </c>
      <c r="C747" s="34">
        <v>26</v>
      </c>
      <c r="D747" s="33">
        <v>15</v>
      </c>
      <c r="E747" s="33" t="s">
        <v>1413</v>
      </c>
      <c r="I747">
        <v>665</v>
      </c>
      <c r="J747" t="str">
        <f>_xlfn.XLOOKUP($I747,$A:$A,B:B)</f>
        <v>República</v>
      </c>
      <c r="K747">
        <f>_xlfn.XLOOKUP($I747,$A:$A,C:C)</f>
        <v>29</v>
      </c>
      <c r="L747">
        <f>_xlfn.XLOOKUP($I747,$A:$A,D:D)</f>
        <v>1</v>
      </c>
      <c r="M747" t="str">
        <f>_xlfn.XLOOKUP($I747,$A:$A,E:E)</f>
        <v>L2</v>
      </c>
    </row>
    <row r="748" spans="1:13" customFormat="1" ht="20.25">
      <c r="A748" s="34">
        <v>749</v>
      </c>
      <c r="B748" s="33" t="s">
        <v>828</v>
      </c>
      <c r="C748" s="34">
        <v>26</v>
      </c>
      <c r="D748" s="33">
        <v>11</v>
      </c>
      <c r="E748" s="33" t="s">
        <v>1413</v>
      </c>
      <c r="I748">
        <v>480</v>
      </c>
      <c r="J748" t="str">
        <f>_xlfn.XLOOKUP($I748,$A:$A,B:B)</f>
        <v>respecto</v>
      </c>
      <c r="K748">
        <f>_xlfn.XLOOKUP($I748,$A:$A,C:C)</f>
        <v>38</v>
      </c>
      <c r="L748">
        <f>_xlfn.XLOOKUP($I748,$A:$A,D:D)</f>
        <v>12</v>
      </c>
      <c r="M748" t="str">
        <f>_xlfn.XLOOKUP($I748,$A:$A,E:E)</f>
        <v>L2</v>
      </c>
    </row>
    <row r="749" spans="1:13" customFormat="1" ht="20.25">
      <c r="A749" s="34">
        <v>750</v>
      </c>
      <c r="B749" s="33" t="s">
        <v>829</v>
      </c>
      <c r="C749" s="34">
        <v>26</v>
      </c>
      <c r="D749" s="33">
        <v>3</v>
      </c>
      <c r="E749" s="33" t="s">
        <v>1413</v>
      </c>
      <c r="I749">
        <v>530</v>
      </c>
      <c r="J749" t="str">
        <f>_xlfn.XLOOKUP($I749,$A:$A,B:B)</f>
        <v>respuesta</v>
      </c>
      <c r="K749">
        <f>_xlfn.XLOOKUP($I749,$A:$A,C:C)</f>
        <v>35</v>
      </c>
      <c r="L749">
        <f>_xlfn.XLOOKUP($I749,$A:$A,D:D)</f>
        <v>7</v>
      </c>
      <c r="M749" t="str">
        <f>_xlfn.XLOOKUP($I749,$A:$A,E:E)</f>
        <v>L2</v>
      </c>
    </row>
    <row r="750" spans="1:13" customFormat="1" ht="20.25">
      <c r="A750" s="34">
        <v>751</v>
      </c>
      <c r="B750" s="33" t="s">
        <v>830</v>
      </c>
      <c r="C750" s="34">
        <v>26</v>
      </c>
      <c r="D750" s="33">
        <v>7</v>
      </c>
      <c r="E750" s="33" t="s">
        <v>1413</v>
      </c>
      <c r="I750">
        <v>388</v>
      </c>
      <c r="J750" t="str">
        <f>_xlfn.XLOOKUP($I750,$A:$A,B:B)</f>
        <v>resto</v>
      </c>
      <c r="K750">
        <f>_xlfn.XLOOKUP($I750,$A:$A,C:C)</f>
        <v>44</v>
      </c>
      <c r="L750">
        <f>_xlfn.XLOOKUP($I750,$A:$A,D:D)</f>
        <v>2</v>
      </c>
      <c r="M750" t="str">
        <f>_xlfn.XLOOKUP($I750,$A:$A,E:E)</f>
        <v>L2</v>
      </c>
    </row>
    <row r="751" spans="1:13" customFormat="1" ht="20.25">
      <c r="A751" s="34">
        <v>752</v>
      </c>
      <c r="B751" s="33" t="s">
        <v>831</v>
      </c>
      <c r="C751" s="34">
        <v>26</v>
      </c>
      <c r="D751" s="33">
        <v>10</v>
      </c>
      <c r="E751" s="33" t="s">
        <v>1413</v>
      </c>
      <c r="I751">
        <v>332</v>
      </c>
      <c r="J751" t="str">
        <f>_xlfn.XLOOKUP($I751,$A:$A,B:B)</f>
        <v>resultado</v>
      </c>
      <c r="K751">
        <f>_xlfn.XLOOKUP($I751,$A:$A,C:C)</f>
        <v>50</v>
      </c>
      <c r="L751">
        <f>_xlfn.XLOOKUP($I751,$A:$A,D:D)</f>
        <v>4</v>
      </c>
      <c r="M751" t="str">
        <f>_xlfn.XLOOKUP($I751,$A:$A,E:E)</f>
        <v>L2</v>
      </c>
    </row>
    <row r="752" spans="1:13" customFormat="1" ht="20.25">
      <c r="A752" s="34">
        <v>753</v>
      </c>
      <c r="B752" s="33" t="s">
        <v>832</v>
      </c>
      <c r="C752" s="34">
        <v>26</v>
      </c>
      <c r="D752" s="33">
        <v>3</v>
      </c>
      <c r="E752" s="33" t="s">
        <v>1416</v>
      </c>
      <c r="I752">
        <v>891</v>
      </c>
      <c r="J752" t="str">
        <f>_xlfn.XLOOKUP($I752,$A:$A,B:B)</f>
        <v>resultados</v>
      </c>
      <c r="K752">
        <f>_xlfn.XLOOKUP($I752,$A:$A,C:C)</f>
        <v>23</v>
      </c>
      <c r="L752">
        <f>_xlfn.XLOOKUP($I752,$A:$A,D:D)</f>
        <v>4</v>
      </c>
      <c r="M752" t="str">
        <f>_xlfn.XLOOKUP($I752,$A:$A,E:E)</f>
        <v>L2</v>
      </c>
    </row>
    <row r="753" spans="1:13" customFormat="1" ht="20.25">
      <c r="A753" s="34">
        <v>754</v>
      </c>
      <c r="B753" s="33" t="s">
        <v>833</v>
      </c>
      <c r="C753" s="34">
        <v>26</v>
      </c>
      <c r="D753" s="33">
        <v>10</v>
      </c>
      <c r="E753" s="33" t="s">
        <v>1413</v>
      </c>
      <c r="I753">
        <v>795</v>
      </c>
      <c r="J753" t="str">
        <f>_xlfn.XLOOKUP($I753,$A:$A,B:B)</f>
        <v>revista</v>
      </c>
      <c r="K753">
        <f>_xlfn.XLOOKUP($I753,$A:$A,C:C)</f>
        <v>25</v>
      </c>
      <c r="L753">
        <f>_xlfn.XLOOKUP($I753,$A:$A,D:D)</f>
        <v>3</v>
      </c>
      <c r="M753" t="str">
        <f>_xlfn.XLOOKUP($I753,$A:$A,E:E)</f>
        <v>L2</v>
      </c>
    </row>
    <row r="754" spans="1:13" customFormat="1" ht="20.25">
      <c r="A754" s="34">
        <v>755</v>
      </c>
      <c r="B754" s="33" t="s">
        <v>834</v>
      </c>
      <c r="C754" s="34">
        <v>26</v>
      </c>
      <c r="D754" s="33">
        <v>6</v>
      </c>
      <c r="E754" s="33" t="s">
        <v>1419</v>
      </c>
      <c r="I754">
        <v>481</v>
      </c>
      <c r="J754" t="str">
        <f>_xlfn.XLOOKUP($I754,$A:$A,B:B)</f>
        <v>rey</v>
      </c>
      <c r="K754">
        <f>_xlfn.XLOOKUP($I754,$A:$A,C:C)</f>
        <v>38</v>
      </c>
      <c r="L754">
        <f>_xlfn.XLOOKUP($I754,$A:$A,D:D)</f>
        <v>9</v>
      </c>
      <c r="M754" t="str">
        <f>_xlfn.XLOOKUP($I754,$A:$A,E:E)</f>
        <v>L2</v>
      </c>
    </row>
    <row r="755" spans="1:13" customFormat="1" ht="20.25">
      <c r="A755" s="34">
        <v>756</v>
      </c>
      <c r="B755" s="33" t="s">
        <v>835</v>
      </c>
      <c r="C755" s="34">
        <v>26</v>
      </c>
      <c r="D755" s="33">
        <v>6</v>
      </c>
      <c r="E755" s="33" t="s">
        <v>1416</v>
      </c>
      <c r="I755">
        <v>297</v>
      </c>
      <c r="J755" t="str">
        <f>_xlfn.XLOOKUP($I755,$A:$A,B:B)</f>
        <v>río</v>
      </c>
      <c r="K755">
        <f>_xlfn.XLOOKUP($I755,$A:$A,C:C)</f>
        <v>0</v>
      </c>
      <c r="L755">
        <f>_xlfn.XLOOKUP($I755,$A:$A,D:D)</f>
        <v>10</v>
      </c>
      <c r="M755" t="str">
        <f>_xlfn.XLOOKUP($I755,$A:$A,E:E)</f>
        <v>L1</v>
      </c>
    </row>
    <row r="756" spans="1:13" customFormat="1" ht="20.25">
      <c r="A756" s="34">
        <v>757</v>
      </c>
      <c r="B756" s="33" t="s">
        <v>836</v>
      </c>
      <c r="C756" s="34">
        <v>26</v>
      </c>
      <c r="D756" s="33">
        <v>7</v>
      </c>
      <c r="E756" s="33" t="s">
        <v>1419</v>
      </c>
      <c r="I756">
        <v>467</v>
      </c>
      <c r="J756" t="str">
        <f>_xlfn.XLOOKUP($I756,$A:$A,B:B)</f>
        <v>sabe</v>
      </c>
      <c r="K756">
        <f>_xlfn.XLOOKUP($I756,$A:$A,C:C)</f>
        <v>38</v>
      </c>
      <c r="L756">
        <f>_xlfn.XLOOKUP($I756,$A:$A,D:D)</f>
        <v>7</v>
      </c>
      <c r="M756" t="str">
        <f>_xlfn.XLOOKUP($I756,$A:$A,E:E)</f>
        <v>L1</v>
      </c>
    </row>
    <row r="757" spans="1:13" customFormat="1" ht="20.25">
      <c r="A757" s="34">
        <v>758</v>
      </c>
      <c r="B757" s="33" t="s">
        <v>837</v>
      </c>
      <c r="C757" s="34">
        <v>26</v>
      </c>
      <c r="D757" s="33">
        <v>14</v>
      </c>
      <c r="E757" s="33" t="s">
        <v>1416</v>
      </c>
      <c r="I757">
        <v>723</v>
      </c>
      <c r="J757" t="str">
        <f>_xlfn.XLOOKUP($I757,$A:$A,B:B)</f>
        <v>sala</v>
      </c>
      <c r="K757">
        <f>_xlfn.XLOOKUP($I757,$A:$A,C:C)</f>
        <v>27</v>
      </c>
      <c r="L757">
        <f>_xlfn.XLOOKUP($I757,$A:$A,D:D)</f>
        <v>3</v>
      </c>
      <c r="M757" t="str">
        <f>_xlfn.XLOOKUP($I757,$A:$A,E:E)</f>
        <v>L1</v>
      </c>
    </row>
    <row r="758" spans="1:13" customFormat="1" ht="20.25">
      <c r="A758" s="34">
        <v>759</v>
      </c>
      <c r="B758" s="33" t="s">
        <v>838</v>
      </c>
      <c r="C758" s="34">
        <v>26</v>
      </c>
      <c r="D758" s="33">
        <v>5</v>
      </c>
      <c r="E758" s="33" t="s">
        <v>1413</v>
      </c>
      <c r="I758">
        <v>936</v>
      </c>
      <c r="J758" t="str">
        <f>_xlfn.XLOOKUP($I758,$A:$A,B:B)</f>
        <v>salida</v>
      </c>
      <c r="K758">
        <f>_xlfn.XLOOKUP($I758,$A:$A,C:C)</f>
        <v>22</v>
      </c>
      <c r="L758">
        <f>_xlfn.XLOOKUP($I758,$A:$A,D:D)</f>
        <v>13</v>
      </c>
      <c r="M758" t="str">
        <f>_xlfn.XLOOKUP($I758,$A:$A,E:E)</f>
        <v>L1</v>
      </c>
    </row>
    <row r="759" spans="1:13" customFormat="1" ht="20.25">
      <c r="A759" s="34">
        <v>760</v>
      </c>
      <c r="B759" s="33" t="s">
        <v>839</v>
      </c>
      <c r="C759" s="34">
        <v>26</v>
      </c>
      <c r="D759" s="33">
        <v>2</v>
      </c>
      <c r="E759" s="33" t="s">
        <v>1416</v>
      </c>
      <c r="I759">
        <v>181</v>
      </c>
      <c r="J759" t="str">
        <f>_xlfn.XLOOKUP($I759,$A:$A,B:B)</f>
        <v>San</v>
      </c>
      <c r="K759">
        <f>_xlfn.XLOOKUP($I759,$A:$A,C:C)</f>
        <v>80</v>
      </c>
      <c r="L759">
        <f>_xlfn.XLOOKUP($I759,$A:$A,D:D)</f>
        <v>9</v>
      </c>
      <c r="M759" t="str">
        <f>_xlfn.XLOOKUP($I759,$A:$A,E:E)</f>
        <v>L1</v>
      </c>
    </row>
    <row r="760" spans="1:13" customFormat="1" ht="20.25">
      <c r="A760" s="34">
        <v>761</v>
      </c>
      <c r="B760" s="33" t="s">
        <v>840</v>
      </c>
      <c r="C760" s="34">
        <v>26</v>
      </c>
      <c r="D760" s="33">
        <v>15</v>
      </c>
      <c r="E760" s="33" t="s">
        <v>1413</v>
      </c>
      <c r="I760">
        <v>485</v>
      </c>
      <c r="J760" t="str">
        <f>_xlfn.XLOOKUP($I760,$A:$A,B:B)</f>
        <v>Santa</v>
      </c>
      <c r="K760">
        <f>_xlfn.XLOOKUP($I760,$A:$A,C:C)</f>
        <v>0</v>
      </c>
      <c r="L760">
        <f>_xlfn.XLOOKUP($I760,$A:$A,D:D)</f>
        <v>9</v>
      </c>
      <c r="M760" t="str">
        <f>_xlfn.XLOOKUP($I760,$A:$A,E:E)</f>
        <v>L1</v>
      </c>
    </row>
    <row r="761" spans="1:13" customFormat="1" ht="20.25">
      <c r="A761" s="34">
        <v>762</v>
      </c>
      <c r="B761" s="33" t="s">
        <v>841</v>
      </c>
      <c r="C761" s="34">
        <v>26</v>
      </c>
      <c r="D761" s="33">
        <v>15</v>
      </c>
      <c r="E761" s="33" t="s">
        <v>1416</v>
      </c>
      <c r="I761">
        <v>8</v>
      </c>
      <c r="J761" t="str">
        <f>_xlfn.XLOOKUP($I761,$A:$A,B:B)</f>
        <v>se</v>
      </c>
      <c r="K761">
        <f>_xlfn.XLOOKUP($I761,$A:$A,C:C)</f>
        <v>2845</v>
      </c>
      <c r="L761">
        <f>_xlfn.XLOOKUP($I761,$A:$A,D:D)</f>
        <v>12</v>
      </c>
      <c r="M761" t="str">
        <f>_xlfn.XLOOKUP($I761,$A:$A,E:E)</f>
        <v>L1</v>
      </c>
    </row>
    <row r="762" spans="1:13" customFormat="1" ht="20.25">
      <c r="A762" s="34"/>
      <c r="B762" s="33"/>
      <c r="C762" s="34"/>
      <c r="D762" s="33"/>
      <c r="E762" s="33"/>
      <c r="I762">
        <v>320</v>
      </c>
      <c r="J762" t="str">
        <f>_xlfn.XLOOKUP($I762,$A:$A,B:B)</f>
        <v>sea</v>
      </c>
      <c r="K762">
        <f>_xlfn.XLOOKUP($I762,$A:$A,C:C)</f>
        <v>51</v>
      </c>
      <c r="L762">
        <f>_xlfn.XLOOKUP($I762,$A:$A,D:D)</f>
        <v>1</v>
      </c>
      <c r="M762" t="str">
        <f>_xlfn.XLOOKUP($I762,$A:$A,E:E)</f>
        <v>L2</v>
      </c>
    </row>
    <row r="763" spans="1:13" customFormat="1" ht="20.25">
      <c r="A763" s="34"/>
      <c r="B763" s="33"/>
      <c r="C763" s="34"/>
      <c r="D763" s="33"/>
      <c r="E763" s="33"/>
      <c r="I763">
        <v>625</v>
      </c>
      <c r="J763" t="str">
        <f>_xlfn.XLOOKUP($I763,$A:$A,B:B)</f>
        <v>sector</v>
      </c>
      <c r="K763">
        <f>_xlfn.XLOOKUP($I763,$A:$A,C:C)</f>
        <v>30</v>
      </c>
      <c r="L763">
        <f>_xlfn.XLOOKUP($I763,$A:$A,D:D)</f>
        <v>5</v>
      </c>
      <c r="M763" t="str">
        <f>_xlfn.XLOOKUP($I763,$A:$A,E:E)</f>
        <v>L2</v>
      </c>
    </row>
    <row r="764" spans="1:13" customFormat="1" ht="20.25">
      <c r="A764" s="34">
        <v>765</v>
      </c>
      <c r="B764" s="33" t="s">
        <v>844</v>
      </c>
      <c r="C764" s="34">
        <v>26</v>
      </c>
      <c r="D764" s="33">
        <v>9</v>
      </c>
      <c r="E764" s="33" t="s">
        <v>1416</v>
      </c>
      <c r="I764">
        <v>980</v>
      </c>
      <c r="J764" t="str">
        <f>_xlfn.XLOOKUP($I764,$A:$A,B:B)</f>
        <v>sede</v>
      </c>
      <c r="K764">
        <f>_xlfn.XLOOKUP($I764,$A:$A,C:C)</f>
        <v>21</v>
      </c>
      <c r="L764">
        <f>_xlfn.XLOOKUP($I764,$A:$A,D:D)</f>
        <v>5</v>
      </c>
      <c r="M764" t="str">
        <f>_xlfn.XLOOKUP($I764,$A:$A,E:E)</f>
        <v>L3</v>
      </c>
    </row>
    <row r="765" spans="1:13" customFormat="1" ht="20.25">
      <c r="A765" s="34">
        <v>766</v>
      </c>
      <c r="B765" s="33" t="s">
        <v>845</v>
      </c>
      <c r="C765" s="34">
        <v>26</v>
      </c>
      <c r="D765" s="33">
        <v>15</v>
      </c>
      <c r="E765" s="33" t="s">
        <v>1413</v>
      </c>
      <c r="I765">
        <v>937</v>
      </c>
      <c r="J765" t="str">
        <f>_xlfn.XLOOKUP($I765,$A:$A,B:B)</f>
        <v>seguir</v>
      </c>
      <c r="K765">
        <f>_xlfn.XLOOKUP($I765,$A:$A,C:C)</f>
        <v>22</v>
      </c>
      <c r="L765">
        <f>_xlfn.XLOOKUP($I765,$A:$A,D:D)</f>
        <v>15</v>
      </c>
      <c r="M765" t="str">
        <f>_xlfn.XLOOKUP($I765,$A:$A,E:E)</f>
        <v>L1</v>
      </c>
    </row>
    <row r="766" spans="1:13" customFormat="1" ht="20.25">
      <c r="A766" s="34">
        <v>767</v>
      </c>
      <c r="B766" s="33" t="s">
        <v>846</v>
      </c>
      <c r="C766" s="34">
        <v>26</v>
      </c>
      <c r="D766" s="33">
        <v>15</v>
      </c>
      <c r="E766" s="33" t="s">
        <v>1416</v>
      </c>
      <c r="I766">
        <v>256</v>
      </c>
      <c r="J766" t="str">
        <f>_xlfn.XLOOKUP($I766,$A:$A,B:B)</f>
        <v>según</v>
      </c>
      <c r="K766">
        <f>_xlfn.XLOOKUP($I766,$A:$A,C:C)</f>
        <v>62</v>
      </c>
      <c r="L766">
        <f>_xlfn.XLOOKUP($I766,$A:$A,D:D)</f>
        <v>1</v>
      </c>
      <c r="M766" t="str">
        <f>_xlfn.XLOOKUP($I766,$A:$A,E:E)</f>
        <v>L2</v>
      </c>
    </row>
    <row r="767" spans="1:13" customFormat="1" ht="20.25">
      <c r="A767" s="34">
        <v>768</v>
      </c>
      <c r="B767" s="33" t="s">
        <v>847</v>
      </c>
      <c r="C767" s="34">
        <v>26</v>
      </c>
      <c r="D767" s="33">
        <v>7</v>
      </c>
      <c r="E767" s="33" t="s">
        <v>1419</v>
      </c>
      <c r="I767">
        <v>247</v>
      </c>
      <c r="J767" t="str">
        <f>_xlfn.XLOOKUP($I767,$A:$A,B:B)</f>
        <v>segunda</v>
      </c>
      <c r="K767">
        <f>_xlfn.XLOOKUP($I767,$A:$A,C:C)</f>
        <v>64</v>
      </c>
      <c r="L767">
        <f>_xlfn.XLOOKUP($I767,$A:$A,D:D)</f>
        <v>9</v>
      </c>
      <c r="M767" t="str">
        <f>_xlfn.XLOOKUP($I767,$A:$A,E:E)</f>
        <v>L1</v>
      </c>
    </row>
    <row r="768" spans="1:13" customFormat="1" ht="20.25">
      <c r="A768" s="34">
        <v>769</v>
      </c>
      <c r="B768" s="33" t="s">
        <v>848</v>
      </c>
      <c r="C768" s="34">
        <v>26</v>
      </c>
      <c r="D768" s="33">
        <v>12</v>
      </c>
      <c r="E768" s="33" t="s">
        <v>1413</v>
      </c>
      <c r="I768">
        <v>197</v>
      </c>
      <c r="J768" t="str">
        <f>_xlfn.XLOOKUP($I768,$A:$A,B:B)</f>
        <v>segundo</v>
      </c>
      <c r="K768">
        <f>_xlfn.XLOOKUP($I768,$A:$A,C:C)</f>
        <v>78</v>
      </c>
      <c r="L768">
        <f>_xlfn.XLOOKUP($I768,$A:$A,D:D)</f>
        <v>9</v>
      </c>
      <c r="M768" t="str">
        <f>_xlfn.XLOOKUP($I768,$A:$A,E:E)</f>
        <v>L1</v>
      </c>
    </row>
    <row r="769" spans="1:13" customFormat="1" ht="20.25">
      <c r="A769" s="34">
        <v>770</v>
      </c>
      <c r="B769" s="33" t="s">
        <v>849</v>
      </c>
      <c r="C769" s="34">
        <v>26</v>
      </c>
      <c r="D769" s="33">
        <v>6</v>
      </c>
      <c r="E769" s="33" t="s">
        <v>1416</v>
      </c>
      <c r="I769">
        <v>724</v>
      </c>
      <c r="J769" t="str">
        <f>_xlfn.XLOOKUP($I769,$A:$A,B:B)</f>
        <v>seguridad</v>
      </c>
      <c r="K769">
        <f>_xlfn.XLOOKUP($I769,$A:$A,C:C)</f>
        <v>27</v>
      </c>
      <c r="L769">
        <f>_xlfn.XLOOKUP($I769,$A:$A,D:D)</f>
        <v>8</v>
      </c>
      <c r="M769" t="str">
        <f>_xlfn.XLOOKUP($I769,$A:$A,E:E)</f>
        <v>L2</v>
      </c>
    </row>
    <row r="770" spans="1:13" customFormat="1" ht="20.25">
      <c r="A770" s="34">
        <v>771</v>
      </c>
      <c r="B770" s="33" t="s">
        <v>850</v>
      </c>
      <c r="C770" s="34">
        <v>26</v>
      </c>
      <c r="D770" s="33">
        <v>15</v>
      </c>
      <c r="E770" s="33" t="s">
        <v>1413</v>
      </c>
      <c r="I770">
        <v>274</v>
      </c>
      <c r="J770" t="str">
        <f>_xlfn.XLOOKUP($I770,$A:$A,B:B)</f>
        <v>seis</v>
      </c>
      <c r="K770">
        <f>_xlfn.XLOOKUP($I770,$A:$A,C:C)</f>
        <v>58</v>
      </c>
      <c r="L770">
        <f>_xlfn.XLOOKUP($I770,$A:$A,D:D)</f>
        <v>4</v>
      </c>
      <c r="M770" t="str">
        <f>_xlfn.XLOOKUP($I770,$A:$A,E:E)</f>
        <v>L1</v>
      </c>
    </row>
    <row r="771" spans="1:13" customFormat="1" ht="20.25">
      <c r="A771" s="34">
        <v>772</v>
      </c>
      <c r="B771" s="33" t="s">
        <v>851</v>
      </c>
      <c r="C771" s="34">
        <v>26</v>
      </c>
      <c r="D771" s="33">
        <v>5</v>
      </c>
      <c r="E771" s="33" t="s">
        <v>1416</v>
      </c>
      <c r="I771">
        <v>593</v>
      </c>
      <c r="J771" t="str">
        <f>_xlfn.XLOOKUP($I771,$A:$A,B:B)</f>
        <v>semana</v>
      </c>
      <c r="K771">
        <f>_xlfn.XLOOKUP($I771,$A:$A,C:C)</f>
        <v>31</v>
      </c>
      <c r="L771">
        <f>_xlfn.XLOOKUP($I771,$A:$A,D:D)</f>
        <v>13</v>
      </c>
      <c r="M771" t="str">
        <f>_xlfn.XLOOKUP($I771,$A:$A,E:E)</f>
        <v>L1</v>
      </c>
    </row>
    <row r="772" spans="1:13" customFormat="1" ht="20.25">
      <c r="A772" s="34">
        <v>773</v>
      </c>
      <c r="B772" s="33" t="s">
        <v>852</v>
      </c>
      <c r="C772" s="34">
        <v>26</v>
      </c>
      <c r="D772" s="33">
        <v>1</v>
      </c>
      <c r="E772" s="33" t="s">
        <v>1416</v>
      </c>
      <c r="I772">
        <v>725</v>
      </c>
      <c r="J772" t="str">
        <f>_xlfn.XLOOKUP($I772,$A:$A,B:B)</f>
        <v>semanas</v>
      </c>
      <c r="K772">
        <f>_xlfn.XLOOKUP($I772,$A:$A,C:C)</f>
        <v>27</v>
      </c>
      <c r="L772">
        <f>_xlfn.XLOOKUP($I772,$A:$A,D:D)</f>
        <v>15</v>
      </c>
      <c r="M772" t="str">
        <f>_xlfn.XLOOKUP($I772,$A:$A,E:E)</f>
        <v>L1</v>
      </c>
    </row>
    <row r="773" spans="1:13" customFormat="1" ht="20.25">
      <c r="A773" s="34">
        <v>774</v>
      </c>
      <c r="B773" s="33" t="s">
        <v>853</v>
      </c>
      <c r="C773" s="34">
        <v>26</v>
      </c>
      <c r="D773" s="33">
        <v>9</v>
      </c>
      <c r="E773" s="33" t="s">
        <v>1413</v>
      </c>
      <c r="I773">
        <v>453</v>
      </c>
      <c r="J773" t="str">
        <f>_xlfn.XLOOKUP($I773,$A:$A,B:B)</f>
        <v>sencillo</v>
      </c>
      <c r="K773">
        <f>_xlfn.XLOOKUP($I773,$A:$A,C:C)</f>
        <v>39</v>
      </c>
      <c r="L773">
        <f>_xlfn.XLOOKUP($I773,$A:$A,D:D)</f>
        <v>13</v>
      </c>
      <c r="M773" t="str">
        <f>_xlfn.XLOOKUP($I773,$A:$A,E:E)</f>
        <v>L2</v>
      </c>
    </row>
    <row r="774" spans="1:13" customFormat="1" ht="20.25">
      <c r="A774" s="34">
        <v>775</v>
      </c>
      <c r="B774" s="33" t="s">
        <v>854</v>
      </c>
      <c r="C774" s="34">
        <v>26</v>
      </c>
      <c r="D774" s="33">
        <v>6</v>
      </c>
      <c r="E774" s="33" t="s">
        <v>1416</v>
      </c>
      <c r="I774">
        <v>837</v>
      </c>
      <c r="J774" t="str">
        <f>_xlfn.XLOOKUP($I774,$A:$A,B:B)</f>
        <v>sentido</v>
      </c>
      <c r="K774">
        <f>_xlfn.XLOOKUP($I774,$A:$A,C:C)</f>
        <v>24</v>
      </c>
      <c r="L774">
        <f>_xlfn.XLOOKUP($I774,$A:$A,D:D)</f>
        <v>15</v>
      </c>
      <c r="M774" t="str">
        <f>_xlfn.XLOOKUP($I774,$A:$A,E:E)</f>
        <v>L2</v>
      </c>
    </row>
    <row r="775" spans="1:13" customFormat="1" ht="20.25">
      <c r="A775" s="34">
        <v>776</v>
      </c>
      <c r="B775" s="33" t="s">
        <v>855</v>
      </c>
      <c r="C775" s="34">
        <v>25</v>
      </c>
      <c r="D775" s="33">
        <v>3</v>
      </c>
      <c r="E775" s="33" t="s">
        <v>1413</v>
      </c>
      <c r="I775">
        <v>243</v>
      </c>
      <c r="J775" t="str">
        <f>_xlfn.XLOOKUP($I775,$A:$A,B:B)</f>
        <v>septiembre</v>
      </c>
      <c r="K775">
        <f>_xlfn.XLOOKUP($I775,$A:$A,C:C)</f>
        <v>65</v>
      </c>
      <c r="L775">
        <f>_xlfn.XLOOKUP($I775,$A:$A,D:D)</f>
        <v>13</v>
      </c>
      <c r="M775" t="str">
        <f>_xlfn.XLOOKUP($I775,$A:$A,E:E)</f>
        <v>L1</v>
      </c>
    </row>
    <row r="776" spans="1:13" customFormat="1" ht="20.25">
      <c r="A776" s="34">
        <v>777</v>
      </c>
      <c r="B776" s="33" t="s">
        <v>856</v>
      </c>
      <c r="C776" s="34">
        <v>25</v>
      </c>
      <c r="D776" s="33">
        <v>12</v>
      </c>
      <c r="E776" s="33" t="s">
        <v>1413</v>
      </c>
      <c r="I776">
        <v>42</v>
      </c>
      <c r="J776" t="str">
        <f>_xlfn.XLOOKUP($I776,$A:$A,B:B)</f>
        <v>ser</v>
      </c>
      <c r="K776">
        <f>_xlfn.XLOOKUP($I776,$A:$A,C:C)</f>
        <v>292</v>
      </c>
      <c r="L776">
        <f>_xlfn.XLOOKUP($I776,$A:$A,D:D)</f>
        <v>12</v>
      </c>
      <c r="M776" t="str">
        <f>_xlfn.XLOOKUP($I776,$A:$A,E:E)</f>
        <v>L1</v>
      </c>
    </row>
    <row r="777" spans="1:13" customFormat="1" ht="20.25">
      <c r="A777" s="34">
        <v>778</v>
      </c>
      <c r="B777" s="33" t="s">
        <v>857</v>
      </c>
      <c r="C777" s="34">
        <v>25</v>
      </c>
      <c r="D777" s="33">
        <v>11</v>
      </c>
      <c r="E777" s="33" t="s">
        <v>1416</v>
      </c>
      <c r="I777">
        <v>838</v>
      </c>
      <c r="J777" t="str">
        <f>_xlfn.XLOOKUP($I777,$A:$A,B:B)</f>
        <v>será</v>
      </c>
      <c r="K777">
        <f>_xlfn.XLOOKUP($I777,$A:$A,C:C)</f>
        <v>24</v>
      </c>
      <c r="L777">
        <f>_xlfn.XLOOKUP($I777,$A:$A,D:D)</f>
        <v>1</v>
      </c>
      <c r="M777" t="str">
        <f>_xlfn.XLOOKUP($I777,$A:$A,E:E)</f>
        <v>L1</v>
      </c>
    </row>
    <row r="778" spans="1:13" customFormat="1" ht="20.25">
      <c r="A778" s="34">
        <v>779</v>
      </c>
      <c r="B778" s="33" t="s">
        <v>858</v>
      </c>
      <c r="C778" s="34">
        <v>25</v>
      </c>
      <c r="D778" s="33">
        <v>12</v>
      </c>
      <c r="E778" s="33" t="s">
        <v>1413</v>
      </c>
      <c r="I778">
        <v>420</v>
      </c>
      <c r="J778" t="str">
        <f>_xlfn.XLOOKUP($I778,$A:$A,B:B)</f>
        <v>sería</v>
      </c>
      <c r="K778">
        <f>_xlfn.XLOOKUP($I778,$A:$A,C:C)</f>
        <v>0</v>
      </c>
      <c r="L778">
        <f>_xlfn.XLOOKUP($I778,$A:$A,D:D)</f>
        <v>1</v>
      </c>
      <c r="M778" t="str">
        <f>_xlfn.XLOOKUP($I778,$A:$A,E:E)</f>
        <v>L2</v>
      </c>
    </row>
    <row r="779" spans="1:13" customFormat="1" ht="20.25">
      <c r="A779" s="34">
        <v>780</v>
      </c>
      <c r="B779" s="33" t="s">
        <v>859</v>
      </c>
      <c r="C779" s="34">
        <v>25</v>
      </c>
      <c r="D779" s="33">
        <v>4</v>
      </c>
      <c r="E779" s="33" t="s">
        <v>1416</v>
      </c>
      <c r="I779">
        <v>116</v>
      </c>
      <c r="J779" t="str">
        <f>_xlfn.XLOOKUP($I779,$A:$A,B:B)</f>
        <v>serie</v>
      </c>
      <c r="K779">
        <f>_xlfn.XLOOKUP($I779,$A:$A,C:C)</f>
        <v>109</v>
      </c>
      <c r="L779">
        <f>_xlfn.XLOOKUP($I779,$A:$A,D:D)</f>
        <v>3</v>
      </c>
      <c r="M779" t="str">
        <f>_xlfn.XLOOKUP($I779,$A:$A,E:E)</f>
        <v>L2</v>
      </c>
    </row>
    <row r="780" spans="1:13" customFormat="1" ht="20.25">
      <c r="A780" s="34">
        <v>781</v>
      </c>
      <c r="B780" s="33" t="s">
        <v>860</v>
      </c>
      <c r="C780" s="34">
        <v>25</v>
      </c>
      <c r="D780" s="33">
        <v>15</v>
      </c>
      <c r="E780" s="33" t="s">
        <v>1413</v>
      </c>
      <c r="I780">
        <v>343</v>
      </c>
      <c r="J780" t="str">
        <f>_xlfn.XLOOKUP($I780,$A:$A,B:B)</f>
        <v>servicio</v>
      </c>
      <c r="K780">
        <f>_xlfn.XLOOKUP($I780,$A:$A,C:C)</f>
        <v>49</v>
      </c>
      <c r="L780">
        <f>_xlfn.XLOOKUP($I780,$A:$A,D:D)</f>
        <v>5</v>
      </c>
      <c r="M780" t="str">
        <f>_xlfn.XLOOKUP($I780,$A:$A,E:E)</f>
        <v>L2</v>
      </c>
    </row>
    <row r="781" spans="1:13" customFormat="1" ht="20.25">
      <c r="A781" s="34">
        <v>782</v>
      </c>
      <c r="B781" s="33" t="s">
        <v>861</v>
      </c>
      <c r="C781" s="34">
        <v>25</v>
      </c>
      <c r="D781" s="33">
        <v>6</v>
      </c>
      <c r="E781" s="33" t="s">
        <v>1416</v>
      </c>
      <c r="I781">
        <v>436</v>
      </c>
      <c r="J781" t="str">
        <f>_xlfn.XLOOKUP($I781,$A:$A,B:B)</f>
        <v>servicios</v>
      </c>
      <c r="K781">
        <f>_xlfn.XLOOKUP($I781,$A:$A,C:C)</f>
        <v>40</v>
      </c>
      <c r="L781">
        <f>_xlfn.XLOOKUP($I781,$A:$A,D:D)</f>
        <v>5</v>
      </c>
      <c r="M781" t="str">
        <f>_xlfn.XLOOKUP($I781,$A:$A,E:E)</f>
        <v>L2</v>
      </c>
    </row>
    <row r="782" spans="1:13" customFormat="1" ht="20.25">
      <c r="A782" s="34">
        <v>783</v>
      </c>
      <c r="B782" s="33" t="s">
        <v>862</v>
      </c>
      <c r="C782" s="34">
        <v>25</v>
      </c>
      <c r="D782" s="33">
        <v>15</v>
      </c>
      <c r="E782" s="33" t="s">
        <v>1416</v>
      </c>
      <c r="I782">
        <v>98</v>
      </c>
      <c r="J782" t="str">
        <f>_xlfn.XLOOKUP($I782,$A:$A,B:B)</f>
        <v>si</v>
      </c>
      <c r="K782">
        <f>_xlfn.XLOOKUP($I782,$A:$A,C:C)</f>
        <v>131</v>
      </c>
      <c r="L782">
        <f>_xlfn.XLOOKUP($I782,$A:$A,D:D)</f>
        <v>8</v>
      </c>
      <c r="M782" t="str">
        <f>_xlfn.XLOOKUP($I782,$A:$A,E:E)</f>
        <v>L1</v>
      </c>
    </row>
    <row r="783" spans="1:13" customFormat="1" ht="20.25">
      <c r="A783" s="34">
        <v>784</v>
      </c>
      <c r="B783" s="33" t="s">
        <v>863</v>
      </c>
      <c r="C783" s="34">
        <v>25</v>
      </c>
      <c r="D783" s="33">
        <v>1</v>
      </c>
      <c r="E783" s="33" t="s">
        <v>1416</v>
      </c>
      <c r="I783">
        <v>288</v>
      </c>
      <c r="J783" t="str">
        <f>_xlfn.XLOOKUP($I783,$A:$A,B:B)</f>
        <v>sí</v>
      </c>
      <c r="K783">
        <f>_xlfn.XLOOKUP($I783,$A:$A,C:C)</f>
        <v>56</v>
      </c>
      <c r="L783">
        <f>_xlfn.XLOOKUP($I783,$A:$A,D:D)</f>
        <v>8</v>
      </c>
      <c r="M783" t="str">
        <f>_xlfn.XLOOKUP($I783,$A:$A,E:E)</f>
        <v>L1</v>
      </c>
    </row>
    <row r="784" spans="1:13" customFormat="1" ht="20.25">
      <c r="A784" s="34">
        <v>785</v>
      </c>
      <c r="B784" s="33" t="s">
        <v>864</v>
      </c>
      <c r="C784" s="34">
        <v>25</v>
      </c>
      <c r="D784" s="33">
        <v>12</v>
      </c>
      <c r="E784" s="33" t="s">
        <v>1413</v>
      </c>
      <c r="I784">
        <v>68</v>
      </c>
      <c r="J784" t="str">
        <f>_xlfn.XLOOKUP($I784,$A:$A,B:B)</f>
        <v>sido</v>
      </c>
      <c r="K784">
        <f>_xlfn.XLOOKUP($I784,$A:$A,C:C)</f>
        <v>176</v>
      </c>
      <c r="L784">
        <f>_xlfn.XLOOKUP($I784,$A:$A,D:D)</f>
        <v>13</v>
      </c>
      <c r="M784" t="str">
        <f>_xlfn.XLOOKUP($I784,$A:$A,E:E)</f>
        <v>L1</v>
      </c>
    </row>
    <row r="785" spans="1:13" customFormat="1" ht="20.25">
      <c r="A785" s="34">
        <v>786</v>
      </c>
      <c r="B785" s="33" t="s">
        <v>865</v>
      </c>
      <c r="C785" s="34">
        <v>25</v>
      </c>
      <c r="D785" s="33">
        <v>6</v>
      </c>
      <c r="E785" s="33" t="s">
        <v>1416</v>
      </c>
      <c r="I785">
        <v>264</v>
      </c>
      <c r="J785" t="str">
        <f>_xlfn.XLOOKUP($I785,$A:$A,B:B)</f>
        <v>siempre</v>
      </c>
      <c r="K785">
        <f>_xlfn.XLOOKUP($I785,$A:$A,C:C)</f>
        <v>0</v>
      </c>
      <c r="L785">
        <f>_xlfn.XLOOKUP($I785,$A:$A,D:D)</f>
        <v>9</v>
      </c>
      <c r="M785" t="str">
        <f>_xlfn.XLOOKUP($I785,$A:$A,E:E)</f>
        <v>L1</v>
      </c>
    </row>
    <row r="786" spans="1:13" customFormat="1" ht="20.25">
      <c r="A786" s="34">
        <v>787</v>
      </c>
      <c r="B786" s="33" t="s">
        <v>866</v>
      </c>
      <c r="C786" s="34">
        <v>25</v>
      </c>
      <c r="D786" s="33">
        <v>2</v>
      </c>
      <c r="E786" s="33" t="s">
        <v>1416</v>
      </c>
      <c r="I786">
        <v>164</v>
      </c>
      <c r="J786" t="str">
        <f>_xlfn.XLOOKUP($I786,$A:$A,B:B)</f>
        <v>siendo</v>
      </c>
      <c r="K786">
        <f>_xlfn.XLOOKUP($I786,$A:$A,C:C)</f>
        <v>86</v>
      </c>
      <c r="L786">
        <f>_xlfn.XLOOKUP($I786,$A:$A,D:D)</f>
        <v>12</v>
      </c>
      <c r="M786" t="str">
        <f>_xlfn.XLOOKUP($I786,$A:$A,E:E)</f>
        <v>L1</v>
      </c>
    </row>
    <row r="787" spans="1:13" customFormat="1" ht="20.25">
      <c r="A787" s="34">
        <v>788</v>
      </c>
      <c r="B787" s="33" t="s">
        <v>867</v>
      </c>
      <c r="C787" s="34">
        <v>25</v>
      </c>
      <c r="D787" s="33">
        <v>1</v>
      </c>
      <c r="E787" s="33" t="s">
        <v>1416</v>
      </c>
      <c r="I787">
        <v>726</v>
      </c>
      <c r="J787" t="str">
        <f>_xlfn.XLOOKUP($I787,$A:$A,B:B)</f>
        <v>siete</v>
      </c>
      <c r="K787">
        <f>_xlfn.XLOOKUP($I787,$A:$A,C:C)</f>
        <v>27</v>
      </c>
      <c r="L787">
        <f>_xlfn.XLOOKUP($I787,$A:$A,D:D)</f>
        <v>15</v>
      </c>
      <c r="M787" t="str">
        <f>_xlfn.XLOOKUP($I787,$A:$A,E:E)</f>
        <v>L1</v>
      </c>
    </row>
    <row r="788" spans="1:13" customFormat="1" ht="20.25">
      <c r="A788" s="34">
        <v>789</v>
      </c>
      <c r="B788" s="33" t="s">
        <v>868</v>
      </c>
      <c r="C788" s="34">
        <v>25</v>
      </c>
      <c r="D788" s="33">
        <v>1</v>
      </c>
      <c r="E788" s="33" t="s">
        <v>1416</v>
      </c>
      <c r="I788">
        <v>144</v>
      </c>
      <c r="J788" t="str">
        <f>_xlfn.XLOOKUP($I788,$A:$A,B:B)</f>
        <v>siglo</v>
      </c>
      <c r="K788">
        <f>_xlfn.XLOOKUP($I788,$A:$A,C:C)</f>
        <v>95</v>
      </c>
      <c r="L788">
        <f>_xlfn.XLOOKUP($I788,$A:$A,D:D)</f>
        <v>9</v>
      </c>
      <c r="M788" t="str">
        <f>_xlfn.XLOOKUP($I788,$A:$A,E:E)</f>
        <v>L2</v>
      </c>
    </row>
    <row r="789" spans="1:13" customFormat="1" ht="20.25">
      <c r="A789" s="34">
        <v>790</v>
      </c>
      <c r="B789" s="33" t="s">
        <v>869</v>
      </c>
      <c r="C789" s="34">
        <v>25</v>
      </c>
      <c r="D789" s="33">
        <v>3</v>
      </c>
      <c r="E789" s="33" t="s">
        <v>1416</v>
      </c>
      <c r="I789">
        <v>839</v>
      </c>
      <c r="J789" t="str">
        <f>_xlfn.XLOOKUP($I789,$A:$A,B:B)</f>
        <v>significa</v>
      </c>
      <c r="K789">
        <f>_xlfn.XLOOKUP($I789,$A:$A,C:C)</f>
        <v>24</v>
      </c>
      <c r="L789">
        <f>_xlfn.XLOOKUP($I789,$A:$A,D:D)</f>
        <v>15</v>
      </c>
      <c r="M789" t="str">
        <f>_xlfn.XLOOKUP($I789,$A:$A,E:E)</f>
        <v>L2</v>
      </c>
    </row>
    <row r="790" spans="1:13" customFormat="1" ht="20.25">
      <c r="A790" s="34">
        <v>791</v>
      </c>
      <c r="B790" s="33" t="s">
        <v>870</v>
      </c>
      <c r="C790" s="34">
        <v>25</v>
      </c>
      <c r="D790" s="33">
        <v>15</v>
      </c>
      <c r="E790" s="33" t="s">
        <v>1413</v>
      </c>
      <c r="I790">
        <v>437</v>
      </c>
      <c r="J790" t="str">
        <f>_xlfn.XLOOKUP($I790,$A:$A,B:B)</f>
        <v>sigue</v>
      </c>
      <c r="K790">
        <f>_xlfn.XLOOKUP($I790,$A:$A,C:C)</f>
        <v>40</v>
      </c>
      <c r="L790">
        <f>_xlfn.XLOOKUP($I790,$A:$A,D:D)</f>
        <v>2</v>
      </c>
      <c r="M790" t="str">
        <f>_xlfn.XLOOKUP($I790,$A:$A,E:E)</f>
        <v>L2</v>
      </c>
    </row>
    <row r="791" spans="1:13" customFormat="1" ht="20.25">
      <c r="A791" s="34">
        <v>792</v>
      </c>
      <c r="B791" s="33" t="s">
        <v>871</v>
      </c>
      <c r="C791" s="34">
        <v>25</v>
      </c>
      <c r="D791" s="33">
        <v>9</v>
      </c>
      <c r="E791" s="33" t="s">
        <v>1416</v>
      </c>
      <c r="I791">
        <v>207</v>
      </c>
      <c r="J791" t="str">
        <f>_xlfn.XLOOKUP($I791,$A:$A,B:B)</f>
        <v>siguiente</v>
      </c>
      <c r="K791">
        <f>_xlfn.XLOOKUP($I791,$A:$A,C:C)</f>
        <v>75</v>
      </c>
      <c r="L791">
        <f>_xlfn.XLOOKUP($I791,$A:$A,D:D)</f>
        <v>9</v>
      </c>
      <c r="M791" t="str">
        <f>_xlfn.XLOOKUP($I791,$A:$A,E:E)</f>
        <v>L2</v>
      </c>
    </row>
    <row r="792" spans="1:13" customFormat="1" ht="20.25">
      <c r="A792" s="34">
        <v>793</v>
      </c>
      <c r="B792" s="33" t="s">
        <v>872</v>
      </c>
      <c r="C792" s="34">
        <v>25</v>
      </c>
      <c r="D792" s="33">
        <v>2</v>
      </c>
      <c r="E792" s="33" t="s">
        <v>1419</v>
      </c>
      <c r="I792">
        <v>514</v>
      </c>
      <c r="J792" t="str">
        <f>_xlfn.XLOOKUP($I792,$A:$A,B:B)</f>
        <v>siguientes</v>
      </c>
      <c r="K792">
        <f>_xlfn.XLOOKUP($I792,$A:$A,C:C)</f>
        <v>36</v>
      </c>
      <c r="L792">
        <f>_xlfn.XLOOKUP($I792,$A:$A,D:D)</f>
        <v>9</v>
      </c>
      <c r="M792" t="str">
        <f>_xlfn.XLOOKUP($I792,$A:$A,E:E)</f>
        <v>L2</v>
      </c>
    </row>
    <row r="793" spans="1:13" customFormat="1" ht="20.25">
      <c r="A793" s="34">
        <v>794</v>
      </c>
      <c r="B793" s="33" t="s">
        <v>873</v>
      </c>
      <c r="C793" s="34">
        <v>25</v>
      </c>
      <c r="D793" s="33">
        <v>6</v>
      </c>
      <c r="E793" s="33" t="s">
        <v>1416</v>
      </c>
      <c r="I793">
        <v>840</v>
      </c>
      <c r="J793" t="str">
        <f>_xlfn.XLOOKUP($I793,$A:$A,B:B)</f>
        <v>similar</v>
      </c>
      <c r="K793">
        <f>_xlfn.XLOOKUP($I793,$A:$A,C:C)</f>
        <v>24</v>
      </c>
      <c r="L793">
        <f>_xlfn.XLOOKUP($I793,$A:$A,D:D)</f>
        <v>15</v>
      </c>
      <c r="M793" t="str">
        <f>_xlfn.XLOOKUP($I793,$A:$A,E:E)</f>
        <v>L2</v>
      </c>
    </row>
    <row r="794" spans="1:13" customFormat="1" ht="20.25">
      <c r="A794" s="34">
        <v>795</v>
      </c>
      <c r="B794" s="33" t="s">
        <v>874</v>
      </c>
      <c r="C794" s="34">
        <v>25</v>
      </c>
      <c r="D794" s="33">
        <v>3</v>
      </c>
      <c r="E794" s="33" t="s">
        <v>1416</v>
      </c>
      <c r="I794">
        <v>53</v>
      </c>
      <c r="J794" t="str">
        <f>_xlfn.XLOOKUP($I794,$A:$A,B:B)</f>
        <v>sin</v>
      </c>
      <c r="K794">
        <f>_xlfn.XLOOKUP($I794,$A:$A,C:C)</f>
        <v>236</v>
      </c>
      <c r="L794">
        <f>_xlfn.XLOOKUP($I794,$A:$A,D:D)</f>
        <v>8</v>
      </c>
      <c r="M794" t="str">
        <f>_xlfn.XLOOKUP($I794,$A:$A,E:E)</f>
        <v>L1</v>
      </c>
    </row>
    <row r="795" spans="1:13" customFormat="1" ht="20.25">
      <c r="A795" s="34">
        <v>796</v>
      </c>
      <c r="B795" s="33" t="s">
        <v>875</v>
      </c>
      <c r="C795" s="34">
        <v>25</v>
      </c>
      <c r="D795" s="33">
        <v>12</v>
      </c>
      <c r="E795" s="33" t="s">
        <v>1416</v>
      </c>
      <c r="I795">
        <v>218</v>
      </c>
      <c r="J795" t="str">
        <f>_xlfn.XLOOKUP($I795,$A:$A,B:B)</f>
        <v>sino</v>
      </c>
      <c r="K795">
        <f>_xlfn.XLOOKUP($I795,$A:$A,C:C)</f>
        <v>71</v>
      </c>
      <c r="L795">
        <f>_xlfn.XLOOKUP($I795,$A:$A,D:D)</f>
        <v>12</v>
      </c>
      <c r="M795" t="str">
        <f>_xlfn.XLOOKUP($I795,$A:$A,E:E)</f>
        <v>L2</v>
      </c>
    </row>
    <row r="796" spans="1:13" customFormat="1" ht="20.25">
      <c r="A796" s="34">
        <v>797</v>
      </c>
      <c r="B796" s="33" t="s">
        <v>876</v>
      </c>
      <c r="C796" s="34">
        <v>25</v>
      </c>
      <c r="D796" s="33">
        <v>15</v>
      </c>
      <c r="E796" s="33" t="s">
        <v>1413</v>
      </c>
      <c r="I796">
        <v>151</v>
      </c>
      <c r="J796" t="str">
        <f>_xlfn.XLOOKUP($I796,$A:$A,B:B)</f>
        <v>sistema</v>
      </c>
      <c r="K796">
        <f>_xlfn.XLOOKUP($I796,$A:$A,C:C)</f>
        <v>92</v>
      </c>
      <c r="L796">
        <f>_xlfn.XLOOKUP($I796,$A:$A,D:D)</f>
        <v>6</v>
      </c>
      <c r="M796" t="str">
        <f>_xlfn.XLOOKUP($I796,$A:$A,E:E)</f>
        <v>L2</v>
      </c>
    </row>
    <row r="797" spans="1:13" customFormat="1" ht="20.25">
      <c r="A797" s="34">
        <v>798</v>
      </c>
      <c r="B797" s="33" t="s">
        <v>877</v>
      </c>
      <c r="C797" s="34">
        <v>25</v>
      </c>
      <c r="D797" s="33">
        <v>2</v>
      </c>
      <c r="E797" s="33" t="s">
        <v>1416</v>
      </c>
      <c r="I797">
        <v>594</v>
      </c>
      <c r="J797" t="str">
        <f>_xlfn.XLOOKUP($I797,$A:$A,B:B)</f>
        <v>sistemas</v>
      </c>
      <c r="K797">
        <f>_xlfn.XLOOKUP($I797,$A:$A,C:C)</f>
        <v>31</v>
      </c>
      <c r="L797">
        <f>_xlfn.XLOOKUP($I797,$A:$A,D:D)</f>
        <v>6</v>
      </c>
      <c r="M797" t="str">
        <f>_xlfn.XLOOKUP($I797,$A:$A,E:E)</f>
        <v>L2</v>
      </c>
    </row>
    <row r="798" spans="1:13" customFormat="1" ht="20.25">
      <c r="A798" s="34">
        <v>799</v>
      </c>
      <c r="B798" s="33" t="s">
        <v>878</v>
      </c>
      <c r="C798" s="34">
        <v>25</v>
      </c>
      <c r="D798" s="33">
        <v>6</v>
      </c>
      <c r="E798" s="33" t="s">
        <v>1413</v>
      </c>
      <c r="I798">
        <v>515</v>
      </c>
      <c r="J798" t="str">
        <f>_xlfn.XLOOKUP($I798,$A:$A,B:B)</f>
        <v>sitio</v>
      </c>
      <c r="K798">
        <f>_xlfn.XLOOKUP($I798,$A:$A,C:C)</f>
        <v>36</v>
      </c>
      <c r="L798">
        <f>_xlfn.XLOOKUP($I798,$A:$A,D:D)</f>
        <v>13</v>
      </c>
      <c r="M798" t="str">
        <f>_xlfn.XLOOKUP($I798,$A:$A,E:E)</f>
        <v>L2</v>
      </c>
    </row>
    <row r="799" spans="1:13" customFormat="1" ht="20.25">
      <c r="A799" s="34">
        <v>800</v>
      </c>
      <c r="B799" s="33" t="s">
        <v>879</v>
      </c>
      <c r="C799" s="34">
        <v>25</v>
      </c>
      <c r="D799" s="33">
        <v>4</v>
      </c>
      <c r="E799" s="33" t="s">
        <v>1416</v>
      </c>
      <c r="I799">
        <v>516</v>
      </c>
      <c r="J799" t="str">
        <f>_xlfn.XLOOKUP($I799,$A:$A,B:B)</f>
        <v>situación</v>
      </c>
      <c r="K799">
        <f>_xlfn.XLOOKUP($I799,$A:$A,C:C)</f>
        <v>36</v>
      </c>
      <c r="L799">
        <f>_xlfn.XLOOKUP($I799,$A:$A,D:D)</f>
        <v>12</v>
      </c>
      <c r="M799" t="str">
        <f>_xlfn.XLOOKUP($I799,$A:$A,E:E)</f>
        <v>L2</v>
      </c>
    </row>
    <row r="800" spans="1:13" customFormat="1" ht="20.25">
      <c r="A800" s="34">
        <v>801</v>
      </c>
      <c r="B800" s="33" t="s">
        <v>880</v>
      </c>
      <c r="C800" s="34">
        <v>25</v>
      </c>
      <c r="D800" s="33">
        <v>1</v>
      </c>
      <c r="E800" s="33" t="s">
        <v>1416</v>
      </c>
      <c r="I800">
        <v>38</v>
      </c>
      <c r="J800" t="str">
        <f>_xlfn.XLOOKUP($I800,$A:$A,B:B)</f>
        <v>sobre</v>
      </c>
      <c r="K800">
        <f>_xlfn.XLOOKUP($I800,$A:$A,C:C)</f>
        <v>313</v>
      </c>
      <c r="L800">
        <f>_xlfn.XLOOKUP($I800,$A:$A,D:D)</f>
        <v>12</v>
      </c>
      <c r="M800" t="str">
        <f>_xlfn.XLOOKUP($I800,$A:$A,E:E)</f>
        <v>L2</v>
      </c>
    </row>
    <row r="801" spans="1:13" customFormat="1" ht="20.25">
      <c r="A801" s="34">
        <v>802</v>
      </c>
      <c r="B801" s="33" t="s">
        <v>881</v>
      </c>
      <c r="C801" s="34">
        <v>25</v>
      </c>
      <c r="D801" s="33">
        <v>9</v>
      </c>
      <c r="E801" s="33" t="s">
        <v>1416</v>
      </c>
      <c r="I801">
        <v>500</v>
      </c>
      <c r="J801" t="str">
        <f>_xlfn.XLOOKUP($I801,$A:$A,B:B)</f>
        <v>social</v>
      </c>
      <c r="K801">
        <f>_xlfn.XLOOKUP($I801,$A:$A,C:C)</f>
        <v>0</v>
      </c>
      <c r="L801">
        <f>_xlfn.XLOOKUP($I801,$A:$A,D:D)</f>
        <v>12</v>
      </c>
      <c r="M801" t="str">
        <f>_xlfn.XLOOKUP($I801,$A:$A,E:E)</f>
        <v>L2</v>
      </c>
    </row>
    <row r="802" spans="1:13" customFormat="1" ht="20.25">
      <c r="A802" s="34">
        <v>803</v>
      </c>
      <c r="B802" s="33" t="s">
        <v>882</v>
      </c>
      <c r="C802" s="34">
        <v>25</v>
      </c>
      <c r="D802" s="33">
        <v>13</v>
      </c>
      <c r="E802" s="33" t="s">
        <v>1413</v>
      </c>
      <c r="I802">
        <v>796</v>
      </c>
      <c r="J802" t="str">
        <f>_xlfn.XLOOKUP($I802,$A:$A,B:B)</f>
        <v>sociales</v>
      </c>
      <c r="K802">
        <f>_xlfn.XLOOKUP($I802,$A:$A,C:C)</f>
        <v>25</v>
      </c>
      <c r="L802">
        <f>_xlfn.XLOOKUP($I802,$A:$A,D:D)</f>
        <v>12</v>
      </c>
      <c r="M802" t="str">
        <f>_xlfn.XLOOKUP($I802,$A:$A,E:E)</f>
        <v>L2</v>
      </c>
    </row>
    <row r="803" spans="1:13" customFormat="1" ht="20.25">
      <c r="A803" s="34"/>
      <c r="B803" s="33"/>
      <c r="C803" s="34"/>
      <c r="D803" s="33"/>
      <c r="E803" s="33"/>
      <c r="I803">
        <v>567</v>
      </c>
      <c r="J803" t="str">
        <f>_xlfn.XLOOKUP($I803,$A:$A,B:B)</f>
        <v>sociedad</v>
      </c>
      <c r="K803">
        <f>_xlfn.XLOOKUP($I803,$A:$A,C:C)</f>
        <v>33</v>
      </c>
      <c r="L803">
        <f>_xlfn.XLOOKUP($I803,$A:$A,D:D)</f>
        <v>12</v>
      </c>
      <c r="M803" t="str">
        <f>_xlfn.XLOOKUP($I803,$A:$A,E:E)</f>
        <v>L2</v>
      </c>
    </row>
    <row r="804" spans="1:13" customFormat="1" ht="20.25">
      <c r="A804" s="34">
        <v>805</v>
      </c>
      <c r="B804" s="33" t="s">
        <v>884</v>
      </c>
      <c r="C804" s="34">
        <v>25</v>
      </c>
      <c r="D804" s="33">
        <v>10</v>
      </c>
      <c r="E804" s="33" t="s">
        <v>1413</v>
      </c>
      <c r="I804">
        <v>626</v>
      </c>
      <c r="J804" t="str">
        <f>_xlfn.XLOOKUP($I804,$A:$A,B:B)</f>
        <v>soldados</v>
      </c>
      <c r="K804">
        <f>_xlfn.XLOOKUP($I804,$A:$A,C:C)</f>
        <v>30</v>
      </c>
      <c r="L804">
        <f>_xlfn.XLOOKUP($I804,$A:$A,D:D)</f>
        <v>1</v>
      </c>
      <c r="M804" t="str">
        <f>_xlfn.XLOOKUP($I804,$A:$A,E:E)</f>
        <v>L2</v>
      </c>
    </row>
    <row r="805" spans="1:13" customFormat="1" ht="20.25">
      <c r="A805" s="34">
        <v>806</v>
      </c>
      <c r="B805" s="33" t="s">
        <v>885</v>
      </c>
      <c r="C805" s="34">
        <v>25</v>
      </c>
      <c r="D805" s="33">
        <v>9</v>
      </c>
      <c r="E805" s="33" t="s">
        <v>1416</v>
      </c>
      <c r="I805">
        <v>75</v>
      </c>
      <c r="J805" t="str">
        <f>_xlfn.XLOOKUP($I805,$A:$A,B:B)</f>
        <v>solo</v>
      </c>
      <c r="K805">
        <f>_xlfn.XLOOKUP($I805,$A:$A,C:C)</f>
        <v>165</v>
      </c>
      <c r="L805">
        <f>_xlfn.XLOOKUP($I805,$A:$A,D:D)</f>
        <v>13</v>
      </c>
      <c r="M805" t="str">
        <f>_xlfn.XLOOKUP($I805,$A:$A,E:E)</f>
        <v>L1</v>
      </c>
    </row>
    <row r="806" spans="1:13" customFormat="1" ht="20.25">
      <c r="A806" s="34">
        <v>807</v>
      </c>
      <c r="B806" s="33" t="s">
        <v>886</v>
      </c>
      <c r="C806" s="34">
        <v>25</v>
      </c>
      <c r="D806" s="33">
        <v>1</v>
      </c>
      <c r="E806" s="33" t="s">
        <v>1419</v>
      </c>
      <c r="I806">
        <v>321</v>
      </c>
      <c r="J806" t="str">
        <f>_xlfn.XLOOKUP($I806,$A:$A,B:B)</f>
        <v>sólo</v>
      </c>
      <c r="K806">
        <f>_xlfn.XLOOKUP($I806,$A:$A,C:C)</f>
        <v>51</v>
      </c>
      <c r="L806">
        <f>_xlfn.XLOOKUP($I806,$A:$A,D:D)</f>
        <v>12</v>
      </c>
      <c r="M806" t="str">
        <f>_xlfn.XLOOKUP($I806,$A:$A,E:E)</f>
        <v>L1</v>
      </c>
    </row>
    <row r="807" spans="1:13" customFormat="1" ht="20.25">
      <c r="A807" s="34">
        <v>808</v>
      </c>
      <c r="B807" s="33" t="s">
        <v>887</v>
      </c>
      <c r="C807" s="34">
        <v>25</v>
      </c>
      <c r="D807" s="33">
        <v>12</v>
      </c>
      <c r="E807" s="33" t="s">
        <v>1416</v>
      </c>
      <c r="I807">
        <v>40</v>
      </c>
      <c r="J807" t="str">
        <f>_xlfn.XLOOKUP($I807,$A:$A,B:B)</f>
        <v>son</v>
      </c>
      <c r="K807">
        <f>_xlfn.XLOOKUP($I807,$A:$A,C:C)</f>
        <v>311</v>
      </c>
      <c r="L807">
        <f>_xlfn.XLOOKUP($I807,$A:$A,D:D)</f>
        <v>2</v>
      </c>
      <c r="M807" t="str">
        <f>_xlfn.XLOOKUP($I807,$A:$A,E:E)</f>
        <v>L1</v>
      </c>
    </row>
    <row r="808" spans="1:13" customFormat="1" ht="20.25">
      <c r="A808" s="34">
        <v>809</v>
      </c>
      <c r="B808" s="33" t="s">
        <v>888</v>
      </c>
      <c r="C808" s="34">
        <v>25</v>
      </c>
      <c r="D808" s="33">
        <v>6</v>
      </c>
      <c r="E808" s="33" t="s">
        <v>1416</v>
      </c>
      <c r="I808">
        <v>12</v>
      </c>
      <c r="J808" t="str">
        <f>_xlfn.XLOOKUP($I808,$A:$A,B:B)</f>
        <v>su</v>
      </c>
      <c r="K808">
        <f>_xlfn.XLOOKUP($I808,$A:$A,C:C)</f>
        <v>2051</v>
      </c>
      <c r="L808">
        <f>_xlfn.XLOOKUP($I808,$A:$A,D:D)</f>
        <v>5</v>
      </c>
      <c r="M808" t="str">
        <f>_xlfn.XLOOKUP($I808,$A:$A,E:E)</f>
        <v>L1</v>
      </c>
    </row>
    <row r="809" spans="1:13" customFormat="1" ht="20.25">
      <c r="A809" s="34">
        <v>810</v>
      </c>
      <c r="B809" s="33" t="s">
        <v>889</v>
      </c>
      <c r="C809" s="34">
        <v>25</v>
      </c>
      <c r="D809" s="33">
        <v>15</v>
      </c>
      <c r="E809" s="33" t="s">
        <v>1416</v>
      </c>
      <c r="I809">
        <v>841</v>
      </c>
      <c r="J809" t="str">
        <f>_xlfn.XLOOKUP($I809,$A:$A,B:B)</f>
        <v>suelo</v>
      </c>
      <c r="K809">
        <f>_xlfn.XLOOKUP($I809,$A:$A,C:C)</f>
        <v>24</v>
      </c>
      <c r="L809">
        <f>_xlfn.XLOOKUP($I809,$A:$A,D:D)</f>
        <v>10</v>
      </c>
      <c r="M809" t="str">
        <f>_xlfn.XLOOKUP($I809,$A:$A,E:E)</f>
        <v>L2</v>
      </c>
    </row>
    <row r="810" spans="1:13" customFormat="1" ht="20.25">
      <c r="A810" s="34">
        <v>811</v>
      </c>
      <c r="B810" s="33" t="s">
        <v>890</v>
      </c>
      <c r="C810" s="34">
        <v>25</v>
      </c>
      <c r="D810" s="33">
        <v>8</v>
      </c>
      <c r="E810" s="33" t="s">
        <v>1416</v>
      </c>
      <c r="I810">
        <v>595</v>
      </c>
      <c r="J810" t="str">
        <f>_xlfn.XLOOKUP($I810,$A:$A,B:B)</f>
        <v>superficie</v>
      </c>
      <c r="K810">
        <f>_xlfn.XLOOKUP($I810,$A:$A,C:C)</f>
        <v>31</v>
      </c>
      <c r="L810">
        <f>_xlfn.XLOOKUP($I810,$A:$A,D:D)</f>
        <v>10</v>
      </c>
      <c r="M810" t="str">
        <f>_xlfn.XLOOKUP($I810,$A:$A,E:E)</f>
        <v>L2</v>
      </c>
    </row>
    <row r="811" spans="1:13" customFormat="1" ht="20.25">
      <c r="A811" s="34">
        <v>812</v>
      </c>
      <c r="B811" s="33" t="s">
        <v>891</v>
      </c>
      <c r="C811" s="34"/>
      <c r="D811" s="33">
        <v>3</v>
      </c>
      <c r="E811" s="33" t="s">
        <v>1419</v>
      </c>
      <c r="I811">
        <v>596</v>
      </c>
      <c r="J811" t="str">
        <f>_xlfn.XLOOKUP($I811,$A:$A,B:B)</f>
        <v>superior</v>
      </c>
      <c r="K811">
        <f>_xlfn.XLOOKUP($I811,$A:$A,C:C)</f>
        <v>31</v>
      </c>
      <c r="L811">
        <f>_xlfn.XLOOKUP($I811,$A:$A,D:D)</f>
        <v>7</v>
      </c>
      <c r="M811" t="str">
        <f>_xlfn.XLOOKUP($I811,$A:$A,E:E)</f>
        <v>L2</v>
      </c>
    </row>
    <row r="812" spans="1:13" customFormat="1" ht="20.25">
      <c r="A812" s="34">
        <v>813</v>
      </c>
      <c r="B812" s="33" t="s">
        <v>892</v>
      </c>
      <c r="C812" s="34"/>
      <c r="D812" s="33">
        <v>9</v>
      </c>
      <c r="E812" s="33" t="s">
        <v>1416</v>
      </c>
      <c r="I812">
        <v>361</v>
      </c>
      <c r="J812" t="str">
        <f>_xlfn.XLOOKUP($I812,$A:$A,B:B)</f>
        <v>sur</v>
      </c>
      <c r="K812">
        <f>_xlfn.XLOOKUP($I812,$A:$A,C:C)</f>
        <v>47</v>
      </c>
      <c r="L812">
        <f>_xlfn.XLOOKUP($I812,$A:$A,D:D)</f>
        <v>10</v>
      </c>
      <c r="M812" t="str">
        <f>_xlfn.XLOOKUP($I812,$A:$A,E:E)</f>
        <v>L1</v>
      </c>
    </row>
    <row r="813" spans="1:13" customFormat="1" ht="20.25">
      <c r="A813" s="34">
        <v>814</v>
      </c>
      <c r="B813" s="33" t="s">
        <v>893</v>
      </c>
      <c r="C813" s="34"/>
      <c r="D813" s="33">
        <v>15</v>
      </c>
      <c r="E813" s="33" t="s">
        <v>1413</v>
      </c>
      <c r="I813">
        <v>27</v>
      </c>
      <c r="J813" t="str">
        <f>_xlfn.XLOOKUP($I813,$A:$A,B:B)</f>
        <v>sus</v>
      </c>
      <c r="K813">
        <f>_xlfn.XLOOKUP($I813,$A:$A,C:C)</f>
        <v>663</v>
      </c>
      <c r="L813">
        <f>_xlfn.XLOOKUP($I813,$A:$A,D:D)</f>
        <v>12</v>
      </c>
      <c r="M813" t="str">
        <f>_xlfn.XLOOKUP($I813,$A:$A,E:E)</f>
        <v>L1</v>
      </c>
    </row>
    <row r="814" spans="1:13" customFormat="1" ht="20.25">
      <c r="A814" s="34">
        <v>815</v>
      </c>
      <c r="B814" s="33" t="s">
        <v>894</v>
      </c>
      <c r="C814" s="34">
        <v>24</v>
      </c>
      <c r="D814" s="33">
        <v>8</v>
      </c>
      <c r="E814" s="33" t="s">
        <v>1419</v>
      </c>
      <c r="I814">
        <v>627</v>
      </c>
      <c r="J814" t="str">
        <f>_xlfn.XLOOKUP($I814,$A:$A,B:B)</f>
        <v>tal</v>
      </c>
      <c r="K814">
        <f>_xlfn.XLOOKUP($I814,$A:$A,C:C)</f>
        <v>30</v>
      </c>
      <c r="L814">
        <f>_xlfn.XLOOKUP($I814,$A:$A,D:D)</f>
        <v>12</v>
      </c>
      <c r="M814" t="str">
        <f>_xlfn.XLOOKUP($I814,$A:$A,E:E)</f>
        <v>L2</v>
      </c>
    </row>
    <row r="815" spans="1:13" customFormat="1" ht="20.25">
      <c r="A815" s="34">
        <v>816</v>
      </c>
      <c r="B815" s="33" t="s">
        <v>895</v>
      </c>
      <c r="C815" s="34">
        <v>24</v>
      </c>
      <c r="D815" s="33">
        <v>6</v>
      </c>
      <c r="E815" s="33" t="s">
        <v>1419</v>
      </c>
      <c r="I815">
        <v>628</v>
      </c>
      <c r="J815" t="str">
        <f>_xlfn.XLOOKUP($I815,$A:$A,B:B)</f>
        <v>tamaño</v>
      </c>
      <c r="K815">
        <f>_xlfn.XLOOKUP($I815,$A:$A,C:C)</f>
        <v>30</v>
      </c>
      <c r="L815">
        <f>_xlfn.XLOOKUP($I815,$A:$A,D:D)</f>
        <v>6</v>
      </c>
      <c r="M815" t="str">
        <f>_xlfn.XLOOKUP($I815,$A:$A,E:E)</f>
        <v>L2</v>
      </c>
    </row>
    <row r="816" spans="1:13" customFormat="1" ht="20.25">
      <c r="A816" s="34">
        <v>817</v>
      </c>
      <c r="B816" s="33" t="s">
        <v>896</v>
      </c>
      <c r="C816" s="34">
        <v>24</v>
      </c>
      <c r="D816" s="33">
        <v>3</v>
      </c>
      <c r="E816" s="33" t="s">
        <v>1416</v>
      </c>
      <c r="I816">
        <v>30</v>
      </c>
      <c r="J816" t="str">
        <f>_xlfn.XLOOKUP($I816,$A:$A,B:B)</f>
        <v>también</v>
      </c>
      <c r="K816">
        <f>_xlfn.XLOOKUP($I816,$A:$A,C:C)</f>
        <v>390</v>
      </c>
      <c r="L816">
        <f>_xlfn.XLOOKUP($I816,$A:$A,D:D)</f>
        <v>12</v>
      </c>
      <c r="M816" t="str">
        <f>_xlfn.XLOOKUP($I816,$A:$A,E:E)</f>
        <v>L1</v>
      </c>
    </row>
    <row r="817" spans="1:13" customFormat="1" ht="20.25">
      <c r="A817" s="34">
        <v>818</v>
      </c>
      <c r="B817" s="33" t="s">
        <v>897</v>
      </c>
      <c r="C817" s="34">
        <v>24</v>
      </c>
      <c r="D817" s="33">
        <v>5</v>
      </c>
      <c r="E817" s="33" t="s">
        <v>1419</v>
      </c>
      <c r="I817">
        <v>289</v>
      </c>
      <c r="J817" t="str">
        <f>_xlfn.XLOOKUP($I817,$A:$A,B:B)</f>
        <v>tan</v>
      </c>
      <c r="K817">
        <f>_xlfn.XLOOKUP($I817,$A:$A,C:C)</f>
        <v>56</v>
      </c>
      <c r="L817">
        <f>_xlfn.XLOOKUP($I817,$A:$A,D:D)</f>
        <v>12</v>
      </c>
      <c r="M817" t="str">
        <f>_xlfn.XLOOKUP($I817,$A:$A,E:E)</f>
        <v>L1</v>
      </c>
    </row>
    <row r="818" spans="1:13" customFormat="1" ht="20.25">
      <c r="A818" s="34">
        <v>819</v>
      </c>
      <c r="B818" s="33" t="s">
        <v>898</v>
      </c>
      <c r="C818" s="34">
        <v>24</v>
      </c>
      <c r="D818" s="33">
        <v>9</v>
      </c>
      <c r="E818" s="33" t="s">
        <v>1413</v>
      </c>
      <c r="I818">
        <v>87</v>
      </c>
      <c r="J818" t="str">
        <f>_xlfn.XLOOKUP($I818,$A:$A,B:B)</f>
        <v>tanto</v>
      </c>
      <c r="K818">
        <f>_xlfn.XLOOKUP($I818,$A:$A,C:C)</f>
        <v>137</v>
      </c>
      <c r="L818">
        <f>_xlfn.XLOOKUP($I818,$A:$A,D:D)</f>
        <v>4</v>
      </c>
      <c r="M818" t="str">
        <f>_xlfn.XLOOKUP($I818,$A:$A,E:E)</f>
        <v>L2</v>
      </c>
    </row>
    <row r="819" spans="1:13" customFormat="1" ht="20.25">
      <c r="A819" s="34">
        <v>820</v>
      </c>
      <c r="B819" s="33" t="s">
        <v>899</v>
      </c>
      <c r="C819" s="34">
        <v>24</v>
      </c>
      <c r="D819" s="33">
        <v>10</v>
      </c>
      <c r="E819" s="33" t="s">
        <v>1413</v>
      </c>
      <c r="I819">
        <v>167</v>
      </c>
      <c r="J819" t="str">
        <f>_xlfn.XLOOKUP($I819,$A:$A,B:B)</f>
        <v>tarde</v>
      </c>
      <c r="K819">
        <f>_xlfn.XLOOKUP($I819,$A:$A,C:C)</f>
        <v>85</v>
      </c>
      <c r="L819">
        <f>_xlfn.XLOOKUP($I819,$A:$A,D:D)</f>
        <v>13</v>
      </c>
      <c r="M819" t="str">
        <f>_xlfn.XLOOKUP($I819,$A:$A,E:E)</f>
        <v>L1</v>
      </c>
    </row>
    <row r="820" spans="1:13" customFormat="1" ht="20.25">
      <c r="A820" s="34">
        <v>821</v>
      </c>
      <c r="B820" s="33" t="s">
        <v>900</v>
      </c>
      <c r="C820" s="34">
        <v>24</v>
      </c>
      <c r="D820" s="33">
        <v>6</v>
      </c>
      <c r="E820" s="33" t="s">
        <v>1416</v>
      </c>
      <c r="I820">
        <v>892</v>
      </c>
      <c r="J820" t="str">
        <f>_xlfn.XLOOKUP($I820,$A:$A,B:B)</f>
        <v>teatro</v>
      </c>
      <c r="K820">
        <f>_xlfn.XLOOKUP($I820,$A:$A,C:C)</f>
        <v>23</v>
      </c>
      <c r="L820">
        <f>_xlfn.XLOOKUP($I820,$A:$A,D:D)</f>
        <v>3</v>
      </c>
      <c r="M820" t="str">
        <f>_xlfn.XLOOKUP($I820,$A:$A,E:E)</f>
        <v>L1</v>
      </c>
    </row>
    <row r="821" spans="1:13" customFormat="1" ht="20.25">
      <c r="A821" s="34">
        <v>822</v>
      </c>
      <c r="B821" s="33" t="s">
        <v>901</v>
      </c>
      <c r="C821" s="34">
        <v>24</v>
      </c>
      <c r="D821" s="33">
        <v>6</v>
      </c>
      <c r="E821" s="33" t="s">
        <v>1419</v>
      </c>
      <c r="I821">
        <v>843</v>
      </c>
      <c r="J821" t="str">
        <f>_xlfn.XLOOKUP($I821,$A:$A,B:B)</f>
        <v>técnica</v>
      </c>
      <c r="K821">
        <f>_xlfn.XLOOKUP($I821,$A:$A,C:C)</f>
        <v>24</v>
      </c>
      <c r="L821">
        <f>_xlfn.XLOOKUP($I821,$A:$A,D:D)</f>
        <v>6</v>
      </c>
      <c r="M821" t="str">
        <f>_xlfn.XLOOKUP($I821,$A:$A,E:E)</f>
        <v>L3</v>
      </c>
    </row>
    <row r="822" spans="1:13" customFormat="1" ht="20.25">
      <c r="A822" s="34">
        <v>823</v>
      </c>
      <c r="B822" s="33" t="s">
        <v>902</v>
      </c>
      <c r="C822" s="34">
        <v>24</v>
      </c>
      <c r="D822" s="33">
        <v>13</v>
      </c>
      <c r="E822" s="33" t="s">
        <v>1413</v>
      </c>
      <c r="I822">
        <v>655</v>
      </c>
      <c r="J822" t="str">
        <f>_xlfn.XLOOKUP($I822,$A:$A,B:B)</f>
        <v>televisión</v>
      </c>
      <c r="K822">
        <f>_xlfn.XLOOKUP($I822,$A:$A,C:C)</f>
        <v>0</v>
      </c>
      <c r="L822">
        <f>_xlfn.XLOOKUP($I822,$A:$A,D:D)</f>
        <v>3</v>
      </c>
      <c r="M822" t="str">
        <f>_xlfn.XLOOKUP($I822,$A:$A,E:E)</f>
        <v>L2</v>
      </c>
    </row>
    <row r="823" spans="1:13" customFormat="1" ht="20.25">
      <c r="A823" s="34">
        <v>824</v>
      </c>
      <c r="B823" s="33" t="s">
        <v>903</v>
      </c>
      <c r="C823" s="34">
        <v>24</v>
      </c>
      <c r="D823" s="33">
        <v>10</v>
      </c>
      <c r="E823" s="33" t="s">
        <v>1413</v>
      </c>
      <c r="I823">
        <v>369</v>
      </c>
      <c r="J823" t="str">
        <f>_xlfn.XLOOKUP($I823,$A:$A,B:B)</f>
        <v>tema</v>
      </c>
      <c r="K823">
        <f>_xlfn.XLOOKUP($I823,$A:$A,C:C)</f>
        <v>46</v>
      </c>
      <c r="L823">
        <f>_xlfn.XLOOKUP($I823,$A:$A,D:D)</f>
        <v>12</v>
      </c>
      <c r="M823" t="str">
        <f>_xlfn.XLOOKUP($I823,$A:$A,E:E)</f>
        <v>L2</v>
      </c>
    </row>
    <row r="824" spans="1:13" customFormat="1" ht="20.25">
      <c r="A824" s="34">
        <v>825</v>
      </c>
      <c r="B824" s="33" t="s">
        <v>904</v>
      </c>
      <c r="C824" s="34">
        <v>24</v>
      </c>
      <c r="D824" s="33">
        <v>10</v>
      </c>
      <c r="E824" s="33" t="s">
        <v>1413</v>
      </c>
      <c r="I824">
        <v>397</v>
      </c>
      <c r="J824" t="str">
        <f>_xlfn.XLOOKUP($I824,$A:$A,B:B)</f>
        <v>temas</v>
      </c>
      <c r="K824">
        <f>_xlfn.XLOOKUP($I824,$A:$A,C:C)</f>
        <v>44</v>
      </c>
      <c r="L824">
        <f>_xlfn.XLOOKUP($I824,$A:$A,D:D)</f>
        <v>7</v>
      </c>
      <c r="M824" t="str">
        <f>_xlfn.XLOOKUP($I824,$A:$A,E:E)</f>
        <v>L2</v>
      </c>
    </row>
    <row r="825" spans="1:13" customFormat="1" ht="20.25">
      <c r="A825" s="34">
        <v>826</v>
      </c>
      <c r="B825" s="33" t="s">
        <v>905</v>
      </c>
      <c r="C825" s="34">
        <v>24</v>
      </c>
      <c r="D825" s="33">
        <v>12</v>
      </c>
      <c r="E825" s="33" t="s">
        <v>1416</v>
      </c>
      <c r="I825">
        <v>165</v>
      </c>
      <c r="J825" t="str">
        <f>_xlfn.XLOOKUP($I825,$A:$A,B:B)</f>
        <v>temporada</v>
      </c>
      <c r="K825">
        <f>_xlfn.XLOOKUP($I825,$A:$A,C:C)</f>
        <v>86</v>
      </c>
      <c r="L825">
        <f>_xlfn.XLOOKUP($I825,$A:$A,D:D)</f>
        <v>3</v>
      </c>
      <c r="M825" t="str">
        <f>_xlfn.XLOOKUP($I825,$A:$A,E:E)</f>
        <v>L2</v>
      </c>
    </row>
    <row r="826" spans="1:13" customFormat="1" ht="20.25">
      <c r="A826" s="34">
        <v>827</v>
      </c>
      <c r="B826" s="33" t="s">
        <v>906</v>
      </c>
      <c r="C826" s="34">
        <v>24</v>
      </c>
      <c r="D826" s="33">
        <v>1</v>
      </c>
      <c r="E826" s="33" t="s">
        <v>1416</v>
      </c>
      <c r="I826">
        <v>290</v>
      </c>
      <c r="J826" t="str">
        <f>_xlfn.XLOOKUP($I826,$A:$A,B:B)</f>
        <v>tener</v>
      </c>
      <c r="K826">
        <f>_xlfn.XLOOKUP($I826,$A:$A,C:C)</f>
        <v>56</v>
      </c>
      <c r="L826">
        <f>_xlfn.XLOOKUP($I826,$A:$A,D:D)</f>
        <v>5</v>
      </c>
      <c r="M826" t="str">
        <f>_xlfn.XLOOKUP($I826,$A:$A,E:E)</f>
        <v>L1</v>
      </c>
    </row>
    <row r="827" spans="1:13" customFormat="1" ht="20.25">
      <c r="A827" s="34">
        <v>828</v>
      </c>
      <c r="B827" s="33" t="s">
        <v>907</v>
      </c>
      <c r="C827" s="34">
        <v>24</v>
      </c>
      <c r="D827" s="33">
        <v>15</v>
      </c>
      <c r="E827" s="33" t="s">
        <v>1413</v>
      </c>
      <c r="I827">
        <v>175</v>
      </c>
      <c r="J827" t="str">
        <f>_xlfn.XLOOKUP($I827,$A:$A,B:B)</f>
        <v>tenía</v>
      </c>
      <c r="K827">
        <f>_xlfn.XLOOKUP($I827,$A:$A,C:C)</f>
        <v>82</v>
      </c>
      <c r="L827">
        <f>_xlfn.XLOOKUP($I827,$A:$A,D:D)</f>
        <v>9</v>
      </c>
      <c r="M827" t="str">
        <f>_xlfn.XLOOKUP($I827,$A:$A,E:E)</f>
        <v>L1</v>
      </c>
    </row>
    <row r="828" spans="1:13" customFormat="1" ht="20.25">
      <c r="A828" s="34">
        <v>829</v>
      </c>
      <c r="B828" s="33" t="s">
        <v>908</v>
      </c>
      <c r="C828" s="34">
        <v>24</v>
      </c>
      <c r="D828" s="33">
        <v>10</v>
      </c>
      <c r="E828" s="33" t="s">
        <v>1416</v>
      </c>
      <c r="I828">
        <v>362</v>
      </c>
      <c r="J828" t="str">
        <f>_xlfn.XLOOKUP($I828,$A:$A,B:B)</f>
        <v>tenían</v>
      </c>
      <c r="K828">
        <f>_xlfn.XLOOKUP($I828,$A:$A,C:C)</f>
        <v>47</v>
      </c>
      <c r="L828">
        <f>_xlfn.XLOOKUP($I828,$A:$A,D:D)</f>
        <v>9</v>
      </c>
      <c r="M828" t="str">
        <f>_xlfn.XLOOKUP($I828,$A:$A,E:E)</f>
        <v>L2</v>
      </c>
    </row>
    <row r="829" spans="1:13" customFormat="1" ht="20.25">
      <c r="A829" s="34">
        <v>830</v>
      </c>
      <c r="B829" s="33" t="s">
        <v>909</v>
      </c>
      <c r="C829" s="34">
        <v>24</v>
      </c>
      <c r="D829" s="33">
        <v>3</v>
      </c>
      <c r="E829" s="33" t="s">
        <v>1413</v>
      </c>
      <c r="I829">
        <v>797</v>
      </c>
      <c r="J829" t="str">
        <f>_xlfn.XLOOKUP($I829,$A:$A,B:B)</f>
        <v>tenido</v>
      </c>
      <c r="K829">
        <f>_xlfn.XLOOKUP($I829,$A:$A,C:C)</f>
        <v>25</v>
      </c>
      <c r="L829">
        <f>_xlfn.XLOOKUP($I829,$A:$A,D:D)</f>
        <v>15</v>
      </c>
      <c r="M829" t="str">
        <f>_xlfn.XLOOKUP($I829,$A:$A,E:E)</f>
        <v>L1</v>
      </c>
    </row>
    <row r="830" spans="1:13" customFormat="1" ht="20.25">
      <c r="A830" s="34">
        <v>831</v>
      </c>
      <c r="B830" s="33" t="s">
        <v>910</v>
      </c>
      <c r="C830" s="34">
        <v>24</v>
      </c>
      <c r="D830" s="33">
        <v>2</v>
      </c>
      <c r="E830" s="33" t="s">
        <v>1416</v>
      </c>
      <c r="I830">
        <v>517</v>
      </c>
      <c r="J830" t="str">
        <f>_xlfn.XLOOKUP($I830,$A:$A,B:B)</f>
        <v>tercer</v>
      </c>
      <c r="K830">
        <f>_xlfn.XLOOKUP($I830,$A:$A,C:C)</f>
        <v>36</v>
      </c>
      <c r="L830">
        <f>_xlfn.XLOOKUP($I830,$A:$A,D:D)</f>
        <v>4</v>
      </c>
      <c r="M830" t="str">
        <f>_xlfn.XLOOKUP($I830,$A:$A,E:E)</f>
        <v>L2</v>
      </c>
    </row>
    <row r="831" spans="1:13" customFormat="1" ht="20.25">
      <c r="A831" s="34">
        <v>832</v>
      </c>
      <c r="B831" s="33" t="s">
        <v>911</v>
      </c>
      <c r="C831" s="34">
        <v>24</v>
      </c>
      <c r="D831" s="33">
        <v>12</v>
      </c>
      <c r="E831" s="33" t="s">
        <v>1416</v>
      </c>
      <c r="I831">
        <v>938</v>
      </c>
      <c r="J831" t="str">
        <f>_xlfn.XLOOKUP($I831,$A:$A,B:B)</f>
        <v>tercera</v>
      </c>
      <c r="K831">
        <f>_xlfn.XLOOKUP($I831,$A:$A,C:C)</f>
        <v>22</v>
      </c>
      <c r="L831">
        <f>_xlfn.XLOOKUP($I831,$A:$A,D:D)</f>
        <v>4</v>
      </c>
      <c r="M831" t="str">
        <f>_xlfn.XLOOKUP($I831,$A:$A,E:E)</f>
        <v>L1</v>
      </c>
    </row>
    <row r="832" spans="1:13" customFormat="1" ht="20.25">
      <c r="A832" s="34">
        <v>833</v>
      </c>
      <c r="B832" s="33" t="s">
        <v>912</v>
      </c>
      <c r="C832" s="34">
        <v>24</v>
      </c>
      <c r="D832" s="33">
        <v>1</v>
      </c>
      <c r="E832" s="33" t="s">
        <v>1419</v>
      </c>
      <c r="I832">
        <v>629</v>
      </c>
      <c r="J832" t="str">
        <f>_xlfn.XLOOKUP($I832,$A:$A,B:B)</f>
        <v>terminó</v>
      </c>
      <c r="K832">
        <f>_xlfn.XLOOKUP($I832,$A:$A,C:C)</f>
        <v>30</v>
      </c>
      <c r="L832">
        <f>_xlfn.XLOOKUP($I832,$A:$A,D:D)</f>
        <v>9</v>
      </c>
      <c r="M832" t="str">
        <f>_xlfn.XLOOKUP($I832,$A:$A,E:E)</f>
        <v>L2</v>
      </c>
    </row>
    <row r="833" spans="1:13" customFormat="1" ht="20.25">
      <c r="A833" s="34">
        <v>834</v>
      </c>
      <c r="B833" s="33" t="s">
        <v>913</v>
      </c>
      <c r="C833" s="34">
        <v>24</v>
      </c>
      <c r="D833" s="33">
        <v>5</v>
      </c>
      <c r="E833" s="33" t="s">
        <v>1416</v>
      </c>
      <c r="I833">
        <v>630</v>
      </c>
      <c r="J833" t="str">
        <f>_xlfn.XLOOKUP($I833,$A:$A,B:B)</f>
        <v>término</v>
      </c>
      <c r="K833">
        <f>_xlfn.XLOOKUP($I833,$A:$A,C:C)</f>
        <v>30</v>
      </c>
      <c r="L833">
        <f>_xlfn.XLOOKUP($I833,$A:$A,D:D)</f>
        <v>8</v>
      </c>
      <c r="M833" t="str">
        <f>_xlfn.XLOOKUP($I833,$A:$A,E:E)</f>
        <v>L3</v>
      </c>
    </row>
    <row r="834" spans="1:13" customFormat="1" ht="20.25">
      <c r="A834" s="34">
        <v>835</v>
      </c>
      <c r="B834" s="33" t="s">
        <v>914</v>
      </c>
      <c r="C834" s="34">
        <v>24</v>
      </c>
      <c r="D834" s="33">
        <v>7</v>
      </c>
      <c r="E834" s="33" t="s">
        <v>1413</v>
      </c>
      <c r="I834">
        <v>981</v>
      </c>
      <c r="J834" t="str">
        <f>_xlfn.XLOOKUP($I834,$A:$A,B:B)</f>
        <v>territorio</v>
      </c>
      <c r="K834">
        <f>_xlfn.XLOOKUP($I834,$A:$A,C:C)</f>
        <v>21</v>
      </c>
      <c r="L834">
        <f>_xlfn.XLOOKUP($I834,$A:$A,D:D)</f>
        <v>10</v>
      </c>
      <c r="M834" t="str">
        <f>_xlfn.XLOOKUP($I834,$A:$A,E:E)</f>
        <v>L2</v>
      </c>
    </row>
    <row r="835" spans="1:13" customFormat="1" ht="20.25">
      <c r="A835" s="34">
        <v>836</v>
      </c>
      <c r="B835" s="33" t="s">
        <v>915</v>
      </c>
      <c r="C835" s="34">
        <v>24</v>
      </c>
      <c r="D835" s="33">
        <v>6</v>
      </c>
      <c r="E835" s="33" t="s">
        <v>1419</v>
      </c>
      <c r="I835">
        <v>982</v>
      </c>
      <c r="J835" t="str">
        <f>_xlfn.XLOOKUP($I835,$A:$A,B:B)</f>
        <v>texto</v>
      </c>
      <c r="K835">
        <f>_xlfn.XLOOKUP($I835,$A:$A,C:C)</f>
        <v>21</v>
      </c>
      <c r="L835">
        <f>_xlfn.XLOOKUP($I835,$A:$A,D:D)</f>
        <v>7</v>
      </c>
      <c r="M835" t="str">
        <f>_xlfn.XLOOKUP($I835,$A:$A,E:E)</f>
        <v>L2</v>
      </c>
    </row>
    <row r="836" spans="1:13" customFormat="1" ht="20.25">
      <c r="A836" s="34">
        <v>837</v>
      </c>
      <c r="B836" s="33" t="s">
        <v>916</v>
      </c>
      <c r="C836" s="34">
        <v>24</v>
      </c>
      <c r="D836" s="33">
        <v>15</v>
      </c>
      <c r="E836" s="33" t="s">
        <v>1416</v>
      </c>
      <c r="I836">
        <v>67</v>
      </c>
      <c r="J836" t="str">
        <f>_xlfn.XLOOKUP($I836,$A:$A,B:B)</f>
        <v>tiempo</v>
      </c>
      <c r="K836">
        <f>_xlfn.XLOOKUP($I836,$A:$A,C:C)</f>
        <v>183</v>
      </c>
      <c r="L836">
        <f>_xlfn.XLOOKUP($I836,$A:$A,D:D)</f>
        <v>9</v>
      </c>
      <c r="M836" t="str">
        <f>_xlfn.XLOOKUP($I836,$A:$A,E:E)</f>
        <v>L1</v>
      </c>
    </row>
    <row r="837" spans="1:13" customFormat="1" ht="20.25">
      <c r="A837" s="34">
        <v>838</v>
      </c>
      <c r="B837" s="33" t="s">
        <v>917</v>
      </c>
      <c r="C837" s="34">
        <v>24</v>
      </c>
      <c r="D837" s="33">
        <v>1</v>
      </c>
      <c r="E837" s="33" t="s">
        <v>1413</v>
      </c>
      <c r="I837">
        <v>55</v>
      </c>
      <c r="J837" t="str">
        <f>_xlfn.XLOOKUP($I837,$A:$A,B:B)</f>
        <v>tiene</v>
      </c>
      <c r="K837">
        <f>_xlfn.XLOOKUP($I837,$A:$A,C:C)</f>
        <v>225</v>
      </c>
      <c r="L837">
        <f>_xlfn.XLOOKUP($I837,$A:$A,D:D)</f>
        <v>2</v>
      </c>
      <c r="M837" t="str">
        <f>_xlfn.XLOOKUP($I837,$A:$A,E:E)</f>
        <v>L1</v>
      </c>
    </row>
    <row r="838" spans="1:13" customFormat="1" ht="20.25">
      <c r="A838" s="34">
        <v>839</v>
      </c>
      <c r="B838" s="33" t="s">
        <v>918</v>
      </c>
      <c r="C838" s="34">
        <v>24</v>
      </c>
      <c r="D838" s="33">
        <v>15</v>
      </c>
      <c r="E838" s="33" t="s">
        <v>1416</v>
      </c>
      <c r="I838">
        <v>154</v>
      </c>
      <c r="J838" t="str">
        <f>_xlfn.XLOOKUP($I838,$A:$A,B:B)</f>
        <v>tienen</v>
      </c>
      <c r="K838">
        <f>_xlfn.XLOOKUP($I838,$A:$A,C:C)</f>
        <v>90</v>
      </c>
      <c r="L838">
        <f>_xlfn.XLOOKUP($I838,$A:$A,D:D)</f>
        <v>12</v>
      </c>
      <c r="M838" t="str">
        <f>_xlfn.XLOOKUP($I838,$A:$A,E:E)</f>
        <v>L1</v>
      </c>
    </row>
    <row r="839" spans="1:13" customFormat="1" ht="20.25">
      <c r="A839" s="34">
        <v>840</v>
      </c>
      <c r="B839" s="33" t="s">
        <v>919</v>
      </c>
      <c r="C839" s="34">
        <v>24</v>
      </c>
      <c r="D839" s="33">
        <v>15</v>
      </c>
      <c r="E839" s="33" t="s">
        <v>1416</v>
      </c>
      <c r="I839">
        <v>333</v>
      </c>
      <c r="J839" t="str">
        <f>_xlfn.XLOOKUP($I839,$A:$A,B:B)</f>
        <v>tierra</v>
      </c>
      <c r="K839">
        <f>_xlfn.XLOOKUP($I839,$A:$A,C:C)</f>
        <v>50</v>
      </c>
      <c r="L839">
        <f>_xlfn.XLOOKUP($I839,$A:$A,D:D)</f>
        <v>10</v>
      </c>
      <c r="M839" t="str">
        <f>_xlfn.XLOOKUP($I839,$A:$A,E:E)</f>
        <v>L1</v>
      </c>
    </row>
    <row r="840" spans="1:13" customFormat="1" ht="20.25">
      <c r="A840" s="34">
        <v>841</v>
      </c>
      <c r="B840" s="33" t="s">
        <v>920</v>
      </c>
      <c r="C840" s="34">
        <v>24</v>
      </c>
      <c r="D840" s="33">
        <v>10</v>
      </c>
      <c r="E840" s="33" t="s">
        <v>1416</v>
      </c>
      <c r="I840">
        <v>597</v>
      </c>
      <c r="J840" t="str">
        <f>_xlfn.XLOOKUP($I840,$A:$A,B:B)</f>
        <v>tierras</v>
      </c>
      <c r="K840">
        <f>_xlfn.XLOOKUP($I840,$A:$A,C:C)</f>
        <v>31</v>
      </c>
      <c r="L840">
        <f>_xlfn.XLOOKUP($I840,$A:$A,D:D)</f>
        <v>10</v>
      </c>
      <c r="M840" t="str">
        <f>_xlfn.XLOOKUP($I840,$A:$A,E:E)</f>
        <v>L2</v>
      </c>
    </row>
    <row r="841" spans="1:13" customFormat="1" ht="20.25">
      <c r="A841" s="34">
        <v>842</v>
      </c>
      <c r="B841" s="33" t="s">
        <v>921</v>
      </c>
      <c r="C841" s="34">
        <v>24</v>
      </c>
      <c r="D841" s="33">
        <v>1</v>
      </c>
      <c r="E841" s="33" t="s">
        <v>1413</v>
      </c>
      <c r="I841">
        <v>193</v>
      </c>
      <c r="J841" t="str">
        <f>_xlfn.XLOOKUP($I841,$A:$A,B:B)</f>
        <v>tipo</v>
      </c>
      <c r="K841">
        <f>_xlfn.XLOOKUP($I841,$A:$A,C:C)</f>
        <v>79</v>
      </c>
      <c r="L841">
        <f>_xlfn.XLOOKUP($I841,$A:$A,D:D)</f>
        <v>15</v>
      </c>
      <c r="M841" t="str">
        <f>_xlfn.XLOOKUP($I841,$A:$A,E:E)</f>
        <v>L1</v>
      </c>
    </row>
    <row r="842" spans="1:13" customFormat="1" ht="20.25">
      <c r="A842" s="34">
        <v>843</v>
      </c>
      <c r="B842" s="33" t="s">
        <v>922</v>
      </c>
      <c r="C842" s="34">
        <v>24</v>
      </c>
      <c r="D842" s="33">
        <v>6</v>
      </c>
      <c r="E842" s="33" t="s">
        <v>1419</v>
      </c>
      <c r="I842">
        <v>265</v>
      </c>
      <c r="J842" t="str">
        <f>_xlfn.XLOOKUP($I842,$A:$A,B:B)</f>
        <v>título</v>
      </c>
      <c r="K842">
        <f>_xlfn.XLOOKUP($I842,$A:$A,C:C)</f>
        <v>60</v>
      </c>
      <c r="L842">
        <f>_xlfn.XLOOKUP($I842,$A:$A,D:D)</f>
        <v>7</v>
      </c>
      <c r="M842" t="str">
        <f>_xlfn.XLOOKUP($I842,$A:$A,E:E)</f>
        <v>L2</v>
      </c>
    </row>
    <row r="843" spans="1:13" customFormat="1" ht="20.25">
      <c r="A843" s="34">
        <v>844</v>
      </c>
      <c r="B843" s="33" t="s">
        <v>923</v>
      </c>
      <c r="C843" s="34">
        <v>24</v>
      </c>
      <c r="D843" s="33">
        <v>2</v>
      </c>
      <c r="E843" s="33" t="s">
        <v>1416</v>
      </c>
      <c r="I843">
        <v>298</v>
      </c>
      <c r="J843" t="str">
        <f>_xlfn.XLOOKUP($I843,$A:$A,B:B)</f>
        <v>toda</v>
      </c>
      <c r="K843">
        <f>_xlfn.XLOOKUP($I843,$A:$A,C:C)</f>
        <v>55</v>
      </c>
      <c r="L843">
        <f>_xlfn.XLOOKUP($I843,$A:$A,D:D)</f>
        <v>12</v>
      </c>
      <c r="M843" t="str">
        <f>_xlfn.XLOOKUP($I843,$A:$A,E:E)</f>
        <v>L1</v>
      </c>
    </row>
    <row r="844" spans="1:13" customFormat="1" ht="20.25">
      <c r="A844" s="34">
        <v>845</v>
      </c>
      <c r="B844" s="33" t="s">
        <v>924</v>
      </c>
      <c r="C844" s="34">
        <v>24</v>
      </c>
      <c r="D844" s="33">
        <v>5</v>
      </c>
      <c r="E844" s="33" t="s">
        <v>1416</v>
      </c>
      <c r="I844">
        <v>248</v>
      </c>
      <c r="J844" t="str">
        <f>_xlfn.XLOOKUP($I844,$A:$A,B:B)</f>
        <v>todas</v>
      </c>
      <c r="K844">
        <f>_xlfn.XLOOKUP($I844,$A:$A,C:C)</f>
        <v>64</v>
      </c>
      <c r="L844">
        <f>_xlfn.XLOOKUP($I844,$A:$A,D:D)</f>
        <v>12</v>
      </c>
      <c r="M844" t="str">
        <f>_xlfn.XLOOKUP($I844,$A:$A,E:E)</f>
        <v>L1</v>
      </c>
    </row>
    <row r="845" spans="1:13" customFormat="1" ht="20.25">
      <c r="A845" s="34">
        <v>846</v>
      </c>
      <c r="B845" s="33" t="s">
        <v>925</v>
      </c>
      <c r="C845" s="34">
        <v>24</v>
      </c>
      <c r="D845" s="33">
        <v>3</v>
      </c>
      <c r="E845" s="33" t="s">
        <v>1416</v>
      </c>
      <c r="I845">
        <v>568</v>
      </c>
      <c r="J845" t="str">
        <f>_xlfn.XLOOKUP($I845,$A:$A,B:B)</f>
        <v>todavía</v>
      </c>
      <c r="K845">
        <f>_xlfn.XLOOKUP($I845,$A:$A,C:C)</f>
        <v>0</v>
      </c>
      <c r="L845">
        <f>_xlfn.XLOOKUP($I845,$A:$A,D:D)</f>
        <v>9</v>
      </c>
      <c r="M845" t="str">
        <f>_xlfn.XLOOKUP($I845,$A:$A,E:E)</f>
        <v>L1</v>
      </c>
    </row>
    <row r="846" spans="1:13" customFormat="1" ht="20.25">
      <c r="A846" s="34">
        <v>847</v>
      </c>
      <c r="B846" s="33" t="s">
        <v>926</v>
      </c>
      <c r="C846" s="34">
        <v>24</v>
      </c>
      <c r="D846" s="33">
        <v>10</v>
      </c>
      <c r="E846" s="33" t="s">
        <v>1416</v>
      </c>
      <c r="I846">
        <v>73</v>
      </c>
      <c r="J846" t="str">
        <f>_xlfn.XLOOKUP($I846,$A:$A,B:B)</f>
        <v>todo</v>
      </c>
      <c r="K846">
        <f>_xlfn.XLOOKUP($I846,$A:$A,C:C)</f>
        <v>170</v>
      </c>
      <c r="L846">
        <f>_xlfn.XLOOKUP($I846,$A:$A,D:D)</f>
        <v>12</v>
      </c>
      <c r="M846" t="str">
        <f>_xlfn.XLOOKUP($I846,$A:$A,E:E)</f>
        <v>L1</v>
      </c>
    </row>
    <row r="847" spans="1:13" customFormat="1" ht="20.25">
      <c r="A847" s="34">
        <v>848</v>
      </c>
      <c r="B847" s="33" t="s">
        <v>927</v>
      </c>
      <c r="C847" s="34">
        <v>24</v>
      </c>
      <c r="D847" s="33">
        <v>3</v>
      </c>
      <c r="E847" s="33" t="s">
        <v>1413</v>
      </c>
      <c r="I847">
        <v>88</v>
      </c>
      <c r="J847" t="str">
        <f>_xlfn.XLOOKUP($I847,$A:$A,B:B)</f>
        <v>todos</v>
      </c>
      <c r="K847">
        <f>_xlfn.XLOOKUP($I847,$A:$A,C:C)</f>
        <v>137</v>
      </c>
      <c r="L847">
        <f>_xlfn.XLOOKUP($I847,$A:$A,D:D)</f>
        <v>12</v>
      </c>
      <c r="M847" t="str">
        <f>_xlfn.XLOOKUP($I847,$A:$A,E:E)</f>
        <v>L1</v>
      </c>
    </row>
    <row r="848" spans="1:13" customFormat="1" ht="20.25">
      <c r="A848" s="34"/>
      <c r="B848" s="33"/>
      <c r="C848" s="34"/>
      <c r="D848" s="33"/>
      <c r="E848" s="33"/>
      <c r="I848">
        <v>842</v>
      </c>
      <c r="J848" t="str">
        <f>_xlfn.XLOOKUP($I848,$A:$A,B:B)</f>
        <v>toma</v>
      </c>
      <c r="K848">
        <f>_xlfn.XLOOKUP($I848,$A:$A,C:C)</f>
        <v>24</v>
      </c>
      <c r="L848">
        <f>_xlfn.XLOOKUP($I848,$A:$A,D:D)</f>
        <v>1</v>
      </c>
      <c r="M848" t="str">
        <f>_xlfn.XLOOKUP($I848,$A:$A,E:E)</f>
        <v>L1</v>
      </c>
    </row>
    <row r="849" spans="1:13" customFormat="1" ht="20.25">
      <c r="A849" s="34"/>
      <c r="B849" s="33"/>
      <c r="C849" s="34"/>
      <c r="D849" s="33"/>
      <c r="E849" s="33"/>
      <c r="I849">
        <v>939</v>
      </c>
      <c r="J849" t="str">
        <f>_xlfn.XLOOKUP($I849,$A:$A,B:B)</f>
        <v>tomar</v>
      </c>
      <c r="K849">
        <f>_xlfn.XLOOKUP($I849,$A:$A,C:C)</f>
        <v>22</v>
      </c>
      <c r="L849">
        <f>_xlfn.XLOOKUP($I849,$A:$A,D:D)</f>
        <v>11</v>
      </c>
      <c r="M849" t="str">
        <f>_xlfn.XLOOKUP($I849,$A:$A,E:E)</f>
        <v>L1</v>
      </c>
    </row>
    <row r="850" spans="1:13" customFormat="1" ht="20.25">
      <c r="A850" s="34">
        <v>851</v>
      </c>
      <c r="B850" s="33" t="s">
        <v>930</v>
      </c>
      <c r="C850" s="34"/>
      <c r="D850" s="33">
        <v>13</v>
      </c>
      <c r="E850" s="33" t="s">
        <v>1413</v>
      </c>
      <c r="I850">
        <v>893</v>
      </c>
      <c r="J850" t="str">
        <f>_xlfn.XLOOKUP($I850,$A:$A,B:B)</f>
        <v>torneo</v>
      </c>
      <c r="K850">
        <f>_xlfn.XLOOKUP($I850,$A:$A,C:C)</f>
        <v>23</v>
      </c>
      <c r="L850">
        <f>_xlfn.XLOOKUP($I850,$A:$A,D:D)</f>
        <v>4</v>
      </c>
      <c r="M850" t="str">
        <f>_xlfn.XLOOKUP($I850,$A:$A,E:E)</f>
        <v>L2</v>
      </c>
    </row>
    <row r="851" spans="1:13" customFormat="1" ht="20.25">
      <c r="A851" s="34"/>
      <c r="B851" s="33"/>
      <c r="C851" s="34"/>
      <c r="D851" s="33"/>
      <c r="E851" s="33"/>
      <c r="I851">
        <v>224</v>
      </c>
      <c r="J851" t="str">
        <f>_xlfn.XLOOKUP($I851,$A:$A,B:B)</f>
        <v>total</v>
      </c>
      <c r="K851">
        <f>_xlfn.XLOOKUP($I851,$A:$A,C:C)</f>
        <v>69</v>
      </c>
      <c r="L851">
        <f>_xlfn.XLOOKUP($I851,$A:$A,D:D)</f>
        <v>2</v>
      </c>
      <c r="M851" t="str">
        <f>_xlfn.XLOOKUP($I851,$A:$A,E:E)</f>
        <v>L2</v>
      </c>
    </row>
    <row r="852" spans="1:13" customFormat="1" ht="20.25">
      <c r="A852" s="34"/>
      <c r="B852" s="33"/>
      <c r="C852" s="34"/>
      <c r="D852" s="33"/>
      <c r="E852" s="33"/>
      <c r="I852">
        <v>759</v>
      </c>
      <c r="J852" t="str">
        <f>_xlfn.XLOOKUP($I852,$A:$A,B:B)</f>
        <v>trabajando</v>
      </c>
      <c r="K852">
        <f>_xlfn.XLOOKUP($I852,$A:$A,C:C)</f>
        <v>26</v>
      </c>
      <c r="L852">
        <f>_xlfn.XLOOKUP($I852,$A:$A,D:D)</f>
        <v>5</v>
      </c>
      <c r="M852" t="str">
        <f>_xlfn.XLOOKUP($I852,$A:$A,E:E)</f>
        <v>L1</v>
      </c>
    </row>
    <row r="853" spans="1:13" customFormat="1" ht="20.25">
      <c r="A853" s="34">
        <v>854</v>
      </c>
      <c r="B853" s="33" t="s">
        <v>933</v>
      </c>
      <c r="C853" s="34">
        <v>23</v>
      </c>
      <c r="D853" s="33">
        <v>1</v>
      </c>
      <c r="E853" s="33" t="s">
        <v>1416</v>
      </c>
      <c r="I853">
        <v>656</v>
      </c>
      <c r="J853" t="str">
        <f>_xlfn.XLOOKUP($I853,$A:$A,B:B)</f>
        <v>trabajar</v>
      </c>
      <c r="K853">
        <f>_xlfn.XLOOKUP($I853,$A:$A,C:C)</f>
        <v>29</v>
      </c>
      <c r="L853">
        <f>_xlfn.XLOOKUP($I853,$A:$A,D:D)</f>
        <v>5</v>
      </c>
      <c r="M853" t="str">
        <f>_xlfn.XLOOKUP($I853,$A:$A,E:E)</f>
        <v>L1</v>
      </c>
    </row>
    <row r="854" spans="1:13" customFormat="1" ht="20.25">
      <c r="A854" s="34">
        <v>855</v>
      </c>
      <c r="B854" s="33" t="s">
        <v>934</v>
      </c>
      <c r="C854" s="34">
        <v>23</v>
      </c>
      <c r="D854" s="33">
        <v>8</v>
      </c>
      <c r="E854" s="33" t="s">
        <v>1416</v>
      </c>
      <c r="I854">
        <v>112</v>
      </c>
      <c r="J854" t="str">
        <f>_xlfn.XLOOKUP($I854,$A:$A,B:B)</f>
        <v>trabajo</v>
      </c>
      <c r="K854">
        <f>_xlfn.XLOOKUP($I854,$A:$A,C:C)</f>
        <v>115</v>
      </c>
      <c r="L854">
        <f>_xlfn.XLOOKUP($I854,$A:$A,D:D)</f>
        <v>5</v>
      </c>
      <c r="M854" t="str">
        <f>_xlfn.XLOOKUP($I854,$A:$A,E:E)</f>
        <v>L1</v>
      </c>
    </row>
    <row r="855" spans="1:13" customFormat="1" ht="20.25">
      <c r="A855" s="34">
        <v>856</v>
      </c>
      <c r="B855" s="33" t="s">
        <v>935</v>
      </c>
      <c r="C855" s="34">
        <v>23</v>
      </c>
      <c r="D855" s="33">
        <v>12</v>
      </c>
      <c r="E855" s="33" t="s">
        <v>1413</v>
      </c>
      <c r="I855">
        <v>569</v>
      </c>
      <c r="J855" t="str">
        <f>_xlfn.XLOOKUP($I855,$A:$A,B:B)</f>
        <v>trabajos</v>
      </c>
      <c r="K855">
        <f>_xlfn.XLOOKUP($I855,$A:$A,C:C)</f>
        <v>32</v>
      </c>
      <c r="L855">
        <f>_xlfn.XLOOKUP($I855,$A:$A,D:D)</f>
        <v>5</v>
      </c>
      <c r="M855" t="str">
        <f>_xlfn.XLOOKUP($I855,$A:$A,E:E)</f>
        <v>L2</v>
      </c>
    </row>
    <row r="856" spans="1:13" customFormat="1" ht="20.25">
      <c r="A856" s="34">
        <v>857</v>
      </c>
      <c r="B856" s="33" t="s">
        <v>936</v>
      </c>
      <c r="C856" s="34">
        <v>23</v>
      </c>
      <c r="D856" s="33">
        <v>15</v>
      </c>
      <c r="E856" s="33" t="s">
        <v>1413</v>
      </c>
      <c r="I856">
        <v>260</v>
      </c>
      <c r="J856" t="str">
        <f>_xlfn.XLOOKUP($I856,$A:$A,B:B)</f>
        <v>tras</v>
      </c>
      <c r="K856">
        <f>_xlfn.XLOOKUP($I856,$A:$A,C:C)</f>
        <v>61</v>
      </c>
      <c r="L856">
        <f>_xlfn.XLOOKUP($I856,$A:$A,D:D)</f>
        <v>9</v>
      </c>
      <c r="M856" t="str">
        <f>_xlfn.XLOOKUP($I856,$A:$A,E:E)</f>
        <v>L2</v>
      </c>
    </row>
    <row r="857" spans="1:13" customFormat="1" ht="20.25">
      <c r="A857" s="34">
        <v>858</v>
      </c>
      <c r="B857" s="33" t="s">
        <v>937</v>
      </c>
      <c r="C857" s="34">
        <v>23</v>
      </c>
      <c r="D857" s="33">
        <v>9</v>
      </c>
      <c r="E857" s="33" t="s">
        <v>1416</v>
      </c>
      <c r="I857">
        <v>406</v>
      </c>
      <c r="J857" t="str">
        <f>_xlfn.XLOOKUP($I857,$A:$A,B:B)</f>
        <v>trata</v>
      </c>
      <c r="K857">
        <f>_xlfn.XLOOKUP($I857,$A:$A,C:C)</f>
        <v>0</v>
      </c>
      <c r="L857">
        <f>_xlfn.XLOOKUP($I857,$A:$A,D:D)</f>
        <v>8</v>
      </c>
      <c r="M857" t="str">
        <f>_xlfn.XLOOKUP($I857,$A:$A,E:E)</f>
        <v>L2</v>
      </c>
    </row>
    <row r="858" spans="1:13" customFormat="1" ht="20.25">
      <c r="A858" s="34">
        <v>859</v>
      </c>
      <c r="B858" s="33" t="s">
        <v>938</v>
      </c>
      <c r="C858" s="34">
        <v>23</v>
      </c>
      <c r="D858" s="33">
        <v>12</v>
      </c>
      <c r="E858" s="33" t="s">
        <v>1413</v>
      </c>
      <c r="I858">
        <v>134</v>
      </c>
      <c r="J858" t="str">
        <f>_xlfn.XLOOKUP($I858,$A:$A,B:B)</f>
        <v>través</v>
      </c>
      <c r="K858">
        <f>_xlfn.XLOOKUP($I858,$A:$A,C:C)</f>
        <v>100</v>
      </c>
      <c r="L858">
        <f>_xlfn.XLOOKUP($I858,$A:$A,D:D)</f>
        <v>6</v>
      </c>
      <c r="M858" t="str">
        <f>_xlfn.XLOOKUP($I858,$A:$A,E:E)</f>
        <v>L2</v>
      </c>
    </row>
    <row r="859" spans="1:13" customFormat="1" ht="20.25">
      <c r="A859" s="34">
        <v>860</v>
      </c>
      <c r="B859" s="33" t="s">
        <v>939</v>
      </c>
      <c r="C859" s="34">
        <v>23</v>
      </c>
      <c r="D859" s="33">
        <v>8</v>
      </c>
      <c r="E859" s="33" t="s">
        <v>1416</v>
      </c>
      <c r="I859">
        <v>79</v>
      </c>
      <c r="J859" t="str">
        <f>_xlfn.XLOOKUP($I859,$A:$A,B:B)</f>
        <v>tres</v>
      </c>
      <c r="K859">
        <f>_xlfn.XLOOKUP($I859,$A:$A,C:C)</f>
        <v>160</v>
      </c>
      <c r="L859">
        <f>_xlfn.XLOOKUP($I859,$A:$A,D:D)</f>
        <v>2</v>
      </c>
      <c r="M859" t="str">
        <f>_xlfn.XLOOKUP($I859,$A:$A,E:E)</f>
        <v>L1</v>
      </c>
    </row>
    <row r="860" spans="1:13" customFormat="1" ht="20.25">
      <c r="A860" s="34">
        <v>861</v>
      </c>
      <c r="B860" s="33" t="s">
        <v>940</v>
      </c>
      <c r="C860" s="34">
        <v>23</v>
      </c>
      <c r="D860" s="33">
        <v>5</v>
      </c>
      <c r="E860" s="33" t="s">
        <v>1416</v>
      </c>
      <c r="I860">
        <v>940</v>
      </c>
      <c r="J860" t="str">
        <f>_xlfn.XLOOKUP($I860,$A:$A,B:B)</f>
        <v>tropas</v>
      </c>
      <c r="K860">
        <f>_xlfn.XLOOKUP($I860,$A:$A,C:C)</f>
        <v>22</v>
      </c>
      <c r="L860">
        <f>_xlfn.XLOOKUP($I860,$A:$A,D:D)</f>
        <v>1</v>
      </c>
      <c r="M860" t="str">
        <f>_xlfn.XLOOKUP($I860,$A:$A,E:E)</f>
        <v>L2</v>
      </c>
    </row>
    <row r="861" spans="1:13" customFormat="1" ht="20.25">
      <c r="A861" s="34">
        <v>862</v>
      </c>
      <c r="B861" s="33" t="s">
        <v>941</v>
      </c>
      <c r="C861" s="34">
        <v>23</v>
      </c>
      <c r="D861" s="33">
        <v>5</v>
      </c>
      <c r="E861" s="33" t="s">
        <v>1419</v>
      </c>
      <c r="I861">
        <v>153</v>
      </c>
      <c r="J861" t="str">
        <f>_xlfn.XLOOKUP($I861,$A:$A,B:B)</f>
        <v>tuvo</v>
      </c>
      <c r="K861">
        <f>_xlfn.XLOOKUP($I861,$A:$A,C:C)</f>
        <v>91</v>
      </c>
      <c r="L861">
        <f>_xlfn.XLOOKUP($I861,$A:$A,D:D)</f>
        <v>9</v>
      </c>
      <c r="M861" t="str">
        <f>_xlfn.XLOOKUP($I861,$A:$A,E:E)</f>
        <v>L1</v>
      </c>
    </row>
    <row r="862" spans="1:13" customFormat="1" ht="20.25">
      <c r="A862" s="34">
        <v>863</v>
      </c>
      <c r="B862" s="33" t="s">
        <v>942</v>
      </c>
      <c r="C862" s="34">
        <v>23</v>
      </c>
      <c r="D862" s="33">
        <v>15</v>
      </c>
      <c r="E862" s="33" t="s">
        <v>1416</v>
      </c>
      <c r="I862">
        <v>421</v>
      </c>
      <c r="J862" t="str">
        <f>_xlfn.XLOOKUP($I862,$A:$A,B:B)</f>
        <v>última</v>
      </c>
      <c r="K862">
        <f>_xlfn.XLOOKUP($I862,$A:$A,C:C)</f>
        <v>0</v>
      </c>
      <c r="L862">
        <f>_xlfn.XLOOKUP($I862,$A:$A,D:D)</f>
        <v>14</v>
      </c>
      <c r="M862" t="str">
        <f>_xlfn.XLOOKUP($I862,$A:$A,E:E)</f>
        <v>L2</v>
      </c>
    </row>
    <row r="863" spans="1:13" customFormat="1" ht="20.25">
      <c r="A863" s="34">
        <v>864</v>
      </c>
      <c r="B863" s="33" t="s">
        <v>943</v>
      </c>
      <c r="C863" s="34">
        <v>23</v>
      </c>
      <c r="D863" s="33">
        <v>10</v>
      </c>
      <c r="E863" s="33" t="s">
        <v>1413</v>
      </c>
      <c r="I863">
        <v>188</v>
      </c>
      <c r="J863" t="str">
        <f>_xlfn.XLOOKUP($I863,$A:$A,B:B)</f>
        <v>último</v>
      </c>
      <c r="K863">
        <f>_xlfn.XLOOKUP($I863,$A:$A,C:C)</f>
        <v>80</v>
      </c>
      <c r="L863">
        <f>_xlfn.XLOOKUP($I863,$A:$A,D:D)</f>
        <v>9</v>
      </c>
      <c r="M863" t="str">
        <f>_xlfn.XLOOKUP($I863,$A:$A,E:E)</f>
        <v>L1</v>
      </c>
    </row>
    <row r="864" spans="1:13" customFormat="1" ht="20.25">
      <c r="A864" s="34">
        <v>865</v>
      </c>
      <c r="B864" s="33" t="s">
        <v>944</v>
      </c>
      <c r="C864" s="34">
        <v>23</v>
      </c>
      <c r="D864" s="33">
        <v>3</v>
      </c>
      <c r="E864" s="33" t="s">
        <v>1416</v>
      </c>
      <c r="I864">
        <v>631</v>
      </c>
      <c r="J864" t="str">
        <f>_xlfn.XLOOKUP($I864,$A:$A,B:B)</f>
        <v>últimos</v>
      </c>
      <c r="K864">
        <f>_xlfn.XLOOKUP($I864,$A:$A,C:C)</f>
        <v>30</v>
      </c>
      <c r="L864">
        <f>_xlfn.XLOOKUP($I864,$A:$A,D:D)</f>
        <v>9</v>
      </c>
      <c r="M864" t="str">
        <f>_xlfn.XLOOKUP($I864,$A:$A,E:E)</f>
        <v>L2</v>
      </c>
    </row>
    <row r="865" spans="1:13" customFormat="1" ht="20.25">
      <c r="A865" s="34">
        <v>866</v>
      </c>
      <c r="B865" s="33" t="s">
        <v>945</v>
      </c>
      <c r="C865" s="34">
        <v>23</v>
      </c>
      <c r="D865" s="33">
        <v>8</v>
      </c>
      <c r="E865" s="33" t="s">
        <v>1419</v>
      </c>
      <c r="I865">
        <v>11</v>
      </c>
      <c r="J865" t="str">
        <f>_xlfn.XLOOKUP($I865,$A:$A,B:B)</f>
        <v>un</v>
      </c>
      <c r="K865">
        <f>_xlfn.XLOOKUP($I865,$A:$A,C:C)</f>
        <v>2205</v>
      </c>
      <c r="L865">
        <f>_xlfn.XLOOKUP($I865,$A:$A,D:D)</f>
        <v>12</v>
      </c>
      <c r="M865" t="str">
        <f>_xlfn.XLOOKUP($I865,$A:$A,E:E)</f>
        <v>L1</v>
      </c>
    </row>
    <row r="866" spans="1:13" customFormat="1" ht="20.25">
      <c r="A866" s="34">
        <v>867</v>
      </c>
      <c r="B866" s="33" t="s">
        <v>946</v>
      </c>
      <c r="C866" s="34">
        <v>23</v>
      </c>
      <c r="D866" s="33">
        <v>6</v>
      </c>
      <c r="E866" s="33" t="s">
        <v>1416</v>
      </c>
      <c r="I866">
        <v>13</v>
      </c>
      <c r="J866" t="str">
        <f>_xlfn.XLOOKUP($I866,$A:$A,B:B)</f>
        <v>una</v>
      </c>
      <c r="K866">
        <f>_xlfn.XLOOKUP($I866,$A:$A,C:C)</f>
        <v>2023</v>
      </c>
      <c r="L866">
        <f>_xlfn.XLOOKUP($I866,$A:$A,D:D)</f>
        <v>12</v>
      </c>
      <c r="M866" t="str">
        <f>_xlfn.XLOOKUP($I866,$A:$A,E:E)</f>
        <v>L1</v>
      </c>
    </row>
    <row r="867" spans="1:13" customFormat="1" ht="20.25">
      <c r="A867" s="34">
        <v>868</v>
      </c>
      <c r="B867" s="33" t="s">
        <v>947</v>
      </c>
      <c r="C867" s="34">
        <v>23</v>
      </c>
      <c r="D867" s="33">
        <v>1</v>
      </c>
      <c r="E867" s="33" t="s">
        <v>1416</v>
      </c>
      <c r="I867">
        <v>904</v>
      </c>
      <c r="J867" t="str">
        <f>_xlfn.XLOOKUP($I867,$A:$A,B:B)</f>
        <v>Una vez</v>
      </c>
      <c r="K867">
        <f>_xlfn.XLOOKUP($I867,$A:$A,C:C)</f>
        <v>22</v>
      </c>
      <c r="L867">
        <f>_xlfn.XLOOKUP($I867,$A:$A,D:D)</f>
        <v>9</v>
      </c>
      <c r="M867" t="str">
        <f>_xlfn.XLOOKUP($I867,$A:$A,E:E)</f>
        <v>L1</v>
      </c>
    </row>
    <row r="868" spans="1:13" customFormat="1" ht="20.25">
      <c r="A868" s="34">
        <v>869</v>
      </c>
      <c r="B868" s="33" t="s">
        <v>948</v>
      </c>
      <c r="C868" s="34">
        <v>23</v>
      </c>
      <c r="D868" s="33">
        <v>5</v>
      </c>
      <c r="E868" s="33" t="s">
        <v>1416</v>
      </c>
      <c r="I868">
        <v>483</v>
      </c>
      <c r="J868" t="str">
        <f>_xlfn.XLOOKUP($I868,$A:$A,B:B)</f>
        <v>unas</v>
      </c>
      <c r="K868">
        <f>_xlfn.XLOOKUP($I868,$A:$A,C:C)</f>
        <v>38</v>
      </c>
      <c r="L868">
        <f>_xlfn.XLOOKUP($I868,$A:$A,D:D)</f>
        <v>12</v>
      </c>
      <c r="M868" t="str">
        <f>_xlfn.XLOOKUP($I868,$A:$A,E:E)</f>
        <v>L1</v>
      </c>
    </row>
    <row r="869" spans="1:13" customFormat="1" ht="20.25">
      <c r="A869" s="34">
        <v>870</v>
      </c>
      <c r="B869" s="33" t="s">
        <v>949</v>
      </c>
      <c r="C869" s="34">
        <v>23</v>
      </c>
      <c r="D869" s="33">
        <v>10</v>
      </c>
      <c r="E869" s="33" t="s">
        <v>1419</v>
      </c>
      <c r="I869">
        <v>398</v>
      </c>
      <c r="J869" t="str">
        <f>_xlfn.XLOOKUP($I869,$A:$A,B:B)</f>
        <v>única</v>
      </c>
      <c r="K869">
        <f>_xlfn.XLOOKUP($I869,$A:$A,C:C)</f>
        <v>44</v>
      </c>
      <c r="L869">
        <f>_xlfn.XLOOKUP($I869,$A:$A,D:D)</f>
        <v>6</v>
      </c>
      <c r="M869" t="str">
        <f>_xlfn.XLOOKUP($I869,$A:$A,E:E)</f>
        <v>L2</v>
      </c>
    </row>
    <row r="870" spans="1:13" customFormat="1" ht="20.25">
      <c r="A870" s="34">
        <v>871</v>
      </c>
      <c r="B870" s="33" t="s">
        <v>950</v>
      </c>
      <c r="C870" s="34">
        <v>23</v>
      </c>
      <c r="D870" s="33">
        <v>8</v>
      </c>
      <c r="E870" s="33" t="s">
        <v>1416</v>
      </c>
      <c r="I870">
        <v>422</v>
      </c>
      <c r="J870" t="str">
        <f>_xlfn.XLOOKUP($I870,$A:$A,B:B)</f>
        <v>único</v>
      </c>
      <c r="K870">
        <f>_xlfn.XLOOKUP($I870,$A:$A,C:C)</f>
        <v>0</v>
      </c>
      <c r="L870">
        <f>_xlfn.XLOOKUP($I870,$A:$A,D:D)</f>
        <v>6</v>
      </c>
      <c r="M870" t="str">
        <f>_xlfn.XLOOKUP($I870,$A:$A,E:E)</f>
        <v>L2</v>
      </c>
    </row>
    <row r="871" spans="1:13" customFormat="1" ht="20.25">
      <c r="A871" s="34">
        <v>872</v>
      </c>
      <c r="B871" s="33" t="s">
        <v>951</v>
      </c>
      <c r="C871" s="34">
        <v>23</v>
      </c>
      <c r="D871" s="33">
        <v>13</v>
      </c>
      <c r="E871" s="33" t="s">
        <v>1416</v>
      </c>
      <c r="I871">
        <v>760</v>
      </c>
      <c r="J871" t="str">
        <f>_xlfn.XLOOKUP($I871,$A:$A,B:B)</f>
        <v>unidad</v>
      </c>
      <c r="K871">
        <f>_xlfn.XLOOKUP($I871,$A:$A,C:C)</f>
        <v>26</v>
      </c>
      <c r="L871">
        <f>_xlfn.XLOOKUP($I871,$A:$A,D:D)</f>
        <v>2</v>
      </c>
      <c r="M871" t="str">
        <f>_xlfn.XLOOKUP($I871,$A:$A,E:E)</f>
        <v>L2</v>
      </c>
    </row>
    <row r="872" spans="1:13" customFormat="1" ht="20.25">
      <c r="A872" s="34">
        <v>873</v>
      </c>
      <c r="B872" s="33" t="s">
        <v>952</v>
      </c>
      <c r="C872" s="34">
        <v>23</v>
      </c>
      <c r="D872" s="33">
        <v>15</v>
      </c>
      <c r="E872" s="33" t="s">
        <v>1413</v>
      </c>
      <c r="I872">
        <v>798</v>
      </c>
      <c r="J872" t="str">
        <f>_xlfn.XLOOKUP($I872,$A:$A,B:B)</f>
        <v>unidades</v>
      </c>
      <c r="K872">
        <f>_xlfn.XLOOKUP($I872,$A:$A,C:C)</f>
        <v>25</v>
      </c>
      <c r="L872">
        <f>_xlfn.XLOOKUP($I872,$A:$A,D:D)</f>
        <v>2</v>
      </c>
      <c r="M872" t="str">
        <f>_xlfn.XLOOKUP($I872,$A:$A,E:E)</f>
        <v>L2</v>
      </c>
    </row>
    <row r="873" spans="1:13" customFormat="1" ht="20.25">
      <c r="A873" s="34">
        <v>874</v>
      </c>
      <c r="B873" s="33" t="s">
        <v>953</v>
      </c>
      <c r="C873" s="34">
        <v>23</v>
      </c>
      <c r="D873" s="33">
        <v>10</v>
      </c>
      <c r="E873" s="33" t="s">
        <v>1413</v>
      </c>
      <c r="I873">
        <v>953</v>
      </c>
      <c r="J873" t="str">
        <f>_xlfn.XLOOKUP($I873,$A:$A,B:B)</f>
        <v>Unido</v>
      </c>
      <c r="K873">
        <f>_xlfn.XLOOKUP($I873,$A:$A,C:C)</f>
        <v>0</v>
      </c>
      <c r="L873">
        <f>_xlfn.XLOOKUP($I873,$A:$A,D:D)</f>
        <v>1</v>
      </c>
      <c r="M873" t="str">
        <f>_xlfn.XLOOKUP($I873,$A:$A,E:E)</f>
        <v>L2</v>
      </c>
    </row>
    <row r="874" spans="1:13" customFormat="1" ht="20.25">
      <c r="A874" s="34">
        <v>875</v>
      </c>
      <c r="B874" s="33" t="s">
        <v>954</v>
      </c>
      <c r="C874" s="34">
        <v>23</v>
      </c>
      <c r="D874" s="33">
        <v>1</v>
      </c>
      <c r="E874" s="33" t="s">
        <v>1416</v>
      </c>
      <c r="I874">
        <v>251</v>
      </c>
      <c r="J874" t="str">
        <f>_xlfn.XLOOKUP($I874,$A:$A,B:B)</f>
        <v>Unidos</v>
      </c>
      <c r="K874">
        <f>_xlfn.XLOOKUP($I874,$A:$A,C:C)</f>
        <v>64</v>
      </c>
      <c r="L874">
        <f>_xlfn.XLOOKUP($I874,$A:$A,D:D)</f>
        <v>1</v>
      </c>
      <c r="M874" t="str">
        <f>_xlfn.XLOOKUP($I874,$A:$A,E:E)</f>
        <v>L2</v>
      </c>
    </row>
    <row r="875" spans="1:13" customFormat="1" ht="20.25">
      <c r="A875" s="34">
        <v>876</v>
      </c>
      <c r="B875" s="33" t="s">
        <v>955</v>
      </c>
      <c r="C875" s="34">
        <v>23</v>
      </c>
      <c r="D875" s="33">
        <v>10</v>
      </c>
      <c r="E875" s="33" t="s">
        <v>1413</v>
      </c>
      <c r="I875">
        <v>854</v>
      </c>
      <c r="J875" t="str">
        <f>_xlfn.XLOOKUP($I875,$A:$A,B:B)</f>
        <v>Unión</v>
      </c>
      <c r="K875">
        <f>_xlfn.XLOOKUP($I875,$A:$A,C:C)</f>
        <v>23</v>
      </c>
      <c r="L875">
        <f>_xlfn.XLOOKUP($I875,$A:$A,D:D)</f>
        <v>1</v>
      </c>
      <c r="M875" t="str">
        <f>_xlfn.XLOOKUP($I875,$A:$A,E:E)</f>
        <v>L2</v>
      </c>
    </row>
    <row r="876" spans="1:13" customFormat="1" ht="20.25">
      <c r="A876" s="34">
        <v>877</v>
      </c>
      <c r="B876" s="33" t="s">
        <v>956</v>
      </c>
      <c r="C876" s="34">
        <v>23</v>
      </c>
      <c r="D876" s="33">
        <v>13</v>
      </c>
      <c r="E876" s="33" t="s">
        <v>1413</v>
      </c>
      <c r="I876">
        <v>352</v>
      </c>
      <c r="J876" t="str">
        <f>_xlfn.XLOOKUP($I876,$A:$A,B:B)</f>
        <v>Universidad</v>
      </c>
      <c r="K876">
        <f>_xlfn.XLOOKUP($I876,$A:$A,C:C)</f>
        <v>48</v>
      </c>
      <c r="L876">
        <f>_xlfn.XLOOKUP($I876,$A:$A,D:D)</f>
        <v>7</v>
      </c>
      <c r="M876" t="str">
        <f>_xlfn.XLOOKUP($I876,$A:$A,E:E)</f>
        <v>L2</v>
      </c>
    </row>
    <row r="877" spans="1:13" customFormat="1" ht="20.25">
      <c r="A877" s="34">
        <v>878</v>
      </c>
      <c r="B877" s="33" t="s">
        <v>957</v>
      </c>
      <c r="C877" s="34">
        <v>23</v>
      </c>
      <c r="D877" s="33">
        <v>9</v>
      </c>
      <c r="E877" s="33" t="s">
        <v>1416</v>
      </c>
      <c r="I877">
        <v>72</v>
      </c>
      <c r="J877" t="str">
        <f>_xlfn.XLOOKUP($I877,$A:$A,B:B)</f>
        <v>uno</v>
      </c>
      <c r="K877">
        <f>_xlfn.XLOOKUP($I877,$A:$A,C:C)</f>
        <v>171</v>
      </c>
      <c r="L877">
        <f>_xlfn.XLOOKUP($I877,$A:$A,D:D)</f>
        <v>4</v>
      </c>
      <c r="M877" t="str">
        <f>_xlfn.XLOOKUP($I877,$A:$A,E:E)</f>
        <v>L1</v>
      </c>
    </row>
    <row r="878" spans="1:13" customFormat="1" ht="20.25">
      <c r="A878" s="34">
        <v>879</v>
      </c>
      <c r="B878" s="33" t="s">
        <v>958</v>
      </c>
      <c r="C878" s="34">
        <v>23</v>
      </c>
      <c r="D878" s="33">
        <v>15</v>
      </c>
      <c r="E878" s="33" t="s">
        <v>1413</v>
      </c>
      <c r="I878">
        <v>159</v>
      </c>
      <c r="J878" t="str">
        <f>_xlfn.XLOOKUP($I878,$A:$A,B:B)</f>
        <v>unos</v>
      </c>
      <c r="K878">
        <f>_xlfn.XLOOKUP($I878,$A:$A,C:C)</f>
        <v>88</v>
      </c>
      <c r="L878">
        <f>_xlfn.XLOOKUP($I878,$A:$A,D:D)</f>
        <v>12</v>
      </c>
      <c r="M878" t="str">
        <f>_xlfn.XLOOKUP($I878,$A:$A,E:E)</f>
        <v>L1</v>
      </c>
    </row>
    <row r="879" spans="1:13" customFormat="1" ht="20.25">
      <c r="A879" s="34">
        <v>880</v>
      </c>
      <c r="B879" s="33" t="s">
        <v>959</v>
      </c>
      <c r="C879" s="34">
        <v>23</v>
      </c>
      <c r="D879" s="33">
        <v>8</v>
      </c>
      <c r="E879" s="33" t="s">
        <v>1419</v>
      </c>
      <c r="I879">
        <v>236</v>
      </c>
      <c r="J879" t="str">
        <f>_xlfn.XLOOKUP($I879,$A:$A,B:B)</f>
        <v>uso</v>
      </c>
      <c r="K879">
        <f>_xlfn.XLOOKUP($I879,$A:$A,C:C)</f>
        <v>66</v>
      </c>
      <c r="L879">
        <f>_xlfn.XLOOKUP($I879,$A:$A,D:D)</f>
        <v>6</v>
      </c>
      <c r="M879" t="str">
        <f>_xlfn.XLOOKUP($I879,$A:$A,E:E)</f>
        <v>L2</v>
      </c>
    </row>
    <row r="880" spans="1:13" customFormat="1" ht="20.25">
      <c r="A880" s="34">
        <v>881</v>
      </c>
      <c r="B880" s="33" t="s">
        <v>960</v>
      </c>
      <c r="C880" s="34">
        <v>23</v>
      </c>
      <c r="D880" s="33">
        <v>5</v>
      </c>
      <c r="E880" s="33" t="s">
        <v>1416</v>
      </c>
      <c r="I880">
        <v>690</v>
      </c>
      <c r="J880" t="str">
        <f>_xlfn.XLOOKUP($I880,$A:$A,B:B)</f>
        <v>utiliza</v>
      </c>
      <c r="K880">
        <f>_xlfn.XLOOKUP($I880,$A:$A,C:C)</f>
        <v>28</v>
      </c>
      <c r="L880">
        <f>_xlfn.XLOOKUP($I880,$A:$A,D:D)</f>
        <v>6</v>
      </c>
      <c r="M880" t="str">
        <f>_xlfn.XLOOKUP($I880,$A:$A,E:E)</f>
        <v>L2</v>
      </c>
    </row>
    <row r="881" spans="1:13" customFormat="1" ht="20.25">
      <c r="A881" s="34">
        <v>882</v>
      </c>
      <c r="B881" s="33" t="s">
        <v>961</v>
      </c>
      <c r="C881" s="34">
        <v>23</v>
      </c>
      <c r="D881" s="33">
        <v>8</v>
      </c>
      <c r="E881" s="33" t="s">
        <v>1416</v>
      </c>
      <c r="I881">
        <v>799</v>
      </c>
      <c r="J881" t="str">
        <f>_xlfn.XLOOKUP($I881,$A:$A,B:B)</f>
        <v>utilizar</v>
      </c>
      <c r="K881">
        <f>_xlfn.XLOOKUP($I881,$A:$A,C:C)</f>
        <v>25</v>
      </c>
      <c r="L881">
        <f>_xlfn.XLOOKUP($I881,$A:$A,D:D)</f>
        <v>6</v>
      </c>
      <c r="M881" t="str">
        <f>_xlfn.XLOOKUP($I881,$A:$A,E:E)</f>
        <v>L1</v>
      </c>
    </row>
    <row r="882" spans="1:13" customFormat="1" ht="20.25">
      <c r="A882" s="34">
        <v>883</v>
      </c>
      <c r="B882" s="33" t="s">
        <v>962</v>
      </c>
      <c r="C882" s="34">
        <v>23</v>
      </c>
      <c r="D882" s="33">
        <v>1</v>
      </c>
      <c r="E882" s="33" t="s">
        <v>1416</v>
      </c>
      <c r="I882">
        <v>544</v>
      </c>
      <c r="J882" t="str">
        <f>_xlfn.XLOOKUP($I882,$A:$A,B:B)</f>
        <v>va</v>
      </c>
      <c r="K882">
        <f>_xlfn.XLOOKUP($I882,$A:$A,C:C)</f>
        <v>34</v>
      </c>
      <c r="L882">
        <f>_xlfn.XLOOKUP($I882,$A:$A,D:D)</f>
        <v>13</v>
      </c>
      <c r="M882" t="str">
        <f>_xlfn.XLOOKUP($I882,$A:$A,E:E)</f>
        <v>L1</v>
      </c>
    </row>
    <row r="883" spans="1:13" customFormat="1" ht="20.25">
      <c r="A883" s="34">
        <v>884</v>
      </c>
      <c r="B883" s="33" t="s">
        <v>963</v>
      </c>
      <c r="C883" s="34">
        <v>23</v>
      </c>
      <c r="D883" s="33">
        <v>12</v>
      </c>
      <c r="E883" s="33" t="s">
        <v>1413</v>
      </c>
      <c r="I883">
        <v>844</v>
      </c>
      <c r="J883" t="str">
        <f>_xlfn.XLOOKUP($I883,$A:$A,B:B)</f>
        <v>valor</v>
      </c>
      <c r="K883">
        <f>_xlfn.XLOOKUP($I883,$A:$A,C:C)</f>
        <v>24</v>
      </c>
      <c r="L883">
        <f>_xlfn.XLOOKUP($I883,$A:$A,D:D)</f>
        <v>2</v>
      </c>
      <c r="M883" t="str">
        <f>_xlfn.XLOOKUP($I883,$A:$A,E:E)</f>
        <v>L2</v>
      </c>
    </row>
    <row r="884" spans="1:13" customFormat="1" ht="20.25">
      <c r="A884" s="34">
        <v>885</v>
      </c>
      <c r="B884" s="33" t="s">
        <v>964</v>
      </c>
      <c r="C884" s="34">
        <v>23</v>
      </c>
      <c r="D884" s="33">
        <v>5</v>
      </c>
      <c r="E884" s="33" t="s">
        <v>1416</v>
      </c>
      <c r="I884">
        <v>761</v>
      </c>
      <c r="J884" t="str">
        <f>_xlfn.XLOOKUP($I884,$A:$A,B:B)</f>
        <v>van</v>
      </c>
      <c r="K884">
        <f>_xlfn.XLOOKUP($I884,$A:$A,C:C)</f>
        <v>26</v>
      </c>
      <c r="L884">
        <f>_xlfn.XLOOKUP($I884,$A:$A,D:D)</f>
        <v>15</v>
      </c>
      <c r="M884" t="str">
        <f>_xlfn.XLOOKUP($I884,$A:$A,E:E)</f>
        <v>L1</v>
      </c>
    </row>
    <row r="885" spans="1:13" customFormat="1" ht="20.25">
      <c r="A885" s="34">
        <v>886</v>
      </c>
      <c r="B885" s="33" t="s">
        <v>965</v>
      </c>
      <c r="C885" s="34">
        <v>23</v>
      </c>
      <c r="D885" s="33">
        <v>6</v>
      </c>
      <c r="E885" s="33" t="s">
        <v>1416</v>
      </c>
      <c r="I885">
        <v>200</v>
      </c>
      <c r="J885" t="str">
        <f>_xlfn.XLOOKUP($I885,$A:$A,B:B)</f>
        <v>varias</v>
      </c>
      <c r="K885">
        <f>_xlfn.XLOOKUP($I885,$A:$A,C:C)</f>
        <v>77</v>
      </c>
      <c r="L885">
        <f>_xlfn.XLOOKUP($I885,$A:$A,D:D)</f>
        <v>12</v>
      </c>
      <c r="M885" t="str">
        <f>_xlfn.XLOOKUP($I885,$A:$A,E:E)</f>
        <v>L2</v>
      </c>
    </row>
    <row r="886" spans="1:13" customFormat="1" ht="20.25">
      <c r="A886" s="34">
        <v>887</v>
      </c>
      <c r="B886" s="33" t="s">
        <v>966</v>
      </c>
      <c r="C886" s="34">
        <v>23</v>
      </c>
      <c r="D886" s="33">
        <v>10</v>
      </c>
      <c r="E886" s="33" t="s">
        <v>1416</v>
      </c>
      <c r="I886">
        <v>941</v>
      </c>
      <c r="J886" t="str">
        <f>_xlfn.XLOOKUP($I886,$A:$A,B:B)</f>
        <v>variedad</v>
      </c>
      <c r="K886">
        <f>_xlfn.XLOOKUP($I886,$A:$A,C:C)</f>
        <v>22</v>
      </c>
      <c r="L886">
        <f>_xlfn.XLOOKUP($I886,$A:$A,D:D)</f>
        <v>10</v>
      </c>
      <c r="M886" t="str">
        <f>_xlfn.XLOOKUP($I886,$A:$A,E:E)</f>
        <v>L2</v>
      </c>
    </row>
    <row r="887" spans="1:13" customFormat="1" ht="20.25">
      <c r="A887" s="34">
        <v>888</v>
      </c>
      <c r="B887" s="33" t="s">
        <v>967</v>
      </c>
      <c r="C887" s="34">
        <v>23</v>
      </c>
      <c r="D887" s="33">
        <v>2</v>
      </c>
      <c r="E887" s="33" t="s">
        <v>1416</v>
      </c>
      <c r="I887">
        <v>125</v>
      </c>
      <c r="J887" t="str">
        <f>_xlfn.XLOOKUP($I887,$A:$A,B:B)</f>
        <v>varios</v>
      </c>
      <c r="K887">
        <f>_xlfn.XLOOKUP($I887,$A:$A,C:C)</f>
        <v>105</v>
      </c>
      <c r="L887">
        <f>_xlfn.XLOOKUP($I887,$A:$A,D:D)</f>
        <v>12</v>
      </c>
      <c r="M887" t="str">
        <f>_xlfn.XLOOKUP($I887,$A:$A,E:E)</f>
        <v>L2</v>
      </c>
    </row>
    <row r="888" spans="1:13" customFormat="1" ht="20.25">
      <c r="A888" s="34">
        <v>889</v>
      </c>
      <c r="B888" s="33" t="s">
        <v>968</v>
      </c>
      <c r="C888" s="34">
        <v>23</v>
      </c>
      <c r="D888" s="33">
        <v>1</v>
      </c>
      <c r="E888" s="33" t="s">
        <v>1416</v>
      </c>
      <c r="I888">
        <v>454</v>
      </c>
      <c r="J888" t="str">
        <f>_xlfn.XLOOKUP($I888,$A:$A,B:B)</f>
        <v>ve</v>
      </c>
      <c r="K888">
        <f>_xlfn.XLOOKUP($I888,$A:$A,C:C)</f>
        <v>39</v>
      </c>
      <c r="L888">
        <f>_xlfn.XLOOKUP($I888,$A:$A,D:D)</f>
        <v>3</v>
      </c>
      <c r="M888" t="str">
        <f>_xlfn.XLOOKUP($I888,$A:$A,E:E)</f>
        <v>L2</v>
      </c>
    </row>
    <row r="889" spans="1:13" customFormat="1" ht="20.25">
      <c r="A889" s="34">
        <v>890</v>
      </c>
      <c r="B889" s="33" t="s">
        <v>969</v>
      </c>
      <c r="C889" s="34">
        <v>23</v>
      </c>
      <c r="D889" s="33">
        <v>15</v>
      </c>
      <c r="E889" s="33" t="s">
        <v>1413</v>
      </c>
      <c r="I889">
        <v>214</v>
      </c>
      <c r="J889" t="str">
        <f>_xlfn.XLOOKUP($I889,$A:$A,B:B)</f>
        <v>veces</v>
      </c>
      <c r="K889">
        <f>_xlfn.XLOOKUP($I889,$A:$A,C:C)</f>
        <v>72</v>
      </c>
      <c r="L889">
        <f>_xlfn.XLOOKUP($I889,$A:$A,D:D)</f>
        <v>13</v>
      </c>
      <c r="M889" t="str">
        <f>_xlfn.XLOOKUP($I889,$A:$A,E:E)</f>
        <v>L1</v>
      </c>
    </row>
    <row r="890" spans="1:13" customFormat="1" ht="20.25">
      <c r="A890" s="34">
        <v>891</v>
      </c>
      <c r="B890" s="33" t="s">
        <v>970</v>
      </c>
      <c r="C890" s="34">
        <v>23</v>
      </c>
      <c r="D890" s="33">
        <v>4</v>
      </c>
      <c r="E890" s="33" t="s">
        <v>1416</v>
      </c>
      <c r="I890">
        <v>894</v>
      </c>
      <c r="J890" t="str">
        <f>_xlfn.XLOOKUP($I890,$A:$A,B:B)</f>
        <v>vecinos</v>
      </c>
      <c r="K890">
        <f>_xlfn.XLOOKUP($I890,$A:$A,C:C)</f>
        <v>23</v>
      </c>
      <c r="L890">
        <f>_xlfn.XLOOKUP($I890,$A:$A,D:D)</f>
        <v>12</v>
      </c>
      <c r="M890" t="str">
        <f>_xlfn.XLOOKUP($I890,$A:$A,E:E)</f>
        <v>L2</v>
      </c>
    </row>
    <row r="891" spans="1:13" customFormat="1" ht="20.25">
      <c r="A891" s="34">
        <v>892</v>
      </c>
      <c r="B891" s="33" t="s">
        <v>971</v>
      </c>
      <c r="C891" s="34">
        <v>23</v>
      </c>
      <c r="D891" s="33">
        <v>3</v>
      </c>
      <c r="E891" s="33" t="s">
        <v>1413</v>
      </c>
      <c r="I891">
        <v>942</v>
      </c>
      <c r="J891" t="str">
        <f>_xlfn.XLOOKUP($I891,$A:$A,B:B)</f>
        <v>velocidad</v>
      </c>
      <c r="K891">
        <f>_xlfn.XLOOKUP($I891,$A:$A,C:C)</f>
        <v>22</v>
      </c>
      <c r="L891">
        <f>_xlfn.XLOOKUP($I891,$A:$A,D:D)</f>
        <v>6</v>
      </c>
      <c r="M891" t="str">
        <f>_xlfn.XLOOKUP($I891,$A:$A,E:E)</f>
        <v>L2</v>
      </c>
    </row>
    <row r="892" spans="1:13" customFormat="1" ht="20.25">
      <c r="A892" s="34">
        <v>893</v>
      </c>
      <c r="B892" s="33" t="s">
        <v>972</v>
      </c>
      <c r="C892" s="34">
        <v>23</v>
      </c>
      <c r="D892" s="33">
        <v>4</v>
      </c>
      <c r="E892" s="33" t="s">
        <v>1416</v>
      </c>
      <c r="I892">
        <v>845</v>
      </c>
      <c r="J892" t="str">
        <f>_xlfn.XLOOKUP($I892,$A:$A,B:B)</f>
        <v>venta</v>
      </c>
      <c r="K892">
        <f>_xlfn.XLOOKUP($I892,$A:$A,C:C)</f>
        <v>24</v>
      </c>
      <c r="L892">
        <f>_xlfn.XLOOKUP($I892,$A:$A,D:D)</f>
        <v>5</v>
      </c>
      <c r="M892" t="str">
        <f>_xlfn.XLOOKUP($I892,$A:$A,E:E)</f>
        <v>L2</v>
      </c>
    </row>
    <row r="893" spans="1:13" customFormat="1" ht="20.25">
      <c r="A893" s="34">
        <v>894</v>
      </c>
      <c r="B893" s="33" t="s">
        <v>973</v>
      </c>
      <c r="C893" s="34">
        <v>23</v>
      </c>
      <c r="D893" s="33">
        <v>12</v>
      </c>
      <c r="E893" s="33" t="s">
        <v>1416</v>
      </c>
      <c r="I893">
        <v>266</v>
      </c>
      <c r="J893" t="str">
        <f>_xlfn.XLOOKUP($I893,$A:$A,B:B)</f>
        <v>ver</v>
      </c>
      <c r="K893">
        <f>_xlfn.XLOOKUP($I893,$A:$A,C:C)</f>
        <v>60</v>
      </c>
      <c r="L893">
        <f>_xlfn.XLOOKUP($I893,$A:$A,D:D)</f>
        <v>3</v>
      </c>
      <c r="M893" t="str">
        <f>_xlfn.XLOOKUP($I893,$A:$A,E:E)</f>
        <v>L1</v>
      </c>
    </row>
    <row r="894" spans="1:13" customFormat="1" ht="20.25">
      <c r="A894" s="34">
        <v>895</v>
      </c>
      <c r="B894" s="33" t="s">
        <v>974</v>
      </c>
      <c r="C894" s="34">
        <v>23</v>
      </c>
      <c r="D894" s="33">
        <v>4</v>
      </c>
      <c r="E894" s="33" t="s">
        <v>1416</v>
      </c>
      <c r="I894">
        <v>570</v>
      </c>
      <c r="J894" t="str">
        <f>_xlfn.XLOOKUP($I894,$A:$A,B:B)</f>
        <v>verano</v>
      </c>
      <c r="K894">
        <f>_xlfn.XLOOKUP($I894,$A:$A,C:C)</f>
        <v>32</v>
      </c>
      <c r="L894">
        <f>_xlfn.XLOOKUP($I894,$A:$A,D:D)</f>
        <v>14</v>
      </c>
      <c r="M894" t="str">
        <f>_xlfn.XLOOKUP($I894,$A:$A,E:E)</f>
        <v>L1</v>
      </c>
    </row>
    <row r="895" spans="1:13" customFormat="1" ht="20.25">
      <c r="A895" s="34">
        <v>896</v>
      </c>
      <c r="B895" s="33" t="s">
        <v>975</v>
      </c>
      <c r="C895" s="34">
        <v>23</v>
      </c>
      <c r="D895" s="33">
        <v>7</v>
      </c>
      <c r="E895" s="33" t="s">
        <v>1416</v>
      </c>
      <c r="I895">
        <v>268</v>
      </c>
      <c r="J895" t="str">
        <f>_xlfn.XLOOKUP($I895,$A:$A,B:B)</f>
        <v>versión</v>
      </c>
      <c r="K895">
        <f>_xlfn.XLOOKUP($I895,$A:$A,C:C)</f>
        <v>60</v>
      </c>
      <c r="L895">
        <f>_xlfn.XLOOKUP($I895,$A:$A,D:D)</f>
        <v>6</v>
      </c>
      <c r="M895" t="str">
        <f>_xlfn.XLOOKUP($I895,$A:$A,E:E)</f>
        <v>L2</v>
      </c>
    </row>
    <row r="896" spans="1:13" customFormat="1" ht="20.25">
      <c r="A896" s="34">
        <v>897</v>
      </c>
      <c r="B896" s="33" t="s">
        <v>976</v>
      </c>
      <c r="C896" s="34">
        <v>23</v>
      </c>
      <c r="D896" s="33">
        <v>13</v>
      </c>
      <c r="E896" s="33" t="s">
        <v>1413</v>
      </c>
      <c r="I896">
        <v>846</v>
      </c>
      <c r="J896" t="str">
        <f>_xlfn.XLOOKUP($I896,$A:$A,B:B)</f>
        <v>versiones</v>
      </c>
      <c r="K896">
        <f>_xlfn.XLOOKUP($I896,$A:$A,C:C)</f>
        <v>24</v>
      </c>
      <c r="L896">
        <f>_xlfn.XLOOKUP($I896,$A:$A,D:D)</f>
        <v>3</v>
      </c>
      <c r="M896" t="str">
        <f>_xlfn.XLOOKUP($I896,$A:$A,E:E)</f>
        <v>L2</v>
      </c>
    </row>
    <row r="897" spans="1:13" customFormat="1" ht="20.25">
      <c r="A897" s="34">
        <v>898</v>
      </c>
      <c r="B897" s="33" t="s">
        <v>977</v>
      </c>
      <c r="C897" s="34">
        <v>23</v>
      </c>
      <c r="D897" s="33">
        <v>1</v>
      </c>
      <c r="E897" s="33" t="s">
        <v>1413</v>
      </c>
      <c r="I897">
        <v>63</v>
      </c>
      <c r="J897" t="str">
        <f>_xlfn.XLOOKUP($I897,$A:$A,B:B)</f>
        <v>vez</v>
      </c>
      <c r="K897">
        <f>_xlfn.XLOOKUP($I897,$A:$A,C:C)</f>
        <v>197</v>
      </c>
      <c r="L897">
        <f>_xlfn.XLOOKUP($I897,$A:$A,D:D)</f>
        <v>9</v>
      </c>
      <c r="M897" t="str">
        <f>_xlfn.XLOOKUP($I897,$A:$A,E:E)</f>
        <v>L1</v>
      </c>
    </row>
    <row r="898" spans="1:13" customFormat="1" ht="20.25">
      <c r="A898" s="34"/>
      <c r="B898" s="33"/>
      <c r="C898" s="34"/>
      <c r="D898" s="33"/>
      <c r="E898" s="33"/>
      <c r="I898">
        <v>895</v>
      </c>
      <c r="J898" t="str">
        <f>_xlfn.XLOOKUP($I898,$A:$A,B:B)</f>
        <v>victoria</v>
      </c>
      <c r="K898">
        <f>_xlfn.XLOOKUP($I898,$A:$A,C:C)</f>
        <v>23</v>
      </c>
      <c r="L898">
        <f>_xlfn.XLOOKUP($I898,$A:$A,D:D)</f>
        <v>4</v>
      </c>
      <c r="M898" t="str">
        <f>_xlfn.XLOOKUP($I898,$A:$A,E:E)</f>
        <v>L2</v>
      </c>
    </row>
    <row r="899" spans="1:13" customFormat="1" ht="20.25">
      <c r="A899" s="34">
        <v>900</v>
      </c>
      <c r="B899" s="33" t="s">
        <v>979</v>
      </c>
      <c r="C899" s="34">
        <v>23</v>
      </c>
      <c r="D899" s="33">
        <v>3</v>
      </c>
      <c r="E899" s="33" t="s">
        <v>1413</v>
      </c>
      <c r="I899">
        <v>90</v>
      </c>
      <c r="J899" t="str">
        <f>_xlfn.XLOOKUP($I899,$A:$A,B:B)</f>
        <v>vida</v>
      </c>
      <c r="K899">
        <f>_xlfn.XLOOKUP($I899,$A:$A,C:C)</f>
        <v>135</v>
      </c>
      <c r="L899">
        <f>_xlfn.XLOOKUP($I899,$A:$A,D:D)</f>
        <v>11</v>
      </c>
      <c r="M899" t="str">
        <f>_xlfn.XLOOKUP($I899,$A:$A,E:E)</f>
        <v>L1</v>
      </c>
    </row>
    <row r="900" spans="1:13" customFormat="1" ht="20.25">
      <c r="A900" s="34"/>
      <c r="B900" s="33"/>
      <c r="C900" s="34"/>
      <c r="D900" s="33"/>
      <c r="E900" s="33"/>
      <c r="I900">
        <v>762</v>
      </c>
      <c r="J900" t="str">
        <f>_xlfn.XLOOKUP($I900,$A:$A,B:B)</f>
        <v>visión</v>
      </c>
      <c r="K900">
        <f>_xlfn.XLOOKUP($I900,$A:$A,C:C)</f>
        <v>26</v>
      </c>
      <c r="L900">
        <f>_xlfn.XLOOKUP($I900,$A:$A,D:D)</f>
        <v>15</v>
      </c>
      <c r="M900" t="str">
        <f>_xlfn.XLOOKUP($I900,$A:$A,E:E)</f>
        <v>L2</v>
      </c>
    </row>
    <row r="901" spans="1:13" customFormat="1" ht="20.25">
      <c r="A901" s="34">
        <v>902</v>
      </c>
      <c r="B901" s="33" t="s">
        <v>981</v>
      </c>
      <c r="C901" s="34"/>
      <c r="D901" s="33">
        <v>13</v>
      </c>
      <c r="E901" s="33" t="s">
        <v>1413</v>
      </c>
      <c r="I901">
        <v>571</v>
      </c>
      <c r="J901" t="str">
        <f>_xlfn.XLOOKUP($I901,$A:$A,B:B)</f>
        <v>vista</v>
      </c>
      <c r="K901">
        <f>_xlfn.XLOOKUP($I901,$A:$A,C:C)</f>
        <v>32</v>
      </c>
      <c r="L901">
        <f>_xlfn.XLOOKUP($I901,$A:$A,D:D)</f>
        <v>13</v>
      </c>
      <c r="M901" t="str">
        <f>_xlfn.XLOOKUP($I901,$A:$A,E:E)</f>
        <v>L2</v>
      </c>
    </row>
    <row r="902" spans="1:13" customFormat="1" ht="20.25">
      <c r="A902" s="34"/>
      <c r="B902" s="33"/>
      <c r="C902" s="34"/>
      <c r="D902" s="33"/>
      <c r="E902" s="33"/>
      <c r="I902">
        <v>518</v>
      </c>
      <c r="J902" t="str">
        <f>_xlfn.XLOOKUP($I902,$A:$A,B:B)</f>
        <v>volvió</v>
      </c>
      <c r="K902">
        <f>_xlfn.XLOOKUP($I902,$A:$A,C:C)</f>
        <v>0</v>
      </c>
      <c r="L902">
        <f>_xlfn.XLOOKUP($I902,$A:$A,D:D)</f>
        <v>9</v>
      </c>
      <c r="M902" t="str">
        <f>_xlfn.XLOOKUP($I902,$A:$A,E:E)</f>
        <v>L2</v>
      </c>
    </row>
    <row r="903" spans="1:13" customFormat="1" ht="20.25">
      <c r="A903" s="34">
        <v>904</v>
      </c>
      <c r="B903" s="33" t="s">
        <v>983</v>
      </c>
      <c r="C903" s="34">
        <v>22</v>
      </c>
      <c r="D903" s="33">
        <v>9</v>
      </c>
      <c r="E903" s="33" t="s">
        <v>1413</v>
      </c>
      <c r="I903">
        <v>983</v>
      </c>
      <c r="J903" t="str">
        <f>_xlfn.XLOOKUP($I903,$A:$A,B:B)</f>
        <v>votos</v>
      </c>
      <c r="K903">
        <f>_xlfn.XLOOKUP($I903,$A:$A,C:C)</f>
        <v>21</v>
      </c>
      <c r="L903">
        <f>_xlfn.XLOOKUP($I903,$A:$A,D:D)</f>
        <v>1</v>
      </c>
      <c r="M903" t="str">
        <f>_xlfn.XLOOKUP($I903,$A:$A,E:E)</f>
        <v>L2</v>
      </c>
    </row>
    <row r="904" spans="1:13" customFormat="1" ht="20.25">
      <c r="A904" s="34">
        <v>905</v>
      </c>
      <c r="B904" s="33" t="s">
        <v>984</v>
      </c>
      <c r="C904" s="34">
        <v>22</v>
      </c>
      <c r="D904" s="33">
        <v>14</v>
      </c>
      <c r="E904" s="33" t="s">
        <v>1416</v>
      </c>
      <c r="I904">
        <v>727</v>
      </c>
      <c r="J904" t="str">
        <f>_xlfn.XLOOKUP($I904,$A:$A,B:B)</f>
        <v>voz</v>
      </c>
      <c r="K904">
        <f>_xlfn.XLOOKUP($I904,$A:$A,C:C)</f>
        <v>27</v>
      </c>
      <c r="L904">
        <f>_xlfn.XLOOKUP($I904,$A:$A,D:D)</f>
        <v>3</v>
      </c>
      <c r="M904" t="str">
        <f>_xlfn.XLOOKUP($I904,$A:$A,E:E)</f>
        <v>L1</v>
      </c>
    </row>
    <row r="905" spans="1:13" customFormat="1" ht="20.25">
      <c r="A905" s="34">
        <v>906</v>
      </c>
      <c r="B905" s="33" t="s">
        <v>985</v>
      </c>
      <c r="C905" s="34">
        <v>22</v>
      </c>
      <c r="D905" s="33">
        <v>7</v>
      </c>
      <c r="E905" s="33" t="s">
        <v>1416</v>
      </c>
      <c r="I905">
        <v>691</v>
      </c>
      <c r="J905" t="str">
        <f>_xlfn.XLOOKUP($I905,$A:$A,B:B)</f>
        <v>vuelta</v>
      </c>
      <c r="K905">
        <f>_xlfn.XLOOKUP($I905,$A:$A,C:C)</f>
        <v>28</v>
      </c>
      <c r="L905">
        <f>_xlfn.XLOOKUP($I905,$A:$A,D:D)</f>
        <v>4</v>
      </c>
      <c r="M905" t="str">
        <f>_xlfn.XLOOKUP($I905,$A:$A,E:E)</f>
        <v>L2</v>
      </c>
    </row>
    <row r="906" spans="1:13" customFormat="1" ht="20.25">
      <c r="A906" s="34">
        <v>907</v>
      </c>
      <c r="B906" s="33" t="s">
        <v>986</v>
      </c>
      <c r="C906" s="34">
        <v>22</v>
      </c>
      <c r="D906" s="33">
        <v>13</v>
      </c>
      <c r="E906" s="33" t="s">
        <v>1413</v>
      </c>
      <c r="I906">
        <v>984</v>
      </c>
      <c r="J906" t="str">
        <f>_xlfn.XLOOKUP($I906,$A:$A,B:B)</f>
        <v>vuelve</v>
      </c>
      <c r="K906">
        <f>_xlfn.XLOOKUP($I906,$A:$A,C:C)</f>
        <v>21</v>
      </c>
      <c r="L906">
        <f>_xlfn.XLOOKUP($I906,$A:$A,D:D)</f>
        <v>13</v>
      </c>
      <c r="M906" t="str">
        <f>_xlfn.XLOOKUP($I906,$A:$A,E:E)</f>
        <v>L1</v>
      </c>
    </row>
    <row r="907" spans="1:13" customFormat="1" ht="20.25">
      <c r="A907" s="34">
        <v>908</v>
      </c>
      <c r="B907" s="33" t="s">
        <v>987</v>
      </c>
      <c r="C907" s="34">
        <v>22</v>
      </c>
      <c r="D907" s="33">
        <v>15</v>
      </c>
      <c r="E907" s="33" t="s">
        <v>1413</v>
      </c>
      <c r="I907">
        <v>5</v>
      </c>
      <c r="J907" t="str">
        <f>_xlfn.XLOOKUP($I907,$A:$A,B:B)</f>
        <v>y</v>
      </c>
      <c r="K907">
        <f>_xlfn.XLOOKUP($I907,$A:$A,C:C)</f>
        <v>5422</v>
      </c>
      <c r="L907">
        <f>_xlfn.XLOOKUP($I907,$A:$A,D:D)</f>
        <v>12</v>
      </c>
      <c r="M907" t="str">
        <f>_xlfn.XLOOKUP($I907,$A:$A,E:E)</f>
        <v>L1</v>
      </c>
    </row>
    <row r="908" spans="1:13" customFormat="1" ht="20.25">
      <c r="A908" s="34">
        <v>909</v>
      </c>
      <c r="B908" s="33" t="s">
        <v>988</v>
      </c>
      <c r="C908" s="34">
        <v>22</v>
      </c>
      <c r="D908" s="33">
        <v>13</v>
      </c>
      <c r="E908" s="33" t="s">
        <v>1413</v>
      </c>
      <c r="I908">
        <v>57</v>
      </c>
      <c r="J908" t="str">
        <f>_xlfn.XLOOKUP($I908,$A:$A,B:B)</f>
        <v>ya</v>
      </c>
      <c r="K908">
        <f>_xlfn.XLOOKUP($I908,$A:$A,C:C)</f>
        <v>211</v>
      </c>
      <c r="L908">
        <f>_xlfn.XLOOKUP($I908,$A:$A,D:D)</f>
        <v>15</v>
      </c>
      <c r="M908" t="str">
        <f>_xlfn.XLOOKUP($I908,$A:$A,E:E)</f>
        <v>L1</v>
      </c>
    </row>
    <row r="909" spans="1:13" customFormat="1" ht="20.25">
      <c r="A909" s="34">
        <v>910</v>
      </c>
      <c r="B909" s="33" t="s">
        <v>989</v>
      </c>
      <c r="C909" s="34">
        <v>22</v>
      </c>
      <c r="D909" s="33">
        <v>3</v>
      </c>
      <c r="E909" s="33" t="s">
        <v>1413</v>
      </c>
      <c r="I909">
        <v>803</v>
      </c>
      <c r="J909" t="str">
        <f>_xlfn.XLOOKUP($I909,$A:$A,B:B)</f>
        <v>York</v>
      </c>
      <c r="K909">
        <f>_xlfn.XLOOKUP($I909,$A:$A,C:C)</f>
        <v>25</v>
      </c>
      <c r="L909">
        <f>_xlfn.XLOOKUP($I909,$A:$A,D:D)</f>
        <v>13</v>
      </c>
      <c r="M909" t="str">
        <f>_xlfn.XLOOKUP($I909,$A:$A,E:E)</f>
        <v>L1</v>
      </c>
    </row>
    <row r="910" spans="1:13" customFormat="1" ht="20.25">
      <c r="A910" s="34">
        <v>911</v>
      </c>
      <c r="B910" s="33" t="s">
        <v>990</v>
      </c>
      <c r="C910" s="34">
        <v>22</v>
      </c>
      <c r="D910" s="33">
        <v>11</v>
      </c>
      <c r="E910" s="33" t="s">
        <v>1413</v>
      </c>
      <c r="I910">
        <v>179</v>
      </c>
      <c r="J910" t="str">
        <f>_xlfn.XLOOKUP($I910,$A:$A,B:B)</f>
        <v>zona</v>
      </c>
      <c r="K910">
        <f>_xlfn.XLOOKUP($I910,$A:$A,C:C)</f>
        <v>81</v>
      </c>
      <c r="L910">
        <f>_xlfn.XLOOKUP($I910,$A:$A,D:D)</f>
        <v>10</v>
      </c>
      <c r="M910" t="str">
        <f>_xlfn.XLOOKUP($I910,$A:$A,E:E)</f>
        <v>L2</v>
      </c>
    </row>
    <row r="911" spans="1:13" customFormat="1" ht="20.25">
      <c r="A911" s="34">
        <v>912</v>
      </c>
      <c r="B911" s="33" t="s">
        <v>991</v>
      </c>
      <c r="C911" s="34">
        <v>22</v>
      </c>
      <c r="D911" s="33">
        <v>2</v>
      </c>
      <c r="E911" s="33" t="s">
        <v>1416</v>
      </c>
      <c r="I911">
        <v>985</v>
      </c>
      <c r="J911" t="str">
        <f>_xlfn.XLOOKUP($I911,$A:$A,B:B)</f>
        <v>zonas</v>
      </c>
      <c r="K911">
        <f>_xlfn.XLOOKUP($I911,$A:$A,C:C)</f>
        <v>21</v>
      </c>
      <c r="L911">
        <f>_xlfn.XLOOKUP($I911,$A:$A,D:D)</f>
        <v>10</v>
      </c>
      <c r="M911" t="str">
        <f>_xlfn.XLOOKUP($I911,$A:$A,E:E)</f>
        <v>L2</v>
      </c>
    </row>
    <row r="912" spans="1:13" customFormat="1" ht="20.25">
      <c r="A912" s="34">
        <v>913</v>
      </c>
      <c r="B912" s="33" t="s">
        <v>992</v>
      </c>
      <c r="C912" s="34">
        <v>22</v>
      </c>
      <c r="D912" s="33">
        <v>4</v>
      </c>
      <c r="E912" s="33" t="s">
        <v>1416</v>
      </c>
      <c r="I912">
        <v>985</v>
      </c>
      <c r="J912" t="str">
        <f>_xlfn.XLOOKUP($I912,$A:$A,B:B)</f>
        <v>zonas</v>
      </c>
      <c r="K912">
        <f>_xlfn.XLOOKUP($I912,$A:$A,C:C)</f>
        <v>21</v>
      </c>
      <c r="L912">
        <f>_xlfn.XLOOKUP($I912,$A:$A,D:D)</f>
        <v>10</v>
      </c>
      <c r="M912" t="str">
        <f>_xlfn.XLOOKUP($I912,$A:$A,E:E)</f>
        <v>L2</v>
      </c>
    </row>
    <row r="913" spans="1:5" customFormat="1" ht="20.25">
      <c r="A913" s="34">
        <v>914</v>
      </c>
      <c r="B913" s="33" t="s">
        <v>993</v>
      </c>
      <c r="C913" s="34">
        <v>22</v>
      </c>
      <c r="D913" s="33">
        <v>1</v>
      </c>
      <c r="E913" s="33" t="s">
        <v>1416</v>
      </c>
    </row>
    <row r="914" spans="1:5" customFormat="1" ht="20.25">
      <c r="A914" s="34">
        <v>915</v>
      </c>
      <c r="B914" s="33" t="s">
        <v>994</v>
      </c>
      <c r="C914" s="34">
        <v>22</v>
      </c>
      <c r="D914" s="33">
        <v>6</v>
      </c>
      <c r="E914" s="33" t="s">
        <v>1419</v>
      </c>
    </row>
    <row r="915" spans="1:5" customFormat="1" ht="20.25">
      <c r="A915" s="34">
        <v>916</v>
      </c>
      <c r="B915" s="33" t="s">
        <v>995</v>
      </c>
      <c r="C915" s="34">
        <v>22</v>
      </c>
      <c r="D915" s="33">
        <v>12</v>
      </c>
      <c r="E915" s="33" t="s">
        <v>1419</v>
      </c>
    </row>
    <row r="916" spans="1:5" customFormat="1" ht="20.25">
      <c r="A916" s="34">
        <v>917</v>
      </c>
      <c r="B916" s="33" t="s">
        <v>996</v>
      </c>
      <c r="C916" s="34">
        <v>22</v>
      </c>
      <c r="D916" s="33">
        <v>8</v>
      </c>
      <c r="E916" s="33" t="s">
        <v>1419</v>
      </c>
    </row>
    <row r="917" spans="1:5" customFormat="1" ht="20.25">
      <c r="A917" s="34">
        <v>918</v>
      </c>
      <c r="B917" s="33" t="s">
        <v>997</v>
      </c>
      <c r="C917" s="34">
        <v>22</v>
      </c>
      <c r="D917" s="33">
        <v>12</v>
      </c>
      <c r="E917" s="33" t="s">
        <v>1416</v>
      </c>
    </row>
    <row r="918" spans="1:5" customFormat="1" ht="20.25">
      <c r="A918" s="34">
        <v>919</v>
      </c>
      <c r="B918" s="33" t="s">
        <v>998</v>
      </c>
      <c r="C918" s="34">
        <v>22</v>
      </c>
      <c r="D918" s="33">
        <v>5</v>
      </c>
      <c r="E918" s="33" t="s">
        <v>1413</v>
      </c>
    </row>
    <row r="919" spans="1:5" customFormat="1" ht="20.25">
      <c r="A919" s="34">
        <v>920</v>
      </c>
      <c r="B919" s="33" t="s">
        <v>999</v>
      </c>
      <c r="C919" s="34">
        <v>22</v>
      </c>
      <c r="D919" s="33">
        <v>4</v>
      </c>
      <c r="E919" s="33" t="s">
        <v>1416</v>
      </c>
    </row>
    <row r="920" spans="1:5" customFormat="1" ht="20.25">
      <c r="A920" s="34">
        <v>921</v>
      </c>
      <c r="B920" s="33" t="s">
        <v>1000</v>
      </c>
      <c r="C920" s="34">
        <v>22</v>
      </c>
      <c r="D920" s="33">
        <v>7</v>
      </c>
      <c r="E920" s="33" t="s">
        <v>1419</v>
      </c>
    </row>
    <row r="921" spans="1:5" customFormat="1" ht="20.25">
      <c r="A921" s="34">
        <v>922</v>
      </c>
      <c r="B921" s="33" t="s">
        <v>1001</v>
      </c>
      <c r="C921" s="34">
        <v>22</v>
      </c>
      <c r="D921" s="33">
        <v>2</v>
      </c>
      <c r="E921" s="33" t="s">
        <v>1416</v>
      </c>
    </row>
    <row r="922" spans="1:5" customFormat="1" ht="20.25">
      <c r="A922" s="34">
        <v>923</v>
      </c>
      <c r="B922" s="33" t="s">
        <v>1002</v>
      </c>
      <c r="C922" s="34">
        <v>22</v>
      </c>
      <c r="D922" s="33">
        <v>11</v>
      </c>
      <c r="E922" s="33" t="s">
        <v>1413</v>
      </c>
    </row>
    <row r="923" spans="1:5" customFormat="1" ht="20.25">
      <c r="A923" s="34">
        <v>924</v>
      </c>
      <c r="B923" s="33" t="s">
        <v>1003</v>
      </c>
      <c r="C923" s="34">
        <v>22</v>
      </c>
      <c r="D923" s="33">
        <v>1</v>
      </c>
      <c r="E923" s="33" t="s">
        <v>1416</v>
      </c>
    </row>
    <row r="924" spans="1:5" customFormat="1" ht="20.25">
      <c r="A924" s="34">
        <v>925</v>
      </c>
      <c r="B924" s="33" t="s">
        <v>1004</v>
      </c>
      <c r="C924" s="34">
        <v>22</v>
      </c>
      <c r="D924" s="33">
        <v>4</v>
      </c>
      <c r="E924" s="33" t="s">
        <v>1413</v>
      </c>
    </row>
    <row r="925" spans="1:5" customFormat="1" ht="20.25">
      <c r="A925" s="34">
        <v>926</v>
      </c>
      <c r="B925" s="33" t="s">
        <v>1005</v>
      </c>
      <c r="C925" s="34">
        <v>22</v>
      </c>
      <c r="D925" s="33">
        <v>6</v>
      </c>
      <c r="E925" s="33" t="s">
        <v>1416</v>
      </c>
    </row>
    <row r="926" spans="1:5" customFormat="1" ht="20.25">
      <c r="A926" s="34">
        <v>927</v>
      </c>
      <c r="B926" s="33" t="s">
        <v>1006</v>
      </c>
      <c r="C926" s="34">
        <v>22</v>
      </c>
      <c r="D926" s="33">
        <v>12</v>
      </c>
      <c r="E926" s="33" t="s">
        <v>1413</v>
      </c>
    </row>
    <row r="927" spans="1:5" customFormat="1" ht="20.25">
      <c r="A927" s="34">
        <v>928</v>
      </c>
      <c r="B927" s="33" t="s">
        <v>1007</v>
      </c>
      <c r="C927" s="34">
        <v>22</v>
      </c>
      <c r="D927" s="33">
        <v>11</v>
      </c>
      <c r="E927" s="33" t="s">
        <v>1419</v>
      </c>
    </row>
    <row r="928" spans="1:5" customFormat="1" ht="20.25">
      <c r="A928" s="34">
        <v>929</v>
      </c>
      <c r="B928" s="33" t="s">
        <v>1008</v>
      </c>
      <c r="C928" s="34">
        <v>22</v>
      </c>
      <c r="D928" s="33">
        <v>2</v>
      </c>
      <c r="E928" s="33" t="s">
        <v>1416</v>
      </c>
    </row>
    <row r="929" spans="1:5" customFormat="1" ht="20.25">
      <c r="A929" s="34">
        <v>930</v>
      </c>
      <c r="B929" s="33" t="s">
        <v>1009</v>
      </c>
      <c r="C929" s="34">
        <v>22</v>
      </c>
      <c r="D929" s="33">
        <v>1</v>
      </c>
      <c r="E929" s="33" t="s">
        <v>1416</v>
      </c>
    </row>
    <row r="930" spans="1:5" customFormat="1" ht="20.25">
      <c r="A930" s="34">
        <v>931</v>
      </c>
      <c r="B930" s="33" t="s">
        <v>1010</v>
      </c>
      <c r="C930" s="34">
        <v>22</v>
      </c>
      <c r="D930" s="33">
        <v>13</v>
      </c>
      <c r="E930" s="33" t="s">
        <v>1416</v>
      </c>
    </row>
    <row r="931" spans="1:5" customFormat="1" ht="20.25">
      <c r="A931" s="34">
        <v>932</v>
      </c>
      <c r="B931" s="33" t="s">
        <v>1011</v>
      </c>
      <c r="C931" s="34">
        <v>22</v>
      </c>
      <c r="D931" s="33">
        <v>3</v>
      </c>
      <c r="E931" s="33" t="s">
        <v>1416</v>
      </c>
    </row>
    <row r="932" spans="1:5" customFormat="1" ht="20.25">
      <c r="A932" s="34">
        <v>933</v>
      </c>
      <c r="B932" s="33" t="s">
        <v>1012</v>
      </c>
      <c r="C932" s="34">
        <v>22</v>
      </c>
      <c r="D932" s="33">
        <v>12</v>
      </c>
      <c r="E932" s="33" t="s">
        <v>1416</v>
      </c>
    </row>
    <row r="933" spans="1:5" customFormat="1" ht="20.25">
      <c r="A933" s="34">
        <v>934</v>
      </c>
      <c r="B933" s="33" t="s">
        <v>1013</v>
      </c>
      <c r="C933" s="34">
        <v>22</v>
      </c>
      <c r="D933" s="33">
        <v>5</v>
      </c>
      <c r="E933" s="33" t="s">
        <v>1416</v>
      </c>
    </row>
    <row r="934" spans="1:5" customFormat="1" ht="20.25">
      <c r="A934" s="34">
        <v>935</v>
      </c>
      <c r="B934" s="33" t="s">
        <v>1014</v>
      </c>
      <c r="C934" s="34">
        <v>22</v>
      </c>
      <c r="D934" s="33">
        <v>5</v>
      </c>
      <c r="E934" s="33" t="s">
        <v>1416</v>
      </c>
    </row>
    <row r="935" spans="1:5" customFormat="1" ht="20.25">
      <c r="A935" s="34">
        <v>936</v>
      </c>
      <c r="B935" s="33" t="s">
        <v>1015</v>
      </c>
      <c r="C935" s="34">
        <v>22</v>
      </c>
      <c r="D935" s="33">
        <v>13</v>
      </c>
      <c r="E935" s="33" t="s">
        <v>1413</v>
      </c>
    </row>
    <row r="936" spans="1:5" customFormat="1" ht="20.25">
      <c r="A936" s="34">
        <v>937</v>
      </c>
      <c r="B936" s="33" t="s">
        <v>1016</v>
      </c>
      <c r="C936" s="34">
        <v>22</v>
      </c>
      <c r="D936" s="33">
        <v>15</v>
      </c>
      <c r="E936" s="33" t="s">
        <v>1413</v>
      </c>
    </row>
    <row r="937" spans="1:5" customFormat="1" ht="20.25">
      <c r="A937" s="34">
        <v>938</v>
      </c>
      <c r="B937" s="33" t="s">
        <v>1017</v>
      </c>
      <c r="C937" s="34">
        <v>22</v>
      </c>
      <c r="D937" s="33">
        <v>4</v>
      </c>
      <c r="E937" s="33" t="s">
        <v>1413</v>
      </c>
    </row>
    <row r="938" spans="1:5" customFormat="1" ht="20.25">
      <c r="A938" s="34">
        <v>939</v>
      </c>
      <c r="B938" s="33" t="s">
        <v>1018</v>
      </c>
      <c r="C938" s="34">
        <v>22</v>
      </c>
      <c r="D938" s="33">
        <v>11</v>
      </c>
      <c r="E938" s="33" t="s">
        <v>1413</v>
      </c>
    </row>
    <row r="939" spans="1:5" customFormat="1" ht="20.25">
      <c r="A939" s="34">
        <v>940</v>
      </c>
      <c r="B939" s="33" t="s">
        <v>1019</v>
      </c>
      <c r="C939" s="34">
        <v>22</v>
      </c>
      <c r="D939" s="33">
        <v>1</v>
      </c>
      <c r="E939" s="33" t="s">
        <v>1416</v>
      </c>
    </row>
    <row r="940" spans="1:5" customFormat="1" ht="20.25">
      <c r="A940" s="34">
        <v>941</v>
      </c>
      <c r="B940" s="33" t="s">
        <v>1020</v>
      </c>
      <c r="C940" s="34">
        <v>22</v>
      </c>
      <c r="D940" s="33">
        <v>10</v>
      </c>
      <c r="E940" s="33" t="s">
        <v>1416</v>
      </c>
    </row>
    <row r="941" spans="1:5" customFormat="1" ht="20.25">
      <c r="A941" s="34">
        <v>942</v>
      </c>
      <c r="B941" s="33" t="s">
        <v>1021</v>
      </c>
      <c r="C941" s="34">
        <v>22</v>
      </c>
      <c r="D941" s="33">
        <v>6</v>
      </c>
      <c r="E941" s="33" t="s">
        <v>1416</v>
      </c>
    </row>
    <row r="942" spans="1:5" customFormat="1" ht="20.25">
      <c r="A942" s="34"/>
      <c r="B942" s="33"/>
      <c r="C942" s="34"/>
      <c r="D942" s="33"/>
      <c r="E942" s="33"/>
    </row>
    <row r="943" spans="1:5" customFormat="1" ht="20.25">
      <c r="A943" s="34"/>
      <c r="B943" s="33"/>
      <c r="C943" s="34"/>
      <c r="D943" s="33"/>
      <c r="E943" s="33"/>
    </row>
    <row r="944" spans="1:5" customFormat="1" ht="20.25">
      <c r="A944" s="34"/>
      <c r="B944" s="33"/>
      <c r="C944" s="34"/>
      <c r="D944" s="33"/>
      <c r="E944" s="33"/>
    </row>
    <row r="945" spans="1:5" customFormat="1" ht="20.25">
      <c r="A945" s="34">
        <v>947</v>
      </c>
      <c r="B945" s="33" t="s">
        <v>1022</v>
      </c>
      <c r="C945" s="34">
        <v>22</v>
      </c>
      <c r="D945" s="33">
        <v>3</v>
      </c>
      <c r="E945" s="33" t="s">
        <v>1413</v>
      </c>
    </row>
    <row r="946" spans="1:5" customFormat="1" ht="20.25">
      <c r="A946" s="34"/>
      <c r="B946" s="33"/>
      <c r="C946" s="34"/>
      <c r="D946" s="33"/>
      <c r="E946" s="33"/>
    </row>
    <row r="947" spans="1:5" customFormat="1" ht="20.25">
      <c r="A947" s="34"/>
      <c r="B947" s="33"/>
      <c r="C947" s="34"/>
      <c r="D947" s="33"/>
      <c r="E947" s="33"/>
    </row>
    <row r="948" spans="1:5" customFormat="1" ht="20.25">
      <c r="A948" s="34">
        <v>950</v>
      </c>
      <c r="B948" s="33" t="s">
        <v>1025</v>
      </c>
      <c r="C948" s="34">
        <v>22</v>
      </c>
      <c r="D948" s="33">
        <v>13</v>
      </c>
      <c r="E948" s="33" t="s">
        <v>1413</v>
      </c>
    </row>
    <row r="949" spans="1:5" customFormat="1" ht="20.25">
      <c r="A949" s="34">
        <v>951</v>
      </c>
      <c r="B949" s="33" t="s">
        <v>1026</v>
      </c>
      <c r="C949" s="34">
        <v>22</v>
      </c>
      <c r="D949" s="33">
        <v>9</v>
      </c>
      <c r="E949" s="33" t="s">
        <v>1413</v>
      </c>
    </row>
    <row r="950" spans="1:5" customFormat="1" ht="20.25">
      <c r="A950" s="34"/>
      <c r="B950" s="33"/>
      <c r="C950" s="33"/>
      <c r="D950" s="33"/>
      <c r="E950" s="33"/>
    </row>
    <row r="951" spans="1:5" customFormat="1" ht="20.25">
      <c r="A951" s="34">
        <v>953</v>
      </c>
      <c r="B951" s="33" t="s">
        <v>1028</v>
      </c>
      <c r="C951" s="34"/>
      <c r="D951" s="33">
        <v>1</v>
      </c>
      <c r="E951" s="33" t="s">
        <v>1416</v>
      </c>
    </row>
    <row r="952" spans="1:5" customFormat="1" ht="20.25">
      <c r="A952" s="34"/>
      <c r="B952" s="33"/>
      <c r="C952" s="34"/>
      <c r="D952" s="33"/>
      <c r="E952" s="33"/>
    </row>
    <row r="953" spans="1:5" customFormat="1" ht="20.25">
      <c r="A953" s="34">
        <v>955</v>
      </c>
      <c r="B953" s="33" t="s">
        <v>1030</v>
      </c>
      <c r="C953" s="34">
        <v>21</v>
      </c>
      <c r="D953" s="33">
        <v>6</v>
      </c>
      <c r="E953" s="33" t="s">
        <v>1416</v>
      </c>
    </row>
    <row r="954" spans="1:5" customFormat="1" ht="20.25">
      <c r="A954" s="34">
        <v>956</v>
      </c>
      <c r="B954" s="33" t="s">
        <v>1031</v>
      </c>
      <c r="C954" s="34">
        <v>21</v>
      </c>
      <c r="D954" s="33">
        <v>7</v>
      </c>
      <c r="E954" s="33" t="s">
        <v>1416</v>
      </c>
    </row>
    <row r="955" spans="1:5" customFormat="1" ht="20.25">
      <c r="A955" s="34">
        <v>957</v>
      </c>
      <c r="B955" s="33" t="s">
        <v>1032</v>
      </c>
      <c r="C955" s="34">
        <v>21</v>
      </c>
      <c r="D955" s="33">
        <v>10</v>
      </c>
      <c r="E955" s="33" t="s">
        <v>1413</v>
      </c>
    </row>
    <row r="956" spans="1:5" customFormat="1" ht="20.25">
      <c r="A956" s="34">
        <v>958</v>
      </c>
      <c r="B956" s="33" t="s">
        <v>1033</v>
      </c>
      <c r="C956" s="34">
        <v>21</v>
      </c>
      <c r="D956" s="33">
        <v>8</v>
      </c>
      <c r="E956" s="33" t="s">
        <v>1419</v>
      </c>
    </row>
    <row r="957" spans="1:5" customFormat="1" ht="20.25">
      <c r="A957" s="34">
        <v>959</v>
      </c>
      <c r="B957" s="33" t="s">
        <v>1034</v>
      </c>
      <c r="C957" s="34">
        <v>21</v>
      </c>
      <c r="D957" s="33">
        <v>2</v>
      </c>
      <c r="E957" s="33" t="s">
        <v>1416</v>
      </c>
    </row>
    <row r="958" spans="1:5" customFormat="1" ht="20.25">
      <c r="A958" s="34">
        <v>960</v>
      </c>
      <c r="B958" s="33" t="s">
        <v>1035</v>
      </c>
      <c r="C958" s="34">
        <v>21</v>
      </c>
      <c r="D958" s="33">
        <v>10</v>
      </c>
      <c r="E958" s="33" t="s">
        <v>1416</v>
      </c>
    </row>
    <row r="959" spans="1:5" customFormat="1" ht="20.25">
      <c r="A959" s="34">
        <v>961</v>
      </c>
      <c r="B959" s="33" t="s">
        <v>1036</v>
      </c>
      <c r="C959" s="34">
        <v>21</v>
      </c>
      <c r="D959" s="33">
        <v>6</v>
      </c>
      <c r="E959" s="33" t="s">
        <v>1419</v>
      </c>
    </row>
    <row r="960" spans="1:5" customFormat="1" ht="20.25">
      <c r="A960" s="34">
        <v>962</v>
      </c>
      <c r="B960" s="33" t="s">
        <v>1037</v>
      </c>
      <c r="C960" s="34">
        <v>21</v>
      </c>
      <c r="D960" s="33">
        <v>1</v>
      </c>
      <c r="E960" s="33" t="s">
        <v>1416</v>
      </c>
    </row>
    <row r="961" spans="1:5" customFormat="1" ht="20.25">
      <c r="A961" s="34">
        <v>963</v>
      </c>
      <c r="B961" s="33" t="s">
        <v>1038</v>
      </c>
      <c r="C961" s="34">
        <v>21</v>
      </c>
      <c r="D961" s="33">
        <v>6</v>
      </c>
      <c r="E961" s="33" t="s">
        <v>1419</v>
      </c>
    </row>
    <row r="962" spans="1:5" customFormat="1" ht="20.25">
      <c r="A962" s="34">
        <v>964</v>
      </c>
      <c r="B962" s="33" t="s">
        <v>1039</v>
      </c>
      <c r="C962" s="34">
        <v>21</v>
      </c>
      <c r="D962" s="33">
        <v>2</v>
      </c>
      <c r="E962" s="33" t="s">
        <v>1416</v>
      </c>
    </row>
    <row r="963" spans="1:5" customFormat="1" ht="20.25">
      <c r="A963" s="34">
        <v>965</v>
      </c>
      <c r="B963" s="33" t="s">
        <v>1040</v>
      </c>
      <c r="C963" s="34">
        <v>21</v>
      </c>
      <c r="D963" s="33">
        <v>12</v>
      </c>
      <c r="E963" s="33" t="s">
        <v>1416</v>
      </c>
    </row>
    <row r="964" spans="1:5" customFormat="1" ht="20.25">
      <c r="A964" s="34">
        <v>966</v>
      </c>
      <c r="B964" s="33" t="s">
        <v>1041</v>
      </c>
      <c r="C964" s="34">
        <v>21</v>
      </c>
      <c r="D964" s="33">
        <v>1</v>
      </c>
      <c r="E964" s="33" t="s">
        <v>1416</v>
      </c>
    </row>
    <row r="965" spans="1:5" customFormat="1" ht="20.25">
      <c r="A965" s="34">
        <v>967</v>
      </c>
      <c r="B965" s="33" t="s">
        <v>1042</v>
      </c>
      <c r="C965" s="34">
        <v>21</v>
      </c>
      <c r="D965" s="33">
        <v>15</v>
      </c>
      <c r="E965" s="33" t="s">
        <v>1413</v>
      </c>
    </row>
    <row r="966" spans="1:5" customFormat="1" ht="20.25">
      <c r="A966" s="34">
        <v>968</v>
      </c>
      <c r="B966" s="33" t="s">
        <v>1043</v>
      </c>
      <c r="C966" s="34">
        <v>21</v>
      </c>
      <c r="D966" s="33">
        <v>9</v>
      </c>
      <c r="E966" s="33" t="s">
        <v>1413</v>
      </c>
    </row>
    <row r="967" spans="1:5" customFormat="1" ht="20.25">
      <c r="A967" s="34">
        <v>969</v>
      </c>
      <c r="B967" s="33" t="s">
        <v>1044</v>
      </c>
      <c r="C967" s="34">
        <v>21</v>
      </c>
      <c r="D967" s="33">
        <v>3</v>
      </c>
      <c r="E967" s="33" t="s">
        <v>1416</v>
      </c>
    </row>
    <row r="968" spans="1:5" customFormat="1" ht="20.25">
      <c r="A968" s="34">
        <v>970</v>
      </c>
      <c r="B968" s="33" t="s">
        <v>1045</v>
      </c>
      <c r="C968" s="34">
        <v>21</v>
      </c>
      <c r="D968" s="33">
        <v>2</v>
      </c>
      <c r="E968" s="33" t="s">
        <v>1419</v>
      </c>
    </row>
    <row r="969" spans="1:5" customFormat="1" ht="20.25">
      <c r="A969" s="34">
        <v>971</v>
      </c>
      <c r="B969" s="33" t="s">
        <v>1046</v>
      </c>
      <c r="C969" s="34">
        <v>21</v>
      </c>
      <c r="D969" s="33">
        <v>12</v>
      </c>
      <c r="E969" s="33" t="s">
        <v>1419</v>
      </c>
    </row>
    <row r="970" spans="1:5" customFormat="1" ht="20.25">
      <c r="A970" s="34">
        <v>972</v>
      </c>
      <c r="B970" s="33" t="s">
        <v>1047</v>
      </c>
      <c r="C970" s="34">
        <v>21</v>
      </c>
      <c r="D970" s="33">
        <v>13</v>
      </c>
      <c r="E970" s="33" t="s">
        <v>1416</v>
      </c>
    </row>
    <row r="971" spans="1:5" customFormat="1" ht="20.25">
      <c r="A971" s="34">
        <v>973</v>
      </c>
      <c r="B971" s="33" t="s">
        <v>1048</v>
      </c>
      <c r="C971" s="34">
        <v>21</v>
      </c>
      <c r="D971" s="33">
        <v>1</v>
      </c>
      <c r="E971" s="33" t="s">
        <v>1416</v>
      </c>
    </row>
    <row r="972" spans="1:5" customFormat="1" ht="20.25">
      <c r="A972" s="34">
        <v>974</v>
      </c>
      <c r="B972" s="33" t="s">
        <v>1049</v>
      </c>
      <c r="C972" s="34">
        <v>21</v>
      </c>
      <c r="D972" s="33">
        <v>9</v>
      </c>
      <c r="E972" s="33" t="s">
        <v>1413</v>
      </c>
    </row>
    <row r="973" spans="1:5" customFormat="1" ht="20.25">
      <c r="A973" s="34">
        <v>975</v>
      </c>
      <c r="B973" s="33" t="s">
        <v>1050</v>
      </c>
      <c r="C973" s="34">
        <v>21</v>
      </c>
      <c r="D973" s="33">
        <v>1</v>
      </c>
      <c r="E973" s="33" t="s">
        <v>1416</v>
      </c>
    </row>
    <row r="974" spans="1:5" customFormat="1" ht="20.25">
      <c r="A974" s="34">
        <v>976</v>
      </c>
      <c r="B974" s="33" t="s">
        <v>1051</v>
      </c>
      <c r="C974" s="34">
        <v>21</v>
      </c>
      <c r="D974" s="33">
        <v>4</v>
      </c>
      <c r="E974" s="33" t="s">
        <v>1413</v>
      </c>
    </row>
    <row r="975" spans="1:5" customFormat="1" ht="20.25">
      <c r="A975" s="34">
        <v>977</v>
      </c>
      <c r="B975" s="33" t="s">
        <v>1052</v>
      </c>
      <c r="C975" s="34">
        <v>21</v>
      </c>
      <c r="D975" s="33">
        <v>12</v>
      </c>
      <c r="E975" s="33" t="s">
        <v>1416</v>
      </c>
    </row>
    <row r="976" spans="1:5" customFormat="1" ht="20.25">
      <c r="A976" s="34">
        <v>978</v>
      </c>
      <c r="B976" s="33" t="s">
        <v>1053</v>
      </c>
      <c r="C976" s="34">
        <v>21</v>
      </c>
      <c r="D976" s="33">
        <v>3</v>
      </c>
      <c r="E976" s="33" t="s">
        <v>1416</v>
      </c>
    </row>
    <row r="977" spans="1:5" customFormat="1" ht="20.25">
      <c r="A977" s="34">
        <v>979</v>
      </c>
      <c r="B977" s="33" t="s">
        <v>1054</v>
      </c>
      <c r="C977" s="34">
        <v>21</v>
      </c>
      <c r="D977" s="33">
        <v>12</v>
      </c>
      <c r="E977" s="33" t="s">
        <v>1413</v>
      </c>
    </row>
    <row r="978" spans="1:5" customFormat="1" ht="20.25">
      <c r="A978" s="34">
        <v>980</v>
      </c>
      <c r="B978" s="33" t="s">
        <v>1055</v>
      </c>
      <c r="C978" s="34">
        <v>21</v>
      </c>
      <c r="D978" s="33">
        <v>5</v>
      </c>
      <c r="E978" s="33" t="s">
        <v>1419</v>
      </c>
    </row>
    <row r="979" spans="1:5" customFormat="1" ht="20.25">
      <c r="A979" s="34">
        <v>981</v>
      </c>
      <c r="B979" s="33" t="s">
        <v>1056</v>
      </c>
      <c r="C979" s="34">
        <v>21</v>
      </c>
      <c r="D979" s="33">
        <v>10</v>
      </c>
      <c r="E979" s="33" t="s">
        <v>1416</v>
      </c>
    </row>
    <row r="980" spans="1:5" customFormat="1" ht="20.25">
      <c r="A980" s="34">
        <v>982</v>
      </c>
      <c r="B980" s="33" t="s">
        <v>1057</v>
      </c>
      <c r="C980" s="34">
        <v>21</v>
      </c>
      <c r="D980" s="33">
        <v>7</v>
      </c>
      <c r="E980" s="33" t="s">
        <v>1416</v>
      </c>
    </row>
    <row r="981" spans="1:5" customFormat="1" ht="20.25">
      <c r="A981" s="34">
        <v>983</v>
      </c>
      <c r="B981" s="33" t="s">
        <v>1058</v>
      </c>
      <c r="C981" s="34">
        <v>21</v>
      </c>
      <c r="D981" s="33">
        <v>1</v>
      </c>
      <c r="E981" s="33" t="s">
        <v>1416</v>
      </c>
    </row>
    <row r="982" spans="1:5" customFormat="1" ht="20.25">
      <c r="A982" s="34">
        <v>984</v>
      </c>
      <c r="B982" s="33" t="s">
        <v>1059</v>
      </c>
      <c r="C982" s="34">
        <v>21</v>
      </c>
      <c r="D982" s="33">
        <v>13</v>
      </c>
      <c r="E982" s="33" t="s">
        <v>1413</v>
      </c>
    </row>
    <row r="983" spans="1:5" customFormat="1" ht="20.25">
      <c r="A983" s="34">
        <v>985</v>
      </c>
      <c r="B983" s="33" t="s">
        <v>1060</v>
      </c>
      <c r="C983" s="34">
        <v>21</v>
      </c>
      <c r="D983" s="33">
        <v>10</v>
      </c>
      <c r="E983" s="33" t="s">
        <v>1416</v>
      </c>
    </row>
    <row r="984" spans="1:5" customFormat="1" ht="20.25">
      <c r="A984" s="34"/>
      <c r="B984" s="33"/>
      <c r="C984" s="34"/>
      <c r="D984" s="33"/>
      <c r="E984" s="33"/>
    </row>
    <row r="985" spans="1:5" customFormat="1" ht="20.25">
      <c r="A985" s="34"/>
      <c r="B985" s="33"/>
      <c r="C985" s="34"/>
      <c r="D985" s="33"/>
      <c r="E985" s="33"/>
    </row>
    <row r="986" spans="1:5" customFormat="1" ht="20.25">
      <c r="A986" s="34">
        <v>988</v>
      </c>
      <c r="B986" s="33" t="s">
        <v>1063</v>
      </c>
      <c r="C986" s="34">
        <v>21</v>
      </c>
      <c r="D986" s="33">
        <v>8</v>
      </c>
      <c r="E986" s="33" t="s">
        <v>1419</v>
      </c>
    </row>
    <row r="987" spans="1:5" customFormat="1" ht="20.25">
      <c r="A987" s="34">
        <v>989</v>
      </c>
      <c r="B987" s="33" t="s">
        <v>1064</v>
      </c>
      <c r="C987" s="34">
        <v>21</v>
      </c>
      <c r="D987" s="33">
        <v>13</v>
      </c>
      <c r="E987" s="33" t="s">
        <v>1413</v>
      </c>
    </row>
    <row r="988" spans="1:5" customFormat="1" ht="20.25">
      <c r="A988" s="34">
        <v>990</v>
      </c>
      <c r="B988" s="33" t="s">
        <v>1065</v>
      </c>
      <c r="C988" s="34">
        <v>21</v>
      </c>
      <c r="D988" s="33">
        <v>5</v>
      </c>
      <c r="E988" s="33" t="s">
        <v>1416</v>
      </c>
    </row>
    <row r="989" spans="1:5" customFormat="1" ht="20.25">
      <c r="A989" s="34">
        <v>991</v>
      </c>
      <c r="B989" s="33" t="s">
        <v>1066</v>
      </c>
      <c r="C989" s="34">
        <v>21</v>
      </c>
      <c r="D989" s="33">
        <v>9</v>
      </c>
      <c r="E989" s="33" t="s">
        <v>1416</v>
      </c>
    </row>
    <row r="990" spans="1:5" customFormat="1" ht="20.25">
      <c r="A990" s="34">
        <v>992</v>
      </c>
      <c r="B990" s="33" t="s">
        <v>1067</v>
      </c>
      <c r="C990" s="34">
        <v>21</v>
      </c>
      <c r="D990" s="33">
        <v>15</v>
      </c>
      <c r="E990" s="33" t="s">
        <v>1413</v>
      </c>
    </row>
    <row r="991" spans="1:5" customFormat="1" ht="20.25">
      <c r="A991" s="34">
        <v>993</v>
      </c>
      <c r="B991" s="33" t="s">
        <v>1068</v>
      </c>
      <c r="C991" s="34">
        <v>21</v>
      </c>
      <c r="D991" s="33">
        <v>11</v>
      </c>
      <c r="E991" s="33" t="s">
        <v>1416</v>
      </c>
    </row>
    <row r="992" spans="1:5" customFormat="1" ht="20.25">
      <c r="A992" s="34">
        <v>994</v>
      </c>
      <c r="B992" s="33" t="s">
        <v>1069</v>
      </c>
      <c r="C992" s="34">
        <v>21</v>
      </c>
      <c r="D992" s="33">
        <v>4</v>
      </c>
      <c r="E992" s="33" t="s">
        <v>1416</v>
      </c>
    </row>
    <row r="993" spans="1:5" customFormat="1" ht="20.25">
      <c r="A993" s="34">
        <v>995</v>
      </c>
      <c r="B993" s="33" t="s">
        <v>1070</v>
      </c>
      <c r="C993" s="34">
        <v>21</v>
      </c>
      <c r="D993" s="33">
        <v>9</v>
      </c>
      <c r="E993" s="33" t="s">
        <v>1416</v>
      </c>
    </row>
    <row r="994" spans="1:5" customFormat="1" ht="20.25">
      <c r="A994" s="34">
        <v>996</v>
      </c>
      <c r="B994" s="33" t="s">
        <v>1071</v>
      </c>
      <c r="C994" s="34">
        <v>21</v>
      </c>
      <c r="D994" s="33">
        <v>7</v>
      </c>
      <c r="E994" s="33" t="s">
        <v>1413</v>
      </c>
    </row>
    <row r="995" spans="1:5" customFormat="1" ht="20.25">
      <c r="A995" s="34">
        <v>997</v>
      </c>
      <c r="B995" s="33" t="s">
        <v>1072</v>
      </c>
      <c r="C995" s="34">
        <v>21</v>
      </c>
      <c r="D995" s="33">
        <v>3</v>
      </c>
      <c r="E995" s="33" t="s">
        <v>1413</v>
      </c>
    </row>
    <row r="996" spans="1:5" customFormat="1" ht="20.25">
      <c r="A996" s="34">
        <v>998</v>
      </c>
      <c r="B996" s="33" t="s">
        <v>1073</v>
      </c>
      <c r="C996" s="33">
        <v>21</v>
      </c>
      <c r="D996" s="33">
        <v>4</v>
      </c>
      <c r="E996" s="33" t="s">
        <v>1416</v>
      </c>
    </row>
    <row r="997" spans="1:5" customFormat="1" ht="20.25">
      <c r="A997" s="34">
        <v>999</v>
      </c>
      <c r="B997" s="33" t="s">
        <v>1074</v>
      </c>
      <c r="C997" s="33">
        <v>20</v>
      </c>
      <c r="D997" s="33">
        <v>5</v>
      </c>
      <c r="E997" s="33" t="s">
        <v>1416</v>
      </c>
    </row>
    <row r="998" spans="1:5" customFormat="1" ht="20.25">
      <c r="A998" s="34">
        <v>1000</v>
      </c>
      <c r="B998" s="33" t="s">
        <v>1075</v>
      </c>
      <c r="C998" s="33">
        <v>20</v>
      </c>
      <c r="D998" s="33">
        <v>5</v>
      </c>
      <c r="E998" s="33" t="s">
        <v>1416</v>
      </c>
    </row>
    <row r="999" spans="1:5" customFormat="1"/>
    <row r="1000" spans="1:5" customFormat="1"/>
    <row r="1001" spans="1:5" customFormat="1"/>
    <row r="1002" spans="1:5" customFormat="1"/>
  </sheetData>
  <autoFilter ref="I1:M912" xr:uid="{5CB601C6-E09C-4C45-A637-76AE3C770129}"/>
  <conditionalFormatting sqref="B1:B1048576">
    <cfRule type="duplicateValues" dxfId="2" priority="2"/>
  </conditionalFormatting>
  <conditionalFormatting sqref="J1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C4F8-4728-4418-91E2-3AC32CD8C7BD}">
  <dimension ref="A1:E912"/>
  <sheetViews>
    <sheetView workbookViewId="0"/>
  </sheetViews>
  <sheetFormatPr defaultRowHeight="15.75"/>
  <cols>
    <col min="2" max="2" width="15.5" bestFit="1" customWidth="1"/>
    <col min="3" max="3" width="11.25" bestFit="1" customWidth="1"/>
  </cols>
  <sheetData>
    <row r="1" spans="1:5" ht="20.25">
      <c r="A1" s="36" t="s">
        <v>1405</v>
      </c>
      <c r="B1" s="34" t="s">
        <v>59</v>
      </c>
      <c r="C1" s="35" t="s">
        <v>2414</v>
      </c>
      <c r="D1" s="34" t="s">
        <v>1406</v>
      </c>
      <c r="E1" s="34" t="s">
        <v>1407</v>
      </c>
    </row>
    <row r="2" spans="1:5">
      <c r="A2" s="36">
        <v>1</v>
      </c>
      <c r="B2" s="36" t="s">
        <v>64</v>
      </c>
      <c r="C2" s="36">
        <v>15226</v>
      </c>
      <c r="D2" s="36">
        <v>1</v>
      </c>
      <c r="E2" s="36" t="s">
        <v>1413</v>
      </c>
    </row>
    <row r="3" spans="1:5">
      <c r="A3" s="36">
        <v>2</v>
      </c>
      <c r="B3" s="36" t="s">
        <v>66</v>
      </c>
      <c r="C3" s="36">
        <v>7493</v>
      </c>
      <c r="D3" s="36">
        <v>12</v>
      </c>
      <c r="E3" s="36" t="s">
        <v>1413</v>
      </c>
    </row>
    <row r="4" spans="1:5">
      <c r="A4" s="36">
        <v>3</v>
      </c>
      <c r="B4" s="36" t="s">
        <v>67</v>
      </c>
      <c r="C4" s="36">
        <v>5973</v>
      </c>
      <c r="D4" s="36">
        <v>10</v>
      </c>
      <c r="E4" s="36" t="s">
        <v>1413</v>
      </c>
    </row>
    <row r="5" spans="1:5">
      <c r="A5" s="36">
        <v>4</v>
      </c>
      <c r="B5" s="36" t="s">
        <v>69</v>
      </c>
      <c r="C5" s="36">
        <v>5435</v>
      </c>
      <c r="D5" s="36">
        <v>12</v>
      </c>
      <c r="E5" s="36" t="s">
        <v>1413</v>
      </c>
    </row>
    <row r="6" spans="1:5">
      <c r="A6" s="36">
        <v>5</v>
      </c>
      <c r="B6" s="36" t="s">
        <v>70</v>
      </c>
      <c r="C6" s="36">
        <v>5422</v>
      </c>
      <c r="D6" s="36">
        <v>12</v>
      </c>
      <c r="E6" s="36" t="s">
        <v>1413</v>
      </c>
    </row>
    <row r="7" spans="1:5">
      <c r="A7" s="36">
        <v>6</v>
      </c>
      <c r="B7" s="36" t="s">
        <v>71</v>
      </c>
      <c r="C7" s="36">
        <v>4171</v>
      </c>
      <c r="D7" s="36">
        <v>12</v>
      </c>
      <c r="E7" s="36" t="s">
        <v>1413</v>
      </c>
    </row>
    <row r="8" spans="1:5">
      <c r="A8" s="36">
        <v>7</v>
      </c>
      <c r="B8" s="36" t="s">
        <v>74</v>
      </c>
      <c r="C8" s="36">
        <v>2845</v>
      </c>
      <c r="D8" s="36">
        <v>12</v>
      </c>
      <c r="E8" s="36" t="s">
        <v>1413</v>
      </c>
    </row>
    <row r="9" spans="1:5">
      <c r="A9" s="36">
        <v>8</v>
      </c>
      <c r="B9" s="36" t="s">
        <v>75</v>
      </c>
      <c r="C9" s="36">
        <v>2800</v>
      </c>
      <c r="D9" s="36">
        <v>12</v>
      </c>
      <c r="E9" s="36" t="s">
        <v>1413</v>
      </c>
    </row>
    <row r="10" spans="1:5">
      <c r="A10" s="36">
        <v>9</v>
      </c>
      <c r="B10" s="36" t="s">
        <v>78</v>
      </c>
      <c r="C10" s="36">
        <v>2645</v>
      </c>
      <c r="D10" s="36">
        <v>1</v>
      </c>
      <c r="E10" s="36" t="s">
        <v>1413</v>
      </c>
    </row>
    <row r="11" spans="1:5">
      <c r="A11" s="36">
        <v>10</v>
      </c>
      <c r="B11" s="36" t="s">
        <v>80</v>
      </c>
      <c r="C11" s="36">
        <v>2205</v>
      </c>
      <c r="D11" s="36">
        <v>12</v>
      </c>
      <c r="E11" s="36" t="s">
        <v>1413</v>
      </c>
    </row>
    <row r="12" spans="1:5">
      <c r="A12" s="36">
        <v>11</v>
      </c>
      <c r="B12" s="36" t="s">
        <v>82</v>
      </c>
      <c r="C12" s="36">
        <v>2051</v>
      </c>
      <c r="D12" s="36">
        <v>5</v>
      </c>
      <c r="E12" s="36" t="s">
        <v>1413</v>
      </c>
    </row>
    <row r="13" spans="1:5">
      <c r="A13" s="36">
        <v>12</v>
      </c>
      <c r="B13" s="36" t="s">
        <v>84</v>
      </c>
      <c r="C13" s="36">
        <v>2023</v>
      </c>
      <c r="D13" s="36">
        <v>12</v>
      </c>
      <c r="E13" s="36" t="s">
        <v>1413</v>
      </c>
    </row>
    <row r="14" spans="1:5">
      <c r="A14" s="36">
        <v>13</v>
      </c>
      <c r="B14" s="36" t="s">
        <v>86</v>
      </c>
      <c r="C14" s="36">
        <v>2014</v>
      </c>
      <c r="D14" s="36">
        <v>12</v>
      </c>
      <c r="E14" s="36" t="s">
        <v>1413</v>
      </c>
    </row>
    <row r="15" spans="1:5">
      <c r="A15" s="36">
        <v>14</v>
      </c>
      <c r="B15" s="36" t="s">
        <v>88</v>
      </c>
      <c r="C15" s="36">
        <v>1946</v>
      </c>
      <c r="D15" s="36">
        <v>12</v>
      </c>
      <c r="E15" s="36" t="s">
        <v>1413</v>
      </c>
    </row>
    <row r="16" spans="1:5">
      <c r="A16" s="36">
        <v>15</v>
      </c>
      <c r="B16" s="36" t="s">
        <v>90</v>
      </c>
      <c r="C16" s="36">
        <v>1899</v>
      </c>
      <c r="D16" s="36">
        <v>8</v>
      </c>
      <c r="E16" s="36" t="s">
        <v>1413</v>
      </c>
    </row>
    <row r="17" spans="1:5">
      <c r="A17" s="36">
        <v>16</v>
      </c>
      <c r="B17" s="36" t="s">
        <v>92</v>
      </c>
      <c r="C17" s="36">
        <v>1498</v>
      </c>
      <c r="D17" s="36">
        <v>5</v>
      </c>
      <c r="E17" s="36" t="s">
        <v>1413</v>
      </c>
    </row>
    <row r="18" spans="1:5">
      <c r="A18" s="36">
        <v>17</v>
      </c>
      <c r="B18" s="36" t="s">
        <v>94</v>
      </c>
      <c r="C18" s="36">
        <v>1206</v>
      </c>
      <c r="D18" s="36">
        <v>1</v>
      </c>
      <c r="E18" s="36" t="s">
        <v>1413</v>
      </c>
    </row>
    <row r="19" spans="1:5">
      <c r="A19" s="36">
        <v>18</v>
      </c>
      <c r="B19" s="36" t="s">
        <v>97</v>
      </c>
      <c r="C19" s="36">
        <v>1140</v>
      </c>
      <c r="D19" s="36">
        <v>12</v>
      </c>
      <c r="E19" s="36" t="s">
        <v>1413</v>
      </c>
    </row>
    <row r="20" spans="1:5">
      <c r="A20" s="36">
        <v>19</v>
      </c>
      <c r="B20" s="36" t="s">
        <v>98</v>
      </c>
      <c r="C20" s="36">
        <v>1055</v>
      </c>
      <c r="D20" s="36">
        <v>13</v>
      </c>
      <c r="E20" s="36" t="s">
        <v>1413</v>
      </c>
    </row>
    <row r="21" spans="1:5">
      <c r="A21" s="36">
        <v>20</v>
      </c>
      <c r="B21" s="36" t="s">
        <v>100</v>
      </c>
      <c r="C21" s="36">
        <v>944</v>
      </c>
      <c r="D21" s="36">
        <v>9</v>
      </c>
      <c r="E21" s="36" t="s">
        <v>1413</v>
      </c>
    </row>
    <row r="22" spans="1:5">
      <c r="A22" s="36">
        <v>21</v>
      </c>
      <c r="B22" s="36" t="s">
        <v>101</v>
      </c>
      <c r="C22" s="36">
        <v>891</v>
      </c>
      <c r="D22" s="36">
        <v>12</v>
      </c>
      <c r="E22" s="36" t="s">
        <v>1413</v>
      </c>
    </row>
    <row r="23" spans="1:5">
      <c r="A23" s="36">
        <v>22</v>
      </c>
      <c r="B23" s="36" t="s">
        <v>103</v>
      </c>
      <c r="C23" s="36">
        <v>855</v>
      </c>
      <c r="D23" s="36">
        <v>2</v>
      </c>
      <c r="E23" s="36" t="s">
        <v>1413</v>
      </c>
    </row>
    <row r="24" spans="1:5">
      <c r="A24" s="36">
        <v>23</v>
      </c>
      <c r="B24" s="36" t="s">
        <v>104</v>
      </c>
      <c r="C24" s="36">
        <v>663</v>
      </c>
      <c r="D24" s="36">
        <v>12</v>
      </c>
      <c r="E24" s="36" t="s">
        <v>1413</v>
      </c>
    </row>
    <row r="25" spans="1:5">
      <c r="A25" s="36">
        <v>24</v>
      </c>
      <c r="B25" s="36" t="s">
        <v>105</v>
      </c>
      <c r="C25" s="36">
        <v>652</v>
      </c>
      <c r="D25" s="36">
        <v>15</v>
      </c>
      <c r="E25" s="36" t="s">
        <v>1413</v>
      </c>
    </row>
    <row r="26" spans="1:5">
      <c r="A26" s="36">
        <v>25</v>
      </c>
      <c r="B26" s="36" t="s">
        <v>106</v>
      </c>
      <c r="C26" s="36">
        <v>458</v>
      </c>
      <c r="D26" s="36">
        <v>2</v>
      </c>
      <c r="E26" s="36" t="s">
        <v>1413</v>
      </c>
    </row>
    <row r="27" spans="1:5">
      <c r="A27" s="36">
        <v>26</v>
      </c>
      <c r="B27" s="36" t="s">
        <v>107</v>
      </c>
      <c r="C27" s="36">
        <v>390</v>
      </c>
      <c r="D27" s="36">
        <v>12</v>
      </c>
      <c r="E27" s="36" t="s">
        <v>1413</v>
      </c>
    </row>
    <row r="28" spans="1:5">
      <c r="A28" s="36">
        <v>27</v>
      </c>
      <c r="B28" s="36" t="s">
        <v>108</v>
      </c>
      <c r="C28" s="36">
        <v>379</v>
      </c>
      <c r="D28" s="36">
        <v>4</v>
      </c>
      <c r="E28" s="36" t="s">
        <v>1413</v>
      </c>
    </row>
    <row r="29" spans="1:5">
      <c r="A29" s="36">
        <v>28</v>
      </c>
      <c r="B29" s="36" t="s">
        <v>110</v>
      </c>
      <c r="C29" s="36">
        <v>373</v>
      </c>
      <c r="D29" s="36">
        <v>12</v>
      </c>
      <c r="E29" s="36" t="s">
        <v>1416</v>
      </c>
    </row>
    <row r="30" spans="1:5">
      <c r="A30" s="36">
        <v>29</v>
      </c>
      <c r="B30" s="36" t="s">
        <v>111</v>
      </c>
      <c r="C30" s="36">
        <v>362</v>
      </c>
      <c r="D30" s="36">
        <v>9</v>
      </c>
      <c r="E30" s="36" t="s">
        <v>1413</v>
      </c>
    </row>
    <row r="31" spans="1:5">
      <c r="A31" s="36">
        <v>30</v>
      </c>
      <c r="B31" s="36" t="s">
        <v>112</v>
      </c>
      <c r="C31" s="36">
        <v>359</v>
      </c>
      <c r="D31" s="36">
        <v>12</v>
      </c>
      <c r="E31" s="36" t="s">
        <v>1413</v>
      </c>
    </row>
    <row r="32" spans="1:5">
      <c r="A32" s="36">
        <v>31</v>
      </c>
      <c r="B32" s="36" t="s">
        <v>113</v>
      </c>
      <c r="C32" s="36">
        <v>334</v>
      </c>
      <c r="D32" s="36">
        <v>9</v>
      </c>
      <c r="E32" s="36" t="s">
        <v>1419</v>
      </c>
    </row>
    <row r="33" spans="1:5">
      <c r="A33" s="36">
        <v>32</v>
      </c>
      <c r="B33" s="36" t="s">
        <v>114</v>
      </c>
      <c r="C33" s="36">
        <v>330</v>
      </c>
      <c r="D33" s="36">
        <v>13</v>
      </c>
      <c r="E33" s="36" t="s">
        <v>1413</v>
      </c>
    </row>
    <row r="34" spans="1:5">
      <c r="A34" s="36">
        <v>33</v>
      </c>
      <c r="B34" s="36" t="s">
        <v>115</v>
      </c>
      <c r="C34" s="36">
        <v>313</v>
      </c>
      <c r="D34" s="36">
        <v>12</v>
      </c>
      <c r="E34" s="36" t="s">
        <v>1416</v>
      </c>
    </row>
    <row r="35" spans="1:5">
      <c r="A35" s="36">
        <v>34</v>
      </c>
      <c r="B35" s="36" t="s">
        <v>116</v>
      </c>
      <c r="C35" s="36">
        <v>311</v>
      </c>
      <c r="D35" s="36">
        <v>12</v>
      </c>
      <c r="E35" s="36" t="s">
        <v>1413</v>
      </c>
    </row>
    <row r="36" spans="1:5">
      <c r="A36" s="36">
        <v>35</v>
      </c>
      <c r="B36" s="36" t="s">
        <v>117</v>
      </c>
      <c r="C36" s="36">
        <v>311</v>
      </c>
      <c r="D36" s="36">
        <v>2</v>
      </c>
      <c r="E36" s="36" t="s">
        <v>1413</v>
      </c>
    </row>
    <row r="37" spans="1:5">
      <c r="A37" s="36">
        <v>36</v>
      </c>
      <c r="B37" s="36" t="s">
        <v>118</v>
      </c>
      <c r="C37" s="36">
        <v>294</v>
      </c>
      <c r="D37" s="36">
        <v>9</v>
      </c>
      <c r="E37" s="36" t="s">
        <v>1413</v>
      </c>
    </row>
    <row r="38" spans="1:5">
      <c r="A38" s="36">
        <v>37</v>
      </c>
      <c r="B38" s="36" t="s">
        <v>119</v>
      </c>
      <c r="C38" s="36">
        <v>292</v>
      </c>
      <c r="D38" s="36">
        <v>12</v>
      </c>
      <c r="E38" s="36" t="s">
        <v>1413</v>
      </c>
    </row>
    <row r="39" spans="1:5">
      <c r="A39" s="36">
        <v>38</v>
      </c>
      <c r="B39" s="36" t="s">
        <v>120</v>
      </c>
      <c r="C39" s="36">
        <v>283</v>
      </c>
      <c r="D39" s="36">
        <v>9</v>
      </c>
      <c r="E39" s="36" t="s">
        <v>1413</v>
      </c>
    </row>
    <row r="40" spans="1:5">
      <c r="A40" s="36">
        <v>39</v>
      </c>
      <c r="B40" s="36" t="s">
        <v>121</v>
      </c>
      <c r="C40" s="36">
        <v>280</v>
      </c>
      <c r="D40" s="36">
        <v>1</v>
      </c>
      <c r="E40" s="36" t="s">
        <v>1413</v>
      </c>
    </row>
    <row r="41" spans="1:5">
      <c r="A41" s="36">
        <v>40</v>
      </c>
      <c r="B41" s="36" t="s">
        <v>123</v>
      </c>
      <c r="C41" s="36">
        <v>267</v>
      </c>
      <c r="D41" s="36">
        <v>5</v>
      </c>
      <c r="E41" s="36" t="s">
        <v>1413</v>
      </c>
    </row>
    <row r="42" spans="1:5">
      <c r="A42" s="36">
        <v>41</v>
      </c>
      <c r="B42" s="36" t="s">
        <v>124</v>
      </c>
      <c r="C42" s="36">
        <v>264</v>
      </c>
      <c r="D42" s="36">
        <v>13</v>
      </c>
      <c r="E42" s="36" t="s">
        <v>1413</v>
      </c>
    </row>
    <row r="43" spans="1:5">
      <c r="A43" s="36">
        <v>42</v>
      </c>
      <c r="B43" s="36" t="s">
        <v>125</v>
      </c>
      <c r="C43" s="36">
        <v>257</v>
      </c>
      <c r="D43" s="36">
        <v>10</v>
      </c>
      <c r="E43" s="36" t="s">
        <v>1413</v>
      </c>
    </row>
    <row r="44" spans="1:5">
      <c r="A44" s="36">
        <v>43</v>
      </c>
      <c r="B44" s="36" t="s">
        <v>126</v>
      </c>
      <c r="C44" s="36">
        <v>249</v>
      </c>
      <c r="D44" s="36">
        <v>9</v>
      </c>
      <c r="E44" s="36" t="s">
        <v>1413</v>
      </c>
    </row>
    <row r="45" spans="1:5">
      <c r="A45" s="36">
        <v>44</v>
      </c>
      <c r="B45" s="36" t="s">
        <v>127</v>
      </c>
      <c r="C45" s="36">
        <v>245</v>
      </c>
      <c r="D45" s="36">
        <v>9</v>
      </c>
      <c r="E45" s="36" t="s">
        <v>1413</v>
      </c>
    </row>
    <row r="46" spans="1:5">
      <c r="A46" s="36">
        <v>45</v>
      </c>
      <c r="B46" s="36" t="s">
        <v>129</v>
      </c>
      <c r="C46" s="36">
        <v>236</v>
      </c>
      <c r="D46" s="36">
        <v>6</v>
      </c>
      <c r="E46" s="36" t="s">
        <v>1413</v>
      </c>
    </row>
    <row r="47" spans="1:5">
      <c r="A47" s="36">
        <v>46</v>
      </c>
      <c r="B47" s="36" t="s">
        <v>130</v>
      </c>
      <c r="C47" s="36">
        <v>236</v>
      </c>
      <c r="D47" s="36">
        <v>8</v>
      </c>
      <c r="E47" s="36" t="s">
        <v>1413</v>
      </c>
    </row>
    <row r="48" spans="1:5">
      <c r="A48" s="36">
        <v>47</v>
      </c>
      <c r="B48" s="36" t="s">
        <v>131</v>
      </c>
      <c r="C48" s="36">
        <v>230</v>
      </c>
      <c r="D48" s="36">
        <v>9</v>
      </c>
      <c r="E48" s="36" t="s">
        <v>1413</v>
      </c>
    </row>
    <row r="49" spans="1:5">
      <c r="A49" s="36">
        <v>48</v>
      </c>
      <c r="B49" s="36" t="s">
        <v>132</v>
      </c>
      <c r="C49" s="36">
        <v>225</v>
      </c>
      <c r="D49" s="36">
        <v>2</v>
      </c>
      <c r="E49" s="36" t="s">
        <v>1413</v>
      </c>
    </row>
    <row r="50" spans="1:5">
      <c r="A50" s="36">
        <v>49</v>
      </c>
      <c r="B50" s="36" t="s">
        <v>134</v>
      </c>
      <c r="C50" s="36">
        <v>211</v>
      </c>
      <c r="D50" s="36">
        <v>15</v>
      </c>
      <c r="E50" s="36" t="s">
        <v>1413</v>
      </c>
    </row>
    <row r="51" spans="1:5">
      <c r="A51" s="36">
        <v>50</v>
      </c>
      <c r="B51" s="36" t="s">
        <v>136</v>
      </c>
      <c r="C51" s="36">
        <v>205</v>
      </c>
      <c r="D51" s="36">
        <v>9</v>
      </c>
      <c r="E51" s="36" t="s">
        <v>1413</v>
      </c>
    </row>
    <row r="52" spans="1:5">
      <c r="A52" s="36">
        <v>51</v>
      </c>
      <c r="B52" s="36" t="s">
        <v>137</v>
      </c>
      <c r="C52" s="36">
        <v>205</v>
      </c>
      <c r="D52" s="36">
        <v>14</v>
      </c>
      <c r="E52" s="36" t="s">
        <v>1413</v>
      </c>
    </row>
    <row r="53" spans="1:5">
      <c r="A53" s="36">
        <v>52</v>
      </c>
      <c r="B53" s="36" t="s">
        <v>138</v>
      </c>
      <c r="C53" s="36">
        <v>203</v>
      </c>
      <c r="D53" s="36">
        <v>9</v>
      </c>
      <c r="E53" s="36" t="s">
        <v>1413</v>
      </c>
    </row>
    <row r="54" spans="1:5">
      <c r="A54" s="36">
        <v>53</v>
      </c>
      <c r="B54" s="36" t="s">
        <v>139</v>
      </c>
      <c r="C54" s="36">
        <v>199</v>
      </c>
      <c r="D54" s="36">
        <v>11</v>
      </c>
      <c r="E54" s="36" t="s">
        <v>1413</v>
      </c>
    </row>
    <row r="55" spans="1:5">
      <c r="A55" s="36">
        <v>54</v>
      </c>
      <c r="B55" s="36" t="s">
        <v>140</v>
      </c>
      <c r="C55" s="36">
        <v>197</v>
      </c>
      <c r="D55" s="36">
        <v>9</v>
      </c>
      <c r="E55" s="36" t="s">
        <v>1413</v>
      </c>
    </row>
    <row r="56" spans="1:5">
      <c r="A56" s="36">
        <v>55</v>
      </c>
      <c r="B56" s="36" t="s">
        <v>141</v>
      </c>
      <c r="C56" s="36">
        <v>191</v>
      </c>
      <c r="D56" s="36">
        <v>4</v>
      </c>
      <c r="E56" s="36" t="s">
        <v>1413</v>
      </c>
    </row>
    <row r="57" spans="1:5">
      <c r="A57" s="36">
        <v>56</v>
      </c>
      <c r="B57" s="36" t="s">
        <v>142</v>
      </c>
      <c r="C57" s="36">
        <v>188</v>
      </c>
      <c r="D57" s="36">
        <v>12</v>
      </c>
      <c r="E57" s="36" t="s">
        <v>1413</v>
      </c>
    </row>
    <row r="58" spans="1:5">
      <c r="A58" s="36">
        <v>57</v>
      </c>
      <c r="B58" s="36" t="s">
        <v>143</v>
      </c>
      <c r="C58" s="36">
        <v>183</v>
      </c>
      <c r="D58" s="36">
        <v>9</v>
      </c>
      <c r="E58" s="36" t="s">
        <v>1413</v>
      </c>
    </row>
    <row r="59" spans="1:5">
      <c r="A59" s="36">
        <v>58</v>
      </c>
      <c r="B59" s="36" t="s">
        <v>144</v>
      </c>
      <c r="C59" s="36">
        <v>183</v>
      </c>
      <c r="D59" s="36">
        <v>9</v>
      </c>
      <c r="E59" s="36" t="s">
        <v>1413</v>
      </c>
    </row>
    <row r="60" spans="1:5">
      <c r="A60" s="36">
        <v>59</v>
      </c>
      <c r="B60" s="36" t="s">
        <v>145</v>
      </c>
      <c r="C60" s="36">
        <v>176</v>
      </c>
      <c r="D60" s="36">
        <v>13</v>
      </c>
      <c r="E60" s="36" t="s">
        <v>1413</v>
      </c>
    </row>
    <row r="61" spans="1:5">
      <c r="A61" s="36">
        <v>60</v>
      </c>
      <c r="B61" s="36" t="s">
        <v>146</v>
      </c>
      <c r="C61" s="36">
        <v>175</v>
      </c>
      <c r="D61" s="36">
        <v>12</v>
      </c>
      <c r="E61" s="36" t="s">
        <v>1413</v>
      </c>
    </row>
    <row r="62" spans="1:5">
      <c r="A62" s="36">
        <v>61</v>
      </c>
      <c r="B62" s="36" t="s">
        <v>147</v>
      </c>
      <c r="C62" s="36">
        <v>171</v>
      </c>
      <c r="D62" s="36">
        <v>10</v>
      </c>
      <c r="E62" s="36" t="s">
        <v>1413</v>
      </c>
    </row>
    <row r="63" spans="1:5">
      <c r="A63" s="36">
        <v>62</v>
      </c>
      <c r="B63" s="36" t="s">
        <v>148</v>
      </c>
      <c r="C63" s="36">
        <v>171</v>
      </c>
      <c r="D63" s="36">
        <v>2</v>
      </c>
      <c r="E63" s="36" t="s">
        <v>1416</v>
      </c>
    </row>
    <row r="64" spans="1:5">
      <c r="A64" s="36">
        <v>63</v>
      </c>
      <c r="B64" s="36" t="s">
        <v>149</v>
      </c>
      <c r="C64" s="36">
        <v>171</v>
      </c>
      <c r="D64" s="36">
        <v>4</v>
      </c>
      <c r="E64" s="36" t="s">
        <v>1413</v>
      </c>
    </row>
    <row r="65" spans="1:5">
      <c r="A65" s="36">
        <v>64</v>
      </c>
      <c r="B65" s="36" t="s">
        <v>150</v>
      </c>
      <c r="C65" s="36">
        <v>170</v>
      </c>
      <c r="D65" s="36">
        <v>12</v>
      </c>
      <c r="E65" s="36" t="s">
        <v>1413</v>
      </c>
    </row>
    <row r="66" spans="1:5">
      <c r="A66" s="36">
        <v>65</v>
      </c>
      <c r="B66" s="36" t="s">
        <v>151</v>
      </c>
      <c r="C66" s="36">
        <v>168</v>
      </c>
      <c r="D66" s="36">
        <v>7</v>
      </c>
      <c r="E66" s="36" t="s">
        <v>1413</v>
      </c>
    </row>
    <row r="67" spans="1:5">
      <c r="A67" s="36">
        <v>66</v>
      </c>
      <c r="B67" s="36" t="s">
        <v>152</v>
      </c>
      <c r="C67" s="36">
        <v>165</v>
      </c>
      <c r="D67" s="36">
        <v>13</v>
      </c>
      <c r="E67" s="36" t="s">
        <v>1413</v>
      </c>
    </row>
    <row r="68" spans="1:5">
      <c r="A68" s="36">
        <v>67</v>
      </c>
      <c r="B68" s="36" t="s">
        <v>153</v>
      </c>
      <c r="C68" s="36">
        <v>162</v>
      </c>
      <c r="D68" s="36">
        <v>5</v>
      </c>
      <c r="E68" s="36" t="s">
        <v>1413</v>
      </c>
    </row>
    <row r="69" spans="1:5">
      <c r="A69" s="36">
        <v>68</v>
      </c>
      <c r="B69" s="36" t="s">
        <v>154</v>
      </c>
      <c r="C69" s="36">
        <v>161</v>
      </c>
      <c r="D69" s="36">
        <v>13</v>
      </c>
      <c r="E69" s="36" t="s">
        <v>1413</v>
      </c>
    </row>
    <row r="70" spans="1:5">
      <c r="A70" s="36">
        <v>69</v>
      </c>
      <c r="B70" s="36" t="s">
        <v>155</v>
      </c>
      <c r="C70" s="36">
        <v>160</v>
      </c>
      <c r="D70" s="36">
        <v>3</v>
      </c>
      <c r="E70" s="36" t="s">
        <v>1413</v>
      </c>
    </row>
    <row r="71" spans="1:5">
      <c r="A71" s="36">
        <v>70</v>
      </c>
      <c r="B71" s="36" t="s">
        <v>156</v>
      </c>
      <c r="C71" s="36">
        <v>160</v>
      </c>
      <c r="D71" s="36">
        <v>2</v>
      </c>
      <c r="E71" s="36" t="s">
        <v>1413</v>
      </c>
    </row>
    <row r="72" spans="1:5">
      <c r="A72" s="36">
        <v>71</v>
      </c>
      <c r="B72" s="36" t="s">
        <v>157</v>
      </c>
      <c r="C72" s="36">
        <v>153</v>
      </c>
      <c r="D72" s="36">
        <v>6</v>
      </c>
      <c r="E72" s="36" t="s">
        <v>1413</v>
      </c>
    </row>
    <row r="73" spans="1:5">
      <c r="A73" s="36">
        <v>72</v>
      </c>
      <c r="B73" s="36" t="s">
        <v>158</v>
      </c>
      <c r="C73" s="36">
        <v>150</v>
      </c>
      <c r="D73" s="36">
        <v>3</v>
      </c>
      <c r="E73" s="36" t="s">
        <v>1413</v>
      </c>
    </row>
    <row r="74" spans="1:5">
      <c r="A74" s="36">
        <v>73</v>
      </c>
      <c r="B74" s="36" t="s">
        <v>160</v>
      </c>
      <c r="C74" s="36">
        <v>147</v>
      </c>
      <c r="D74" s="36">
        <v>12</v>
      </c>
      <c r="E74" s="36" t="s">
        <v>1413</v>
      </c>
    </row>
    <row r="75" spans="1:5">
      <c r="A75" s="36">
        <v>74</v>
      </c>
      <c r="B75" s="36" t="s">
        <v>163</v>
      </c>
      <c r="C75" s="36">
        <v>140</v>
      </c>
      <c r="D75" s="36">
        <v>2</v>
      </c>
      <c r="E75" s="36" t="s">
        <v>1416</v>
      </c>
    </row>
    <row r="76" spans="1:5">
      <c r="A76" s="36">
        <v>75</v>
      </c>
      <c r="B76" s="36" t="s">
        <v>164</v>
      </c>
      <c r="C76" s="36">
        <v>137</v>
      </c>
      <c r="D76" s="36">
        <v>4</v>
      </c>
      <c r="E76" s="36" t="s">
        <v>1416</v>
      </c>
    </row>
    <row r="77" spans="1:5">
      <c r="A77" s="36">
        <v>76</v>
      </c>
      <c r="B77" s="36" t="s">
        <v>165</v>
      </c>
      <c r="C77" s="36">
        <v>137</v>
      </c>
      <c r="D77" s="36">
        <v>12</v>
      </c>
      <c r="E77" s="36" t="s">
        <v>1413</v>
      </c>
    </row>
    <row r="78" spans="1:5">
      <c r="A78" s="36">
        <v>77</v>
      </c>
      <c r="B78" s="36" t="s">
        <v>166</v>
      </c>
      <c r="C78" s="36">
        <v>136</v>
      </c>
      <c r="D78" s="36">
        <v>6</v>
      </c>
      <c r="E78" s="36" t="s">
        <v>1413</v>
      </c>
    </row>
    <row r="79" spans="1:5">
      <c r="A79" s="36">
        <v>78</v>
      </c>
      <c r="B79" s="36" t="s">
        <v>167</v>
      </c>
      <c r="C79" s="36">
        <v>135</v>
      </c>
      <c r="D79" s="36">
        <v>11</v>
      </c>
      <c r="E79" s="36" t="s">
        <v>1413</v>
      </c>
    </row>
    <row r="80" spans="1:5">
      <c r="A80" s="36">
        <v>79</v>
      </c>
      <c r="B80" s="36" t="s">
        <v>171</v>
      </c>
      <c r="C80" s="36">
        <v>134</v>
      </c>
      <c r="D80" s="36">
        <v>15</v>
      </c>
      <c r="E80" s="36" t="s">
        <v>1413</v>
      </c>
    </row>
    <row r="81" spans="1:5">
      <c r="A81" s="36">
        <v>80</v>
      </c>
      <c r="B81" s="36" t="s">
        <v>169</v>
      </c>
      <c r="C81" s="36">
        <v>134</v>
      </c>
      <c r="D81" s="36">
        <v>9</v>
      </c>
      <c r="E81" s="36" t="s">
        <v>1413</v>
      </c>
    </row>
    <row r="82" spans="1:5">
      <c r="A82" s="36">
        <v>81</v>
      </c>
      <c r="B82" s="36" t="s">
        <v>170</v>
      </c>
      <c r="C82" s="36">
        <v>134</v>
      </c>
      <c r="D82" s="36">
        <v>9</v>
      </c>
      <c r="E82" s="36" t="s">
        <v>1416</v>
      </c>
    </row>
    <row r="83" spans="1:5">
      <c r="A83" s="36">
        <v>82</v>
      </c>
      <c r="B83" s="36" t="s">
        <v>172</v>
      </c>
      <c r="C83" s="36">
        <v>133</v>
      </c>
      <c r="D83" s="36">
        <v>8</v>
      </c>
      <c r="E83" s="36" t="s">
        <v>1413</v>
      </c>
    </row>
    <row r="84" spans="1:5">
      <c r="A84" s="36">
        <v>83</v>
      </c>
      <c r="B84" s="36" t="s">
        <v>174</v>
      </c>
      <c r="C84" s="36">
        <v>132</v>
      </c>
      <c r="D84" s="36">
        <v>6</v>
      </c>
      <c r="E84" s="36" t="s">
        <v>1413</v>
      </c>
    </row>
    <row r="85" spans="1:5">
      <c r="A85" s="36">
        <v>84</v>
      </c>
      <c r="B85" s="36" t="s">
        <v>175</v>
      </c>
      <c r="C85" s="36">
        <v>131</v>
      </c>
      <c r="D85" s="36">
        <v>8</v>
      </c>
      <c r="E85" s="36" t="s">
        <v>1413</v>
      </c>
    </row>
    <row r="86" spans="1:5">
      <c r="A86" s="36">
        <v>85</v>
      </c>
      <c r="B86" s="36" t="s">
        <v>176</v>
      </c>
      <c r="C86" s="36">
        <v>127</v>
      </c>
      <c r="D86" s="36">
        <v>5</v>
      </c>
      <c r="E86" s="36" t="s">
        <v>1416</v>
      </c>
    </row>
    <row r="87" spans="1:5">
      <c r="A87" s="36">
        <v>86</v>
      </c>
      <c r="B87" s="36" t="s">
        <v>178</v>
      </c>
      <c r="C87" s="36">
        <v>125</v>
      </c>
      <c r="D87" s="36">
        <v>13</v>
      </c>
      <c r="E87" s="36" t="s">
        <v>1413</v>
      </c>
    </row>
    <row r="88" spans="1:5">
      <c r="A88" s="36">
        <v>87</v>
      </c>
      <c r="B88" s="36" t="s">
        <v>179</v>
      </c>
      <c r="C88" s="36">
        <v>124</v>
      </c>
      <c r="D88" s="36">
        <v>8</v>
      </c>
      <c r="E88" s="36" t="s">
        <v>1413</v>
      </c>
    </row>
    <row r="89" spans="1:5">
      <c r="A89" s="36">
        <v>88</v>
      </c>
      <c r="B89" s="36" t="s">
        <v>180</v>
      </c>
      <c r="C89" s="36">
        <v>123</v>
      </c>
      <c r="D89" s="36">
        <v>12</v>
      </c>
      <c r="E89" s="36" t="s">
        <v>1413</v>
      </c>
    </row>
    <row r="90" spans="1:5">
      <c r="A90" s="36">
        <v>89</v>
      </c>
      <c r="B90" s="36" t="s">
        <v>181</v>
      </c>
      <c r="C90" s="36">
        <v>122</v>
      </c>
      <c r="D90" s="36">
        <v>13</v>
      </c>
      <c r="E90" s="36" t="s">
        <v>1413</v>
      </c>
    </row>
    <row r="91" spans="1:5">
      <c r="A91" s="36">
        <v>90</v>
      </c>
      <c r="B91" s="36" t="s">
        <v>183</v>
      </c>
      <c r="C91" s="36">
        <v>120</v>
      </c>
      <c r="D91" s="36">
        <v>9</v>
      </c>
      <c r="E91" s="36" t="s">
        <v>1413</v>
      </c>
    </row>
    <row r="92" spans="1:5">
      <c r="A92" s="36">
        <v>91</v>
      </c>
      <c r="B92" s="36" t="s">
        <v>187</v>
      </c>
      <c r="C92" s="36">
        <v>117</v>
      </c>
      <c r="D92" s="36">
        <v>7</v>
      </c>
      <c r="E92" s="36" t="s">
        <v>1416</v>
      </c>
    </row>
    <row r="93" spans="1:5">
      <c r="A93" s="36">
        <v>92</v>
      </c>
      <c r="B93" s="36" t="s">
        <v>188</v>
      </c>
      <c r="C93" s="36">
        <v>115</v>
      </c>
      <c r="D93" s="36">
        <v>12</v>
      </c>
      <c r="E93" s="36" t="s">
        <v>1413</v>
      </c>
    </row>
    <row r="94" spans="1:5">
      <c r="A94" s="36">
        <v>93</v>
      </c>
      <c r="B94" s="36" t="s">
        <v>189</v>
      </c>
      <c r="C94" s="36">
        <v>115</v>
      </c>
      <c r="D94" s="36">
        <v>5</v>
      </c>
      <c r="E94" s="36" t="s">
        <v>1413</v>
      </c>
    </row>
    <row r="95" spans="1:5">
      <c r="A95" s="36">
        <v>94</v>
      </c>
      <c r="B95" s="36" t="s">
        <v>191</v>
      </c>
      <c r="C95" s="36">
        <v>111</v>
      </c>
      <c r="D95" s="36">
        <v>13</v>
      </c>
      <c r="E95" s="36" t="s">
        <v>1413</v>
      </c>
    </row>
    <row r="96" spans="1:5">
      <c r="A96" s="36">
        <v>95</v>
      </c>
      <c r="B96" s="36" t="s">
        <v>193</v>
      </c>
      <c r="C96" s="36">
        <v>109</v>
      </c>
      <c r="D96" s="36">
        <v>3</v>
      </c>
      <c r="E96" s="36" t="s">
        <v>1416</v>
      </c>
    </row>
    <row r="97" spans="1:5">
      <c r="A97" s="36">
        <v>96</v>
      </c>
      <c r="B97" s="36" t="s">
        <v>194</v>
      </c>
      <c r="C97" s="36">
        <v>107</v>
      </c>
      <c r="D97" s="36">
        <v>12</v>
      </c>
      <c r="E97" s="36" t="s">
        <v>1416</v>
      </c>
    </row>
    <row r="98" spans="1:5">
      <c r="A98" s="36">
        <v>97</v>
      </c>
      <c r="B98" s="36" t="s">
        <v>195</v>
      </c>
      <c r="C98" s="36">
        <v>107</v>
      </c>
      <c r="D98" s="36">
        <v>10</v>
      </c>
      <c r="E98" s="36" t="s">
        <v>1413</v>
      </c>
    </row>
    <row r="99" spans="1:5">
      <c r="A99" s="36">
        <v>98</v>
      </c>
      <c r="B99" s="36" t="s">
        <v>196</v>
      </c>
      <c r="C99" s="36">
        <v>106</v>
      </c>
      <c r="D99" s="36">
        <v>8</v>
      </c>
      <c r="E99" s="36" t="s">
        <v>1413</v>
      </c>
    </row>
    <row r="100" spans="1:5">
      <c r="A100" s="36">
        <v>99</v>
      </c>
      <c r="B100" s="36" t="s">
        <v>197</v>
      </c>
      <c r="C100" s="36">
        <v>106</v>
      </c>
      <c r="D100" s="36">
        <v>12</v>
      </c>
      <c r="E100" s="36" t="s">
        <v>1413</v>
      </c>
    </row>
    <row r="101" spans="1:5">
      <c r="A101" s="36">
        <v>100</v>
      </c>
      <c r="B101" s="36" t="s">
        <v>198</v>
      </c>
      <c r="C101" s="36">
        <v>106</v>
      </c>
      <c r="D101" s="36">
        <v>12</v>
      </c>
      <c r="E101" s="36" t="s">
        <v>1413</v>
      </c>
    </row>
    <row r="102" spans="1:5">
      <c r="A102" s="36">
        <v>101</v>
      </c>
      <c r="B102" s="36" t="s">
        <v>199</v>
      </c>
      <c r="C102" s="36">
        <v>106</v>
      </c>
      <c r="D102" s="36">
        <v>12</v>
      </c>
      <c r="E102" s="36" t="s">
        <v>1413</v>
      </c>
    </row>
    <row r="103" spans="1:5">
      <c r="A103" s="36">
        <v>102</v>
      </c>
      <c r="B103" s="36" t="s">
        <v>200</v>
      </c>
      <c r="C103" s="36">
        <v>105</v>
      </c>
      <c r="D103" s="36">
        <v>9</v>
      </c>
      <c r="E103" s="36" t="s">
        <v>1413</v>
      </c>
    </row>
    <row r="104" spans="1:5">
      <c r="A104" s="36">
        <v>103</v>
      </c>
      <c r="B104" s="36" t="s">
        <v>201</v>
      </c>
      <c r="C104" s="36">
        <v>105</v>
      </c>
      <c r="D104" s="36">
        <v>1</v>
      </c>
      <c r="E104" s="36" t="s">
        <v>1413</v>
      </c>
    </row>
    <row r="105" spans="1:5">
      <c r="A105" s="36">
        <v>104</v>
      </c>
      <c r="B105" s="36" t="s">
        <v>202</v>
      </c>
      <c r="C105" s="36">
        <v>105</v>
      </c>
      <c r="D105" s="36">
        <v>12</v>
      </c>
      <c r="E105" s="36" t="s">
        <v>1416</v>
      </c>
    </row>
    <row r="106" spans="1:5">
      <c r="A106" s="36">
        <v>105</v>
      </c>
      <c r="B106" s="36" t="s">
        <v>203</v>
      </c>
      <c r="C106" s="36">
        <v>104</v>
      </c>
      <c r="D106" s="36">
        <v>12</v>
      </c>
      <c r="E106" s="36" t="s">
        <v>1413</v>
      </c>
    </row>
    <row r="107" spans="1:5">
      <c r="A107" s="36">
        <v>106</v>
      </c>
      <c r="B107" s="36" t="s">
        <v>204</v>
      </c>
      <c r="C107" s="36">
        <v>103</v>
      </c>
      <c r="D107" s="36">
        <v>2</v>
      </c>
      <c r="E107" s="36" t="s">
        <v>1416</v>
      </c>
    </row>
    <row r="108" spans="1:5">
      <c r="A108" s="36">
        <v>107</v>
      </c>
      <c r="B108" s="36" t="s">
        <v>205</v>
      </c>
      <c r="C108" s="36">
        <v>103</v>
      </c>
      <c r="D108" s="36">
        <v>13</v>
      </c>
      <c r="E108" s="36" t="s">
        <v>1413</v>
      </c>
    </row>
    <row r="109" spans="1:5">
      <c r="A109" s="36">
        <v>108</v>
      </c>
      <c r="B109" s="36" t="s">
        <v>206</v>
      </c>
      <c r="C109" s="36">
        <v>103</v>
      </c>
      <c r="D109" s="36">
        <v>9</v>
      </c>
      <c r="E109" s="36" t="s">
        <v>1416</v>
      </c>
    </row>
    <row r="110" spans="1:5">
      <c r="A110" s="36">
        <v>109</v>
      </c>
      <c r="B110" s="36" t="s">
        <v>208</v>
      </c>
      <c r="C110" s="36">
        <v>102</v>
      </c>
      <c r="D110" s="36">
        <v>4</v>
      </c>
      <c r="E110" s="36" t="s">
        <v>1416</v>
      </c>
    </row>
    <row r="111" spans="1:5">
      <c r="A111" s="36">
        <v>110</v>
      </c>
      <c r="B111" s="36" t="s">
        <v>209</v>
      </c>
      <c r="C111" s="36">
        <v>101</v>
      </c>
      <c r="D111" s="36">
        <v>1</v>
      </c>
      <c r="E111" s="36" t="s">
        <v>1416</v>
      </c>
    </row>
    <row r="112" spans="1:5">
      <c r="A112" s="36">
        <v>111</v>
      </c>
      <c r="B112" s="36" t="s">
        <v>210</v>
      </c>
      <c r="C112" s="36">
        <v>100</v>
      </c>
      <c r="D112" s="36">
        <v>12</v>
      </c>
      <c r="E112" s="36" t="s">
        <v>1413</v>
      </c>
    </row>
    <row r="113" spans="1:5">
      <c r="A113" s="36">
        <v>112</v>
      </c>
      <c r="B113" s="36" t="s">
        <v>211</v>
      </c>
      <c r="C113" s="36">
        <v>100</v>
      </c>
      <c r="D113" s="36">
        <v>6</v>
      </c>
      <c r="E113" s="36" t="s">
        <v>1416</v>
      </c>
    </row>
    <row r="114" spans="1:5">
      <c r="A114" s="36">
        <v>113</v>
      </c>
      <c r="B114" s="36" t="s">
        <v>212</v>
      </c>
      <c r="C114" s="36">
        <v>99</v>
      </c>
      <c r="D114" s="36">
        <v>13</v>
      </c>
      <c r="E114" s="36" t="s">
        <v>1413</v>
      </c>
    </row>
    <row r="115" spans="1:5">
      <c r="A115" s="36">
        <v>114</v>
      </c>
      <c r="B115" s="36" t="s">
        <v>213</v>
      </c>
      <c r="C115" s="36">
        <v>99</v>
      </c>
      <c r="D115" s="36">
        <v>4</v>
      </c>
      <c r="E115" s="36" t="s">
        <v>1416</v>
      </c>
    </row>
    <row r="116" spans="1:5">
      <c r="A116" s="36">
        <v>115</v>
      </c>
      <c r="B116" s="36" t="s">
        <v>214</v>
      </c>
      <c r="C116" s="36">
        <v>98</v>
      </c>
      <c r="D116" s="36">
        <v>12</v>
      </c>
      <c r="E116" s="36" t="s">
        <v>1413</v>
      </c>
    </row>
    <row r="117" spans="1:5">
      <c r="A117" s="36">
        <v>116</v>
      </c>
      <c r="B117" s="36" t="s">
        <v>215</v>
      </c>
      <c r="C117" s="36">
        <v>97</v>
      </c>
      <c r="D117" s="36">
        <v>2</v>
      </c>
      <c r="E117" s="36" t="s">
        <v>1413</v>
      </c>
    </row>
    <row r="118" spans="1:5">
      <c r="A118" s="36">
        <v>117</v>
      </c>
      <c r="B118" s="36" t="s">
        <v>217</v>
      </c>
      <c r="C118" s="36">
        <v>96</v>
      </c>
      <c r="D118" s="36">
        <v>1</v>
      </c>
      <c r="E118" s="36" t="s">
        <v>1416</v>
      </c>
    </row>
    <row r="119" spans="1:5">
      <c r="A119" s="36">
        <v>118</v>
      </c>
      <c r="B119" s="36" t="s">
        <v>218</v>
      </c>
      <c r="C119" s="36">
        <v>95</v>
      </c>
      <c r="D119" s="36">
        <v>12</v>
      </c>
      <c r="E119" s="36" t="s">
        <v>1413</v>
      </c>
    </row>
    <row r="120" spans="1:5">
      <c r="A120" s="36">
        <v>119</v>
      </c>
      <c r="B120" s="36" t="s">
        <v>219</v>
      </c>
      <c r="C120" s="36">
        <v>95</v>
      </c>
      <c r="D120" s="36">
        <v>13</v>
      </c>
      <c r="E120" s="36" t="s">
        <v>1416</v>
      </c>
    </row>
    <row r="121" spans="1:5">
      <c r="A121" s="36">
        <v>120</v>
      </c>
      <c r="B121" s="36" t="s">
        <v>220</v>
      </c>
      <c r="C121" s="36">
        <v>95</v>
      </c>
      <c r="D121" s="36">
        <v>13</v>
      </c>
      <c r="E121" s="36" t="s">
        <v>1416</v>
      </c>
    </row>
    <row r="122" spans="1:5">
      <c r="A122" s="36">
        <v>121</v>
      </c>
      <c r="B122" s="36" t="s">
        <v>221</v>
      </c>
      <c r="C122" s="36">
        <v>95</v>
      </c>
      <c r="D122" s="36">
        <v>9</v>
      </c>
      <c r="E122" s="36" t="s">
        <v>1416</v>
      </c>
    </row>
    <row r="123" spans="1:5">
      <c r="A123" s="36">
        <v>122</v>
      </c>
      <c r="B123" s="36" t="s">
        <v>222</v>
      </c>
      <c r="C123" s="36">
        <v>94</v>
      </c>
      <c r="D123" s="36">
        <v>12</v>
      </c>
      <c r="E123" s="36" t="s">
        <v>1416</v>
      </c>
    </row>
    <row r="124" spans="1:5">
      <c r="A124" s="36">
        <v>123</v>
      </c>
      <c r="B124" s="36" t="s">
        <v>224</v>
      </c>
      <c r="C124" s="36">
        <v>94</v>
      </c>
      <c r="D124" s="36">
        <v>13</v>
      </c>
      <c r="E124" s="36" t="s">
        <v>1413</v>
      </c>
    </row>
    <row r="125" spans="1:5">
      <c r="A125" s="36">
        <v>124</v>
      </c>
      <c r="B125" s="36" t="s">
        <v>225</v>
      </c>
      <c r="C125" s="36">
        <v>94</v>
      </c>
      <c r="D125" s="36">
        <v>1</v>
      </c>
      <c r="E125" s="36" t="s">
        <v>1416</v>
      </c>
    </row>
    <row r="126" spans="1:5">
      <c r="A126" s="36">
        <v>125</v>
      </c>
      <c r="B126" s="36" t="s">
        <v>226</v>
      </c>
      <c r="C126" s="36">
        <v>92</v>
      </c>
      <c r="D126" s="36">
        <v>12</v>
      </c>
      <c r="E126" s="36" t="s">
        <v>1416</v>
      </c>
    </row>
    <row r="127" spans="1:5">
      <c r="A127" s="36">
        <v>126</v>
      </c>
      <c r="B127" s="36" t="s">
        <v>227</v>
      </c>
      <c r="C127" s="36">
        <v>92</v>
      </c>
      <c r="D127" s="36">
        <v>10</v>
      </c>
      <c r="E127" s="36" t="s">
        <v>1413</v>
      </c>
    </row>
    <row r="128" spans="1:5">
      <c r="A128" s="36">
        <v>127</v>
      </c>
      <c r="B128" s="36" t="s">
        <v>228</v>
      </c>
      <c r="C128" s="36">
        <v>92</v>
      </c>
      <c r="D128" s="36">
        <v>6</v>
      </c>
      <c r="E128" s="36" t="s">
        <v>1416</v>
      </c>
    </row>
    <row r="129" spans="1:5">
      <c r="A129" s="36">
        <v>128</v>
      </c>
      <c r="B129" s="36" t="s">
        <v>229</v>
      </c>
      <c r="C129" s="36">
        <v>91</v>
      </c>
      <c r="D129" s="36">
        <v>14</v>
      </c>
      <c r="E129" s="36" t="s">
        <v>1416</v>
      </c>
    </row>
    <row r="130" spans="1:5">
      <c r="A130" s="36">
        <v>129</v>
      </c>
      <c r="B130" s="36" t="s">
        <v>230</v>
      </c>
      <c r="C130" s="36">
        <v>91</v>
      </c>
      <c r="D130" s="36">
        <v>9</v>
      </c>
      <c r="E130" s="36" t="s">
        <v>1413</v>
      </c>
    </row>
    <row r="131" spans="1:5">
      <c r="A131" s="36">
        <v>130</v>
      </c>
      <c r="B131" s="36" t="s">
        <v>231</v>
      </c>
      <c r="C131" s="36">
        <v>90</v>
      </c>
      <c r="D131" s="36">
        <v>12</v>
      </c>
      <c r="E131" s="36" t="s">
        <v>1413</v>
      </c>
    </row>
    <row r="132" spans="1:5">
      <c r="A132" s="36">
        <v>131</v>
      </c>
      <c r="B132" s="36" t="s">
        <v>232</v>
      </c>
      <c r="C132" s="36">
        <v>89</v>
      </c>
      <c r="D132" s="36">
        <v>4</v>
      </c>
      <c r="E132" s="36" t="s">
        <v>1416</v>
      </c>
    </row>
    <row r="133" spans="1:5">
      <c r="A133" s="36">
        <v>132</v>
      </c>
      <c r="B133" s="36" t="s">
        <v>233</v>
      </c>
      <c r="C133" s="36">
        <v>89</v>
      </c>
      <c r="D133" s="36">
        <v>13</v>
      </c>
      <c r="E133" s="36" t="s">
        <v>1413</v>
      </c>
    </row>
    <row r="134" spans="1:5">
      <c r="A134" s="36">
        <v>133</v>
      </c>
      <c r="B134" s="36" t="s">
        <v>234</v>
      </c>
      <c r="C134" s="36">
        <v>89</v>
      </c>
      <c r="D134" s="36">
        <v>2</v>
      </c>
      <c r="E134" s="36" t="s">
        <v>1413</v>
      </c>
    </row>
    <row r="135" spans="1:5">
      <c r="A135" s="36">
        <v>134</v>
      </c>
      <c r="B135" s="36" t="s">
        <v>235</v>
      </c>
      <c r="C135" s="36">
        <v>88</v>
      </c>
      <c r="D135" s="36">
        <v>13</v>
      </c>
      <c r="E135" s="36" t="s">
        <v>1413</v>
      </c>
    </row>
    <row r="136" spans="1:5">
      <c r="A136" s="36">
        <v>135</v>
      </c>
      <c r="B136" s="36" t="s">
        <v>236</v>
      </c>
      <c r="C136" s="36">
        <v>88</v>
      </c>
      <c r="D136" s="36">
        <v>12</v>
      </c>
      <c r="E136" s="36" t="s">
        <v>1413</v>
      </c>
    </row>
    <row r="137" spans="1:5">
      <c r="A137" s="36">
        <v>136</v>
      </c>
      <c r="B137" s="36" t="s">
        <v>237</v>
      </c>
      <c r="C137" s="36">
        <v>87</v>
      </c>
      <c r="D137" s="36">
        <v>9</v>
      </c>
      <c r="E137" s="36" t="s">
        <v>1413</v>
      </c>
    </row>
    <row r="138" spans="1:5">
      <c r="A138" s="36">
        <v>137</v>
      </c>
      <c r="B138" s="36" t="s">
        <v>238</v>
      </c>
      <c r="C138" s="36">
        <v>87</v>
      </c>
      <c r="D138" s="36">
        <v>3</v>
      </c>
      <c r="E138" s="36" t="s">
        <v>1416</v>
      </c>
    </row>
    <row r="139" spans="1:5">
      <c r="A139" s="36">
        <v>138</v>
      </c>
      <c r="B139" s="36" t="s">
        <v>240</v>
      </c>
      <c r="C139" s="36">
        <v>86</v>
      </c>
      <c r="D139" s="36">
        <v>13</v>
      </c>
      <c r="E139" s="36" t="s">
        <v>1413</v>
      </c>
    </row>
    <row r="140" spans="1:5">
      <c r="A140" s="36">
        <v>139</v>
      </c>
      <c r="B140" s="36" t="s">
        <v>241</v>
      </c>
      <c r="C140" s="36">
        <v>86</v>
      </c>
      <c r="D140" s="36">
        <v>12</v>
      </c>
      <c r="E140" s="36" t="s">
        <v>1413</v>
      </c>
    </row>
    <row r="141" spans="1:5">
      <c r="A141" s="36">
        <v>140</v>
      </c>
      <c r="B141" s="36" t="s">
        <v>242</v>
      </c>
      <c r="C141" s="36">
        <v>86</v>
      </c>
      <c r="D141" s="36">
        <v>3</v>
      </c>
      <c r="E141" s="36" t="s">
        <v>1416</v>
      </c>
    </row>
    <row r="142" spans="1:5">
      <c r="A142" s="36">
        <v>141</v>
      </c>
      <c r="B142" s="36" t="s">
        <v>243</v>
      </c>
      <c r="C142" s="36">
        <v>85</v>
      </c>
      <c r="D142" s="36">
        <v>12</v>
      </c>
      <c r="E142" s="36" t="s">
        <v>1413</v>
      </c>
    </row>
    <row r="143" spans="1:5">
      <c r="A143" s="36">
        <v>142</v>
      </c>
      <c r="B143" s="36" t="s">
        <v>244</v>
      </c>
      <c r="C143" s="36">
        <v>85</v>
      </c>
      <c r="D143" s="36">
        <v>13</v>
      </c>
      <c r="E143" s="36" t="s">
        <v>1413</v>
      </c>
    </row>
    <row r="144" spans="1:5">
      <c r="A144" s="36">
        <v>143</v>
      </c>
      <c r="B144" s="36" t="s">
        <v>245</v>
      </c>
      <c r="C144" s="36">
        <v>84</v>
      </c>
      <c r="D144" s="36">
        <v>12</v>
      </c>
      <c r="E144" s="36" t="s">
        <v>1416</v>
      </c>
    </row>
    <row r="145" spans="1:5">
      <c r="A145" s="36">
        <v>144</v>
      </c>
      <c r="B145" s="36" t="s">
        <v>246</v>
      </c>
      <c r="C145" s="36">
        <v>84</v>
      </c>
      <c r="D145" s="36">
        <v>9</v>
      </c>
      <c r="E145" s="36" t="s">
        <v>1413</v>
      </c>
    </row>
    <row r="146" spans="1:5">
      <c r="A146" s="36">
        <v>145</v>
      </c>
      <c r="B146" s="36" t="s">
        <v>247</v>
      </c>
      <c r="C146" s="36">
        <v>83</v>
      </c>
      <c r="D146" s="36">
        <v>12</v>
      </c>
      <c r="E146" s="36" t="s">
        <v>1413</v>
      </c>
    </row>
    <row r="147" spans="1:5">
      <c r="A147" s="36">
        <v>146</v>
      </c>
      <c r="B147" s="36" t="s">
        <v>248</v>
      </c>
      <c r="C147" s="36">
        <v>82</v>
      </c>
      <c r="D147" s="36">
        <v>5</v>
      </c>
      <c r="E147" s="36" t="s">
        <v>1416</v>
      </c>
    </row>
    <row r="148" spans="1:5">
      <c r="A148" s="36">
        <v>147</v>
      </c>
      <c r="B148" s="36" t="s">
        <v>249</v>
      </c>
      <c r="C148" s="36">
        <v>82</v>
      </c>
      <c r="D148" s="36">
        <v>12</v>
      </c>
      <c r="E148" s="36" t="s">
        <v>1413</v>
      </c>
    </row>
    <row r="149" spans="1:5">
      <c r="A149" s="36">
        <v>148</v>
      </c>
      <c r="B149" s="36" t="s">
        <v>250</v>
      </c>
      <c r="C149" s="36">
        <v>82</v>
      </c>
      <c r="D149" s="36">
        <v>2</v>
      </c>
      <c r="E149" s="36" t="s">
        <v>1416</v>
      </c>
    </row>
    <row r="150" spans="1:5">
      <c r="A150" s="36">
        <v>149</v>
      </c>
      <c r="B150" s="36" t="s">
        <v>251</v>
      </c>
      <c r="C150" s="36">
        <v>82</v>
      </c>
      <c r="D150" s="36">
        <v>12</v>
      </c>
      <c r="E150" s="36" t="s">
        <v>1413</v>
      </c>
    </row>
    <row r="151" spans="1:5">
      <c r="A151" s="36">
        <v>150</v>
      </c>
      <c r="B151" s="36" t="s">
        <v>252</v>
      </c>
      <c r="C151" s="36">
        <v>82</v>
      </c>
      <c r="D151" s="36">
        <v>9</v>
      </c>
      <c r="E151" s="36" t="s">
        <v>1413</v>
      </c>
    </row>
    <row r="152" spans="1:5">
      <c r="A152" s="36">
        <v>151</v>
      </c>
      <c r="B152" s="36" t="s">
        <v>254</v>
      </c>
      <c r="C152" s="36">
        <v>81</v>
      </c>
      <c r="D152" s="36">
        <v>13</v>
      </c>
      <c r="E152" s="36" t="s">
        <v>1413</v>
      </c>
    </row>
    <row r="153" spans="1:5">
      <c r="A153" s="36">
        <v>152</v>
      </c>
      <c r="B153" s="36" t="s">
        <v>255</v>
      </c>
      <c r="C153" s="36">
        <v>81</v>
      </c>
      <c r="D153" s="36">
        <v>11</v>
      </c>
      <c r="E153" s="36" t="s">
        <v>1416</v>
      </c>
    </row>
    <row r="154" spans="1:5">
      <c r="A154" s="36">
        <v>153</v>
      </c>
      <c r="B154" s="36" t="s">
        <v>256</v>
      </c>
      <c r="C154" s="36">
        <v>81</v>
      </c>
      <c r="D154" s="36">
        <v>10</v>
      </c>
      <c r="E154" s="36" t="s">
        <v>1416</v>
      </c>
    </row>
    <row r="155" spans="1:5">
      <c r="A155" s="36">
        <v>154</v>
      </c>
      <c r="B155" s="36" t="s">
        <v>260</v>
      </c>
      <c r="C155" s="36">
        <v>80</v>
      </c>
      <c r="D155" s="36">
        <v>13</v>
      </c>
      <c r="E155" s="36" t="s">
        <v>1413</v>
      </c>
    </row>
    <row r="156" spans="1:5">
      <c r="A156" s="36">
        <v>155</v>
      </c>
      <c r="B156" s="36" t="s">
        <v>261</v>
      </c>
      <c r="C156" s="36">
        <v>80</v>
      </c>
      <c r="D156" s="36">
        <v>12</v>
      </c>
      <c r="E156" s="36" t="s">
        <v>1416</v>
      </c>
    </row>
    <row r="157" spans="1:5">
      <c r="A157" s="36">
        <v>156</v>
      </c>
      <c r="B157" s="36" t="s">
        <v>262</v>
      </c>
      <c r="C157" s="36">
        <v>80</v>
      </c>
      <c r="D157" s="36">
        <v>12</v>
      </c>
      <c r="E157" s="36" t="s">
        <v>1413</v>
      </c>
    </row>
    <row r="158" spans="1:5">
      <c r="A158" s="36">
        <v>157</v>
      </c>
      <c r="B158" s="36" t="s">
        <v>263</v>
      </c>
      <c r="C158" s="36">
        <v>80</v>
      </c>
      <c r="D158" s="36">
        <v>12</v>
      </c>
      <c r="E158" s="36" t="s">
        <v>1413</v>
      </c>
    </row>
    <row r="159" spans="1:5">
      <c r="A159" s="36">
        <v>158</v>
      </c>
      <c r="B159" s="36" t="s">
        <v>264</v>
      </c>
      <c r="C159" s="36">
        <v>80</v>
      </c>
      <c r="D159" s="36">
        <v>1</v>
      </c>
      <c r="E159" s="36" t="s">
        <v>1416</v>
      </c>
    </row>
    <row r="160" spans="1:5">
      <c r="A160" s="36">
        <v>159</v>
      </c>
      <c r="B160" s="36" t="s">
        <v>258</v>
      </c>
      <c r="C160" s="36">
        <v>80</v>
      </c>
      <c r="D160" s="36">
        <v>9</v>
      </c>
      <c r="E160" s="36" t="s">
        <v>1413</v>
      </c>
    </row>
    <row r="161" spans="1:5">
      <c r="A161" s="36">
        <v>160</v>
      </c>
      <c r="B161" s="36" t="s">
        <v>265</v>
      </c>
      <c r="C161" s="36">
        <v>80</v>
      </c>
      <c r="D161" s="36">
        <v>9</v>
      </c>
      <c r="E161" s="36" t="s">
        <v>1413</v>
      </c>
    </row>
    <row r="162" spans="1:5">
      <c r="A162" s="36">
        <v>161</v>
      </c>
      <c r="B162" s="36" t="s">
        <v>267</v>
      </c>
      <c r="C162" s="36">
        <v>79</v>
      </c>
      <c r="D162" s="36">
        <v>11</v>
      </c>
      <c r="E162" s="36" t="s">
        <v>1413</v>
      </c>
    </row>
    <row r="163" spans="1:5">
      <c r="A163" s="36">
        <v>162</v>
      </c>
      <c r="B163" s="36" t="s">
        <v>271</v>
      </c>
      <c r="C163" s="36">
        <v>79</v>
      </c>
      <c r="D163" s="36">
        <v>8</v>
      </c>
      <c r="E163" s="36" t="s">
        <v>1416</v>
      </c>
    </row>
    <row r="164" spans="1:5">
      <c r="A164" s="36">
        <v>163</v>
      </c>
      <c r="B164" s="36" t="s">
        <v>268</v>
      </c>
      <c r="C164" s="36">
        <v>79</v>
      </c>
      <c r="D164" s="36">
        <v>9</v>
      </c>
      <c r="E164" s="36" t="s">
        <v>1413</v>
      </c>
    </row>
    <row r="165" spans="1:5">
      <c r="A165" s="36">
        <v>164</v>
      </c>
      <c r="B165" s="36" t="s">
        <v>269</v>
      </c>
      <c r="C165" s="36">
        <v>79</v>
      </c>
      <c r="D165" s="36">
        <v>15</v>
      </c>
      <c r="E165" s="36" t="s">
        <v>1413</v>
      </c>
    </row>
    <row r="166" spans="1:5">
      <c r="A166" s="36">
        <v>165</v>
      </c>
      <c r="B166" s="36" t="s">
        <v>270</v>
      </c>
      <c r="C166" s="36">
        <v>79</v>
      </c>
      <c r="D166" s="36">
        <v>15</v>
      </c>
      <c r="E166" s="36" t="s">
        <v>1413</v>
      </c>
    </row>
    <row r="167" spans="1:5">
      <c r="A167" s="36">
        <v>166</v>
      </c>
      <c r="B167" s="36" t="s">
        <v>275</v>
      </c>
      <c r="C167" s="36">
        <v>78</v>
      </c>
      <c r="D167" s="36">
        <v>12</v>
      </c>
      <c r="E167" s="36" t="s">
        <v>1413</v>
      </c>
    </row>
    <row r="168" spans="1:5">
      <c r="A168" s="36">
        <v>167</v>
      </c>
      <c r="B168" s="36" t="s">
        <v>272</v>
      </c>
      <c r="C168" s="36">
        <v>78</v>
      </c>
      <c r="D168" s="36">
        <v>7</v>
      </c>
      <c r="E168" s="36" t="s">
        <v>1416</v>
      </c>
    </row>
    <row r="169" spans="1:5">
      <c r="A169" s="36">
        <v>168</v>
      </c>
      <c r="B169" s="36" t="s">
        <v>273</v>
      </c>
      <c r="C169" s="36">
        <v>78</v>
      </c>
      <c r="D169" s="36">
        <v>12</v>
      </c>
      <c r="E169" s="36" t="s">
        <v>1416</v>
      </c>
    </row>
    <row r="170" spans="1:5">
      <c r="A170" s="36">
        <v>169</v>
      </c>
      <c r="B170" s="36" t="s">
        <v>274</v>
      </c>
      <c r="C170" s="36">
        <v>78</v>
      </c>
      <c r="D170" s="36">
        <v>9</v>
      </c>
      <c r="E170" s="36" t="s">
        <v>1413</v>
      </c>
    </row>
    <row r="171" spans="1:5">
      <c r="A171" s="36">
        <v>170</v>
      </c>
      <c r="B171" s="36" t="s">
        <v>278</v>
      </c>
      <c r="C171" s="36">
        <v>77</v>
      </c>
      <c r="D171" s="36">
        <v>10</v>
      </c>
      <c r="E171" s="36" t="s">
        <v>1413</v>
      </c>
    </row>
    <row r="172" spans="1:5">
      <c r="A172" s="36">
        <v>171</v>
      </c>
      <c r="B172" s="36" t="s">
        <v>276</v>
      </c>
      <c r="C172" s="36">
        <v>77</v>
      </c>
      <c r="D172" s="36">
        <v>12</v>
      </c>
      <c r="E172" s="36" t="s">
        <v>1413</v>
      </c>
    </row>
    <row r="173" spans="1:5">
      <c r="A173" s="36">
        <v>172</v>
      </c>
      <c r="B173" s="36" t="s">
        <v>277</v>
      </c>
      <c r="C173" s="36">
        <v>77</v>
      </c>
      <c r="D173" s="36">
        <v>12</v>
      </c>
      <c r="E173" s="36" t="s">
        <v>1416</v>
      </c>
    </row>
    <row r="174" spans="1:5">
      <c r="A174" s="36">
        <v>173</v>
      </c>
      <c r="B174" s="36" t="s">
        <v>279</v>
      </c>
      <c r="C174" s="36">
        <v>76</v>
      </c>
      <c r="D174" s="36">
        <v>13</v>
      </c>
      <c r="E174" s="36" t="s">
        <v>1413</v>
      </c>
    </row>
    <row r="175" spans="1:5">
      <c r="A175" s="36">
        <v>174</v>
      </c>
      <c r="B175" s="36" t="s">
        <v>280</v>
      </c>
      <c r="C175" s="36">
        <v>76</v>
      </c>
      <c r="D175" s="36">
        <v>9</v>
      </c>
      <c r="E175" s="36" t="s">
        <v>1413</v>
      </c>
    </row>
    <row r="176" spans="1:5">
      <c r="A176" s="36">
        <v>175</v>
      </c>
      <c r="B176" s="36" t="s">
        <v>281</v>
      </c>
      <c r="C176" s="36">
        <v>76</v>
      </c>
      <c r="D176" s="36">
        <v>9</v>
      </c>
      <c r="E176" s="36" t="s">
        <v>1413</v>
      </c>
    </row>
    <row r="177" spans="1:5">
      <c r="A177" s="36">
        <v>176</v>
      </c>
      <c r="B177" s="36" t="s">
        <v>283</v>
      </c>
      <c r="C177" s="36">
        <v>75</v>
      </c>
      <c r="D177" s="36">
        <v>2</v>
      </c>
      <c r="E177" s="36" t="s">
        <v>1413</v>
      </c>
    </row>
    <row r="178" spans="1:5">
      <c r="A178" s="36">
        <v>177</v>
      </c>
      <c r="B178" s="36" t="s">
        <v>285</v>
      </c>
      <c r="C178" s="36">
        <v>75</v>
      </c>
      <c r="D178" s="36">
        <v>3</v>
      </c>
      <c r="E178" s="36" t="s">
        <v>1416</v>
      </c>
    </row>
    <row r="179" spans="1:5">
      <c r="A179" s="36">
        <v>178</v>
      </c>
      <c r="B179" s="36" t="s">
        <v>284</v>
      </c>
      <c r="C179" s="36">
        <v>75</v>
      </c>
      <c r="D179" s="36">
        <v>9</v>
      </c>
      <c r="E179" s="36" t="s">
        <v>1416</v>
      </c>
    </row>
    <row r="180" spans="1:5">
      <c r="A180" s="36">
        <v>179</v>
      </c>
      <c r="B180" s="36" t="s">
        <v>286</v>
      </c>
      <c r="C180" s="36">
        <v>74</v>
      </c>
      <c r="D180" s="36">
        <v>12</v>
      </c>
      <c r="E180" s="36" t="s">
        <v>1416</v>
      </c>
    </row>
    <row r="181" spans="1:5">
      <c r="A181" s="36">
        <v>180</v>
      </c>
      <c r="B181" s="36" t="s">
        <v>287</v>
      </c>
      <c r="C181" s="36">
        <v>73</v>
      </c>
      <c r="D181" s="36">
        <v>10</v>
      </c>
      <c r="E181" s="36" t="s">
        <v>1413</v>
      </c>
    </row>
    <row r="182" spans="1:5">
      <c r="A182" s="36">
        <v>181</v>
      </c>
      <c r="B182" s="36" t="s">
        <v>292</v>
      </c>
      <c r="C182" s="36">
        <v>72</v>
      </c>
      <c r="D182" s="36">
        <v>9</v>
      </c>
      <c r="E182" s="36" t="s">
        <v>1416</v>
      </c>
    </row>
    <row r="183" spans="1:5">
      <c r="A183" s="36">
        <v>182</v>
      </c>
      <c r="B183" s="36" t="s">
        <v>288</v>
      </c>
      <c r="C183" s="36">
        <v>72</v>
      </c>
      <c r="D183" s="36">
        <v>1</v>
      </c>
      <c r="E183" s="36" t="s">
        <v>1416</v>
      </c>
    </row>
    <row r="184" spans="1:5">
      <c r="A184" s="36">
        <v>183</v>
      </c>
      <c r="B184" s="36" t="s">
        <v>289</v>
      </c>
      <c r="C184" s="36">
        <v>72</v>
      </c>
      <c r="D184" s="36">
        <v>12</v>
      </c>
      <c r="E184" s="36" t="s">
        <v>1413</v>
      </c>
    </row>
    <row r="185" spans="1:5">
      <c r="A185" s="36">
        <v>184</v>
      </c>
      <c r="B185" s="36" t="s">
        <v>290</v>
      </c>
      <c r="C185" s="36">
        <v>72</v>
      </c>
      <c r="D185" s="36">
        <v>7</v>
      </c>
      <c r="E185" s="36" t="s">
        <v>1416</v>
      </c>
    </row>
    <row r="186" spans="1:5">
      <c r="A186" s="36">
        <v>185</v>
      </c>
      <c r="B186" s="36" t="s">
        <v>291</v>
      </c>
      <c r="C186" s="36">
        <v>72</v>
      </c>
      <c r="D186" s="36">
        <v>13</v>
      </c>
      <c r="E186" s="36" t="s">
        <v>1413</v>
      </c>
    </row>
    <row r="187" spans="1:5">
      <c r="A187" s="36">
        <v>186</v>
      </c>
      <c r="B187" s="36" t="s">
        <v>296</v>
      </c>
      <c r="C187" s="36">
        <v>71</v>
      </c>
      <c r="D187" s="36">
        <v>11</v>
      </c>
      <c r="E187" s="36" t="s">
        <v>1413</v>
      </c>
    </row>
    <row r="188" spans="1:5">
      <c r="A188" s="36">
        <v>187</v>
      </c>
      <c r="B188" s="36" t="s">
        <v>293</v>
      </c>
      <c r="C188" s="36">
        <v>71</v>
      </c>
      <c r="D188" s="36">
        <v>13</v>
      </c>
      <c r="E188" s="36" t="s">
        <v>1413</v>
      </c>
    </row>
    <row r="189" spans="1:5">
      <c r="A189" s="36">
        <v>188</v>
      </c>
      <c r="B189" s="36" t="s">
        <v>294</v>
      </c>
      <c r="C189" s="36">
        <v>71</v>
      </c>
      <c r="D189" s="36">
        <v>15</v>
      </c>
      <c r="E189" s="36" t="s">
        <v>1413</v>
      </c>
    </row>
    <row r="190" spans="1:5">
      <c r="A190" s="36">
        <v>189</v>
      </c>
      <c r="B190" s="36" t="s">
        <v>295</v>
      </c>
      <c r="C190" s="36">
        <v>71</v>
      </c>
      <c r="D190" s="36">
        <v>12</v>
      </c>
      <c r="E190" s="36" t="s">
        <v>1416</v>
      </c>
    </row>
    <row r="191" spans="1:5">
      <c r="A191" s="36">
        <v>190</v>
      </c>
      <c r="B191" s="36" t="s">
        <v>297</v>
      </c>
      <c r="C191" s="36">
        <v>70</v>
      </c>
      <c r="D191" s="36">
        <v>15</v>
      </c>
      <c r="E191" s="36" t="s">
        <v>1413</v>
      </c>
    </row>
    <row r="192" spans="1:5">
      <c r="A192" s="36">
        <v>191</v>
      </c>
      <c r="B192" s="36" t="s">
        <v>300</v>
      </c>
      <c r="C192" s="36">
        <v>70</v>
      </c>
      <c r="D192" s="36">
        <v>12</v>
      </c>
      <c r="E192" s="36" t="s">
        <v>1416</v>
      </c>
    </row>
    <row r="193" spans="1:5">
      <c r="A193" s="36">
        <v>192</v>
      </c>
      <c r="B193" s="36" t="s">
        <v>298</v>
      </c>
      <c r="C193" s="36">
        <v>70</v>
      </c>
      <c r="D193" s="36">
        <v>12</v>
      </c>
      <c r="E193" s="36" t="s">
        <v>1413</v>
      </c>
    </row>
    <row r="194" spans="1:5">
      <c r="A194" s="36">
        <v>193</v>
      </c>
      <c r="B194" s="36" t="s">
        <v>299</v>
      </c>
      <c r="C194" s="36">
        <v>70</v>
      </c>
      <c r="D194" s="36">
        <v>2</v>
      </c>
      <c r="E194" s="36" t="s">
        <v>1416</v>
      </c>
    </row>
    <row r="195" spans="1:5">
      <c r="A195" s="36">
        <v>194</v>
      </c>
      <c r="B195" s="36" t="s">
        <v>303</v>
      </c>
      <c r="C195" s="36">
        <v>69</v>
      </c>
      <c r="D195" s="36">
        <v>12</v>
      </c>
      <c r="E195" s="36" t="s">
        <v>1413</v>
      </c>
    </row>
    <row r="196" spans="1:5">
      <c r="A196" s="36">
        <v>195</v>
      </c>
      <c r="B196" s="36" t="s">
        <v>302</v>
      </c>
      <c r="C196" s="36">
        <v>69</v>
      </c>
      <c r="D196" s="36">
        <v>9</v>
      </c>
      <c r="E196" s="36" t="s">
        <v>1416</v>
      </c>
    </row>
    <row r="197" spans="1:5">
      <c r="A197" s="36">
        <v>196</v>
      </c>
      <c r="B197" s="36" t="s">
        <v>301</v>
      </c>
      <c r="C197" s="36">
        <v>69</v>
      </c>
      <c r="D197" s="36">
        <v>2</v>
      </c>
      <c r="E197" s="36" t="s">
        <v>1416</v>
      </c>
    </row>
    <row r="198" spans="1:5">
      <c r="A198" s="36">
        <v>197</v>
      </c>
      <c r="B198" s="36" t="s">
        <v>305</v>
      </c>
      <c r="C198" s="36">
        <v>68</v>
      </c>
      <c r="D198" s="36">
        <v>3</v>
      </c>
      <c r="E198" s="36" t="s">
        <v>1416</v>
      </c>
    </row>
    <row r="199" spans="1:5">
      <c r="A199" s="36">
        <v>198</v>
      </c>
      <c r="B199" s="36" t="s">
        <v>304</v>
      </c>
      <c r="C199" s="36">
        <v>68</v>
      </c>
      <c r="D199" s="36">
        <v>9</v>
      </c>
      <c r="E199" s="36" t="s">
        <v>1416</v>
      </c>
    </row>
    <row r="200" spans="1:5">
      <c r="A200" s="36">
        <v>199</v>
      </c>
      <c r="B200" s="36" t="s">
        <v>311</v>
      </c>
      <c r="C200" s="36">
        <v>67</v>
      </c>
      <c r="D200" s="36">
        <v>15</v>
      </c>
      <c r="E200" s="36" t="s">
        <v>1413</v>
      </c>
    </row>
    <row r="201" spans="1:5">
      <c r="A201" s="36">
        <v>200</v>
      </c>
      <c r="B201" s="36" t="s">
        <v>307</v>
      </c>
      <c r="C201" s="36">
        <v>67</v>
      </c>
      <c r="D201" s="36">
        <v>12</v>
      </c>
      <c r="E201" s="36" t="s">
        <v>1413</v>
      </c>
    </row>
    <row r="202" spans="1:5">
      <c r="A202" s="36">
        <v>201</v>
      </c>
      <c r="B202" s="36" t="s">
        <v>308</v>
      </c>
      <c r="C202" s="36">
        <v>67</v>
      </c>
      <c r="D202" s="36">
        <v>1</v>
      </c>
      <c r="E202" s="36" t="s">
        <v>1416</v>
      </c>
    </row>
    <row r="203" spans="1:5">
      <c r="A203" s="36">
        <v>202</v>
      </c>
      <c r="B203" s="36" t="s">
        <v>309</v>
      </c>
      <c r="C203" s="36">
        <v>67</v>
      </c>
      <c r="D203" s="36">
        <v>13</v>
      </c>
      <c r="E203" s="36" t="s">
        <v>1413</v>
      </c>
    </row>
    <row r="204" spans="1:5">
      <c r="A204" s="36">
        <v>203</v>
      </c>
      <c r="B204" s="36" t="s">
        <v>310</v>
      </c>
      <c r="C204" s="36">
        <v>67</v>
      </c>
      <c r="D204" s="36">
        <v>13</v>
      </c>
      <c r="E204" s="36" t="s">
        <v>1413</v>
      </c>
    </row>
    <row r="205" spans="1:5">
      <c r="A205" s="36">
        <v>204</v>
      </c>
      <c r="B205" s="36" t="s">
        <v>315</v>
      </c>
      <c r="C205" s="36">
        <v>66</v>
      </c>
      <c r="D205" s="36">
        <v>7</v>
      </c>
      <c r="E205" s="36" t="s">
        <v>1416</v>
      </c>
    </row>
    <row r="206" spans="1:5">
      <c r="A206" s="36">
        <v>205</v>
      </c>
      <c r="B206" s="36" t="s">
        <v>314</v>
      </c>
      <c r="C206" s="36">
        <v>66</v>
      </c>
      <c r="D206" s="36">
        <v>1</v>
      </c>
      <c r="E206" s="36" t="s">
        <v>1416</v>
      </c>
    </row>
    <row r="207" spans="1:5">
      <c r="A207" s="36">
        <v>206</v>
      </c>
      <c r="B207" s="36" t="s">
        <v>313</v>
      </c>
      <c r="C207" s="36">
        <v>66</v>
      </c>
      <c r="D207" s="36">
        <v>6</v>
      </c>
      <c r="E207" s="36" t="s">
        <v>1416</v>
      </c>
    </row>
    <row r="208" spans="1:5">
      <c r="A208" s="36">
        <v>207</v>
      </c>
      <c r="B208" s="36" t="s">
        <v>321</v>
      </c>
      <c r="C208" s="36">
        <v>65</v>
      </c>
      <c r="D208" s="36">
        <v>9</v>
      </c>
      <c r="E208" s="36" t="s">
        <v>1416</v>
      </c>
    </row>
    <row r="209" spans="1:5">
      <c r="A209" s="36">
        <v>208</v>
      </c>
      <c r="B209" s="36" t="s">
        <v>317</v>
      </c>
      <c r="C209" s="36">
        <v>65</v>
      </c>
      <c r="D209" s="36">
        <v>6</v>
      </c>
      <c r="E209" s="36" t="s">
        <v>1419</v>
      </c>
    </row>
    <row r="210" spans="1:5">
      <c r="A210" s="36">
        <v>209</v>
      </c>
      <c r="B210" s="36" t="s">
        <v>322</v>
      </c>
      <c r="C210" s="36">
        <v>65</v>
      </c>
      <c r="D210" s="36">
        <v>13</v>
      </c>
      <c r="E210" s="36" t="s">
        <v>1413</v>
      </c>
    </row>
    <row r="211" spans="1:5">
      <c r="A211" s="36">
        <v>210</v>
      </c>
      <c r="B211" s="36" t="s">
        <v>323</v>
      </c>
      <c r="C211" s="36">
        <v>65</v>
      </c>
      <c r="D211" s="36">
        <v>13</v>
      </c>
      <c r="E211" s="36" t="s">
        <v>1413</v>
      </c>
    </row>
    <row r="212" spans="1:5">
      <c r="A212" s="36">
        <v>211</v>
      </c>
      <c r="B212" s="36" t="s">
        <v>318</v>
      </c>
      <c r="C212" s="36">
        <v>65</v>
      </c>
      <c r="D212" s="36">
        <v>13</v>
      </c>
      <c r="E212" s="36" t="s">
        <v>1413</v>
      </c>
    </row>
    <row r="213" spans="1:5">
      <c r="A213" s="36">
        <v>212</v>
      </c>
      <c r="B213" s="36" t="s">
        <v>319</v>
      </c>
      <c r="C213" s="36">
        <v>65</v>
      </c>
      <c r="D213" s="36">
        <v>13</v>
      </c>
      <c r="E213" s="36" t="s">
        <v>1413</v>
      </c>
    </row>
    <row r="214" spans="1:5">
      <c r="A214" s="36">
        <v>213</v>
      </c>
      <c r="B214" s="36" t="s">
        <v>320</v>
      </c>
      <c r="C214" s="36">
        <v>65</v>
      </c>
      <c r="D214" s="36">
        <v>13</v>
      </c>
      <c r="E214" s="36" t="s">
        <v>1413</v>
      </c>
    </row>
    <row r="215" spans="1:5">
      <c r="A215" s="36">
        <v>214</v>
      </c>
      <c r="B215" s="36" t="s">
        <v>326</v>
      </c>
      <c r="C215" s="36">
        <v>64</v>
      </c>
      <c r="D215" s="36">
        <v>13</v>
      </c>
      <c r="E215" s="36" t="s">
        <v>1413</v>
      </c>
    </row>
    <row r="216" spans="1:5">
      <c r="A216" s="36">
        <v>215</v>
      </c>
      <c r="B216" s="36" t="s">
        <v>327</v>
      </c>
      <c r="C216" s="36">
        <v>64</v>
      </c>
      <c r="D216" s="36">
        <v>1</v>
      </c>
      <c r="E216" s="36" t="s">
        <v>1413</v>
      </c>
    </row>
    <row r="217" spans="1:5">
      <c r="A217" s="36">
        <v>216</v>
      </c>
      <c r="B217" s="36" t="s">
        <v>324</v>
      </c>
      <c r="C217" s="36">
        <v>64</v>
      </c>
      <c r="D217" s="36">
        <v>9</v>
      </c>
      <c r="E217" s="36" t="s">
        <v>1413</v>
      </c>
    </row>
    <row r="218" spans="1:5">
      <c r="A218" s="36">
        <v>217</v>
      </c>
      <c r="B218" s="36" t="s">
        <v>325</v>
      </c>
      <c r="C218" s="36">
        <v>64</v>
      </c>
      <c r="D218" s="36">
        <v>12</v>
      </c>
      <c r="E218" s="36" t="s">
        <v>1413</v>
      </c>
    </row>
    <row r="219" spans="1:5">
      <c r="A219" s="36">
        <v>218</v>
      </c>
      <c r="B219" s="36" t="s">
        <v>328</v>
      </c>
      <c r="C219" s="36">
        <v>64</v>
      </c>
      <c r="D219" s="36">
        <v>1</v>
      </c>
      <c r="E219" s="36" t="s">
        <v>1416</v>
      </c>
    </row>
    <row r="220" spans="1:5">
      <c r="A220" s="36">
        <v>219</v>
      </c>
      <c r="B220" s="36" t="s">
        <v>329</v>
      </c>
      <c r="C220" s="36">
        <v>63</v>
      </c>
      <c r="D220" s="36">
        <v>13</v>
      </c>
      <c r="E220" s="36" t="s">
        <v>1413</v>
      </c>
    </row>
    <row r="221" spans="1:5">
      <c r="A221" s="36">
        <v>220</v>
      </c>
      <c r="B221" s="36" t="s">
        <v>330</v>
      </c>
      <c r="C221" s="36">
        <v>62</v>
      </c>
      <c r="D221" s="36">
        <v>13</v>
      </c>
      <c r="E221" s="36" t="s">
        <v>1416</v>
      </c>
    </row>
    <row r="222" spans="1:5">
      <c r="A222" s="36">
        <v>221</v>
      </c>
      <c r="B222" s="36" t="s">
        <v>331</v>
      </c>
      <c r="C222" s="36">
        <v>62</v>
      </c>
      <c r="D222" s="36">
        <v>10</v>
      </c>
      <c r="E222" s="36" t="s">
        <v>1416</v>
      </c>
    </row>
    <row r="223" spans="1:5">
      <c r="A223" s="36">
        <v>222</v>
      </c>
      <c r="B223" s="36" t="s">
        <v>332</v>
      </c>
      <c r="C223" s="36">
        <v>62</v>
      </c>
      <c r="D223" s="36">
        <v>3</v>
      </c>
      <c r="E223" s="36" t="s">
        <v>1416</v>
      </c>
    </row>
    <row r="224" spans="1:5">
      <c r="A224" s="36">
        <v>223</v>
      </c>
      <c r="B224" s="36" t="s">
        <v>333</v>
      </c>
      <c r="C224" s="36">
        <v>62</v>
      </c>
      <c r="D224" s="36">
        <v>1</v>
      </c>
      <c r="E224" s="36" t="s">
        <v>1416</v>
      </c>
    </row>
    <row r="225" spans="1:5">
      <c r="A225" s="36">
        <v>224</v>
      </c>
      <c r="B225" s="36" t="s">
        <v>338</v>
      </c>
      <c r="C225" s="36">
        <v>61</v>
      </c>
      <c r="D225" s="36">
        <v>12</v>
      </c>
      <c r="E225" s="36" t="s">
        <v>1413</v>
      </c>
    </row>
    <row r="226" spans="1:5">
      <c r="A226" s="36">
        <v>225</v>
      </c>
      <c r="B226" s="36" t="s">
        <v>339</v>
      </c>
      <c r="C226" s="36">
        <v>61</v>
      </c>
      <c r="D226" s="36">
        <v>9</v>
      </c>
      <c r="E226" s="36" t="s">
        <v>1413</v>
      </c>
    </row>
    <row r="227" spans="1:5">
      <c r="A227" s="36">
        <v>226</v>
      </c>
      <c r="B227" s="36" t="s">
        <v>340</v>
      </c>
      <c r="C227" s="36">
        <v>61</v>
      </c>
      <c r="D227" s="36">
        <v>5</v>
      </c>
      <c r="E227" s="36" t="s">
        <v>1416</v>
      </c>
    </row>
    <row r="228" spans="1:5">
      <c r="A228" s="36">
        <v>227</v>
      </c>
      <c r="B228" s="36" t="s">
        <v>337</v>
      </c>
      <c r="C228" s="36">
        <v>61</v>
      </c>
      <c r="D228" s="36">
        <v>9</v>
      </c>
      <c r="E228" s="36" t="s">
        <v>1416</v>
      </c>
    </row>
    <row r="229" spans="1:5">
      <c r="A229" s="36">
        <v>228</v>
      </c>
      <c r="B229" s="36" t="s">
        <v>346</v>
      </c>
      <c r="C229" s="36">
        <v>60</v>
      </c>
      <c r="D229" s="36">
        <v>9</v>
      </c>
      <c r="E229" s="36" t="s">
        <v>1416</v>
      </c>
    </row>
    <row r="230" spans="1:5">
      <c r="A230" s="36">
        <v>229</v>
      </c>
      <c r="B230" s="36" t="s">
        <v>344</v>
      </c>
      <c r="C230" s="36">
        <v>60</v>
      </c>
      <c r="D230" s="36">
        <v>3</v>
      </c>
      <c r="E230" s="36" t="s">
        <v>1416</v>
      </c>
    </row>
    <row r="231" spans="1:5">
      <c r="A231" s="36">
        <v>230</v>
      </c>
      <c r="B231" s="36" t="s">
        <v>347</v>
      </c>
      <c r="C231" s="36">
        <v>60</v>
      </c>
      <c r="D231" s="36">
        <v>9</v>
      </c>
      <c r="E231" s="36" t="s">
        <v>1413</v>
      </c>
    </row>
    <row r="232" spans="1:5">
      <c r="A232" s="36">
        <v>231</v>
      </c>
      <c r="B232" s="36" t="s">
        <v>342</v>
      </c>
      <c r="C232" s="36">
        <v>60</v>
      </c>
      <c r="D232" s="36">
        <v>7</v>
      </c>
      <c r="E232" s="36" t="s">
        <v>1416</v>
      </c>
    </row>
    <row r="233" spans="1:5">
      <c r="A233" s="36">
        <v>232</v>
      </c>
      <c r="B233" s="36" t="s">
        <v>343</v>
      </c>
      <c r="C233" s="36">
        <v>60</v>
      </c>
      <c r="D233" s="36">
        <v>3</v>
      </c>
      <c r="E233" s="36" t="s">
        <v>1413</v>
      </c>
    </row>
    <row r="234" spans="1:5">
      <c r="A234" s="36">
        <v>233</v>
      </c>
      <c r="B234" s="36" t="s">
        <v>345</v>
      </c>
      <c r="C234" s="36">
        <v>60</v>
      </c>
      <c r="D234" s="36">
        <v>6</v>
      </c>
      <c r="E234" s="36" t="s">
        <v>1416</v>
      </c>
    </row>
    <row r="235" spans="1:5">
      <c r="A235" s="36">
        <v>234</v>
      </c>
      <c r="B235" s="36" t="s">
        <v>348</v>
      </c>
      <c r="C235" s="36">
        <v>59</v>
      </c>
      <c r="D235" s="36">
        <v>7</v>
      </c>
      <c r="E235" s="36" t="s">
        <v>1416</v>
      </c>
    </row>
    <row r="236" spans="1:5">
      <c r="A236" s="36">
        <v>235</v>
      </c>
      <c r="B236" s="36" t="s">
        <v>349</v>
      </c>
      <c r="C236" s="36">
        <v>59</v>
      </c>
      <c r="D236" s="36">
        <v>2</v>
      </c>
      <c r="E236" s="36" t="s">
        <v>1413</v>
      </c>
    </row>
    <row r="237" spans="1:5">
      <c r="A237" s="36">
        <v>236</v>
      </c>
      <c r="B237" s="36" t="s">
        <v>352</v>
      </c>
      <c r="C237" s="36">
        <v>58</v>
      </c>
      <c r="D237" s="36">
        <v>10</v>
      </c>
      <c r="E237" s="36" t="s">
        <v>1416</v>
      </c>
    </row>
    <row r="238" spans="1:5">
      <c r="A238" s="36">
        <v>237</v>
      </c>
      <c r="B238" s="36" t="s">
        <v>353</v>
      </c>
      <c r="C238" s="36">
        <v>58</v>
      </c>
      <c r="D238" s="36">
        <v>9</v>
      </c>
      <c r="E238" s="36" t="s">
        <v>1416</v>
      </c>
    </row>
    <row r="239" spans="1:5">
      <c r="A239" s="36">
        <v>238</v>
      </c>
      <c r="B239" s="36" t="s">
        <v>354</v>
      </c>
      <c r="C239" s="36">
        <v>58</v>
      </c>
      <c r="D239" s="36">
        <v>11</v>
      </c>
      <c r="E239" s="36" t="s">
        <v>1413</v>
      </c>
    </row>
    <row r="240" spans="1:5">
      <c r="A240" s="36">
        <v>239</v>
      </c>
      <c r="B240" s="36" t="s">
        <v>355</v>
      </c>
      <c r="C240" s="36">
        <v>58</v>
      </c>
      <c r="D240" s="36">
        <v>4</v>
      </c>
      <c r="E240" s="36" t="s">
        <v>1413</v>
      </c>
    </row>
    <row r="241" spans="1:5">
      <c r="A241" s="36">
        <v>240</v>
      </c>
      <c r="B241" s="36" t="s">
        <v>350</v>
      </c>
      <c r="C241" s="36">
        <v>58</v>
      </c>
      <c r="D241" s="36">
        <v>12</v>
      </c>
      <c r="E241" s="36" t="s">
        <v>1416</v>
      </c>
    </row>
    <row r="242" spans="1:5">
      <c r="A242" s="36">
        <v>241</v>
      </c>
      <c r="B242" s="36" t="s">
        <v>351</v>
      </c>
      <c r="C242" s="36">
        <v>58</v>
      </c>
      <c r="D242" s="36">
        <v>4</v>
      </c>
      <c r="E242" s="36" t="s">
        <v>1413</v>
      </c>
    </row>
    <row r="243" spans="1:5">
      <c r="A243" s="36">
        <v>242</v>
      </c>
      <c r="B243" s="36" t="s">
        <v>358</v>
      </c>
      <c r="C243" s="36">
        <v>57</v>
      </c>
      <c r="D243" s="36">
        <v>10</v>
      </c>
      <c r="E243" s="36" t="s">
        <v>1413</v>
      </c>
    </row>
    <row r="244" spans="1:5">
      <c r="A244" s="36">
        <v>243</v>
      </c>
      <c r="B244" s="36" t="s">
        <v>359</v>
      </c>
      <c r="C244" s="36">
        <v>57</v>
      </c>
      <c r="D244" s="36">
        <v>8</v>
      </c>
      <c r="E244" s="36" t="s">
        <v>1413</v>
      </c>
    </row>
    <row r="245" spans="1:5">
      <c r="A245" s="36">
        <v>244</v>
      </c>
      <c r="B245" s="36" t="s">
        <v>360</v>
      </c>
      <c r="C245" s="36">
        <v>57</v>
      </c>
      <c r="D245" s="36">
        <v>12</v>
      </c>
      <c r="E245" s="36" t="s">
        <v>1413</v>
      </c>
    </row>
    <row r="246" spans="1:5">
      <c r="A246" s="36">
        <v>245</v>
      </c>
      <c r="B246" s="36" t="s">
        <v>357</v>
      </c>
      <c r="C246" s="36">
        <v>57</v>
      </c>
      <c r="D246" s="36">
        <v>1</v>
      </c>
      <c r="E246" s="36" t="s">
        <v>1413</v>
      </c>
    </row>
    <row r="247" spans="1:5">
      <c r="A247" s="36">
        <v>246</v>
      </c>
      <c r="B247" s="36" t="s">
        <v>356</v>
      </c>
      <c r="C247" s="36">
        <v>57</v>
      </c>
      <c r="D247" s="36">
        <v>9</v>
      </c>
      <c r="E247" s="36" t="s">
        <v>1413</v>
      </c>
    </row>
    <row r="248" spans="1:5">
      <c r="A248" s="36">
        <v>247</v>
      </c>
      <c r="B248" s="36" t="s">
        <v>369</v>
      </c>
      <c r="C248" s="36">
        <v>56</v>
      </c>
      <c r="D248" s="36">
        <v>4</v>
      </c>
      <c r="E248" s="36" t="s">
        <v>1413</v>
      </c>
    </row>
    <row r="249" spans="1:5">
      <c r="A249" s="36">
        <v>248</v>
      </c>
      <c r="B249" s="36" t="s">
        <v>361</v>
      </c>
      <c r="C249" s="36">
        <v>56</v>
      </c>
      <c r="D249" s="36">
        <v>12</v>
      </c>
      <c r="E249" s="36" t="s">
        <v>1413</v>
      </c>
    </row>
    <row r="250" spans="1:5">
      <c r="A250" s="36">
        <v>249</v>
      </c>
      <c r="B250" s="36" t="s">
        <v>370</v>
      </c>
      <c r="C250" s="36">
        <v>56</v>
      </c>
      <c r="D250" s="36">
        <v>12</v>
      </c>
      <c r="E250" s="36" t="s">
        <v>1413</v>
      </c>
    </row>
    <row r="251" spans="1:5">
      <c r="A251" s="36">
        <v>250</v>
      </c>
      <c r="B251" s="36" t="s">
        <v>371</v>
      </c>
      <c r="C251" s="36">
        <v>56</v>
      </c>
      <c r="D251" s="36">
        <v>9</v>
      </c>
      <c r="E251" s="36" t="s">
        <v>1413</v>
      </c>
    </row>
    <row r="252" spans="1:5">
      <c r="A252" s="36">
        <v>251</v>
      </c>
      <c r="B252" s="36" t="s">
        <v>362</v>
      </c>
      <c r="C252" s="36">
        <v>56</v>
      </c>
      <c r="D252" s="36">
        <v>6</v>
      </c>
      <c r="E252" s="36" t="s">
        <v>1416</v>
      </c>
    </row>
    <row r="253" spans="1:5">
      <c r="A253" s="36">
        <v>252</v>
      </c>
      <c r="B253" s="36" t="s">
        <v>363</v>
      </c>
      <c r="C253" s="36">
        <v>56</v>
      </c>
      <c r="D253" s="36">
        <v>6</v>
      </c>
      <c r="E253" s="36" t="s">
        <v>1416</v>
      </c>
    </row>
    <row r="254" spans="1:5">
      <c r="A254" s="36">
        <v>253</v>
      </c>
      <c r="B254" s="36" t="s">
        <v>364</v>
      </c>
      <c r="C254" s="36">
        <v>56</v>
      </c>
      <c r="D254" s="36">
        <v>12</v>
      </c>
      <c r="E254" s="36" t="s">
        <v>1416</v>
      </c>
    </row>
    <row r="255" spans="1:5">
      <c r="A255" s="36">
        <v>254</v>
      </c>
      <c r="B255" s="36" t="s">
        <v>365</v>
      </c>
      <c r="C255" s="36">
        <v>56</v>
      </c>
      <c r="D255" s="36">
        <v>8</v>
      </c>
      <c r="E255" s="36" t="s">
        <v>1413</v>
      </c>
    </row>
    <row r="256" spans="1:5">
      <c r="A256" s="36">
        <v>255</v>
      </c>
      <c r="B256" s="36" t="s">
        <v>366</v>
      </c>
      <c r="C256" s="36">
        <v>56</v>
      </c>
      <c r="D256" s="36">
        <v>12</v>
      </c>
      <c r="E256" s="36" t="s">
        <v>1413</v>
      </c>
    </row>
    <row r="257" spans="1:5">
      <c r="A257" s="36">
        <v>256</v>
      </c>
      <c r="B257" s="36" t="s">
        <v>367</v>
      </c>
      <c r="C257" s="36">
        <v>56</v>
      </c>
      <c r="D257" s="36">
        <v>5</v>
      </c>
      <c r="E257" s="36" t="s">
        <v>1413</v>
      </c>
    </row>
    <row r="258" spans="1:5">
      <c r="A258" s="36">
        <v>257</v>
      </c>
      <c r="B258" s="36" t="s">
        <v>376</v>
      </c>
      <c r="C258" s="36">
        <v>55</v>
      </c>
      <c r="D258" s="36">
        <v>1</v>
      </c>
      <c r="E258" s="36" t="s">
        <v>1416</v>
      </c>
    </row>
    <row r="259" spans="1:5">
      <c r="A259" s="36">
        <v>258</v>
      </c>
      <c r="B259" s="36" t="s">
        <v>382</v>
      </c>
      <c r="C259" s="36">
        <v>55</v>
      </c>
      <c r="D259" s="36">
        <v>2</v>
      </c>
      <c r="E259" s="36" t="s">
        <v>1416</v>
      </c>
    </row>
    <row r="260" spans="1:5">
      <c r="A260" s="36">
        <v>259</v>
      </c>
      <c r="B260" s="36" t="s">
        <v>377</v>
      </c>
      <c r="C260" s="36">
        <v>55</v>
      </c>
      <c r="D260" s="36">
        <v>10</v>
      </c>
      <c r="E260" s="36" t="s">
        <v>1413</v>
      </c>
    </row>
    <row r="261" spans="1:5">
      <c r="A261" s="36">
        <v>260</v>
      </c>
      <c r="B261" s="36" t="s">
        <v>378</v>
      </c>
      <c r="C261" s="36">
        <v>55</v>
      </c>
      <c r="D261" s="36">
        <v>3</v>
      </c>
      <c r="E261" s="36" t="s">
        <v>1413</v>
      </c>
    </row>
    <row r="262" spans="1:5">
      <c r="A262" s="36">
        <v>261</v>
      </c>
      <c r="B262" s="36" t="s">
        <v>379</v>
      </c>
      <c r="C262" s="36">
        <v>55</v>
      </c>
      <c r="D262" s="36">
        <v>9</v>
      </c>
      <c r="E262" s="36" t="s">
        <v>1413</v>
      </c>
    </row>
    <row r="263" spans="1:5">
      <c r="A263" s="36">
        <v>262</v>
      </c>
      <c r="B263" s="36" t="s">
        <v>380</v>
      </c>
      <c r="C263" s="36">
        <v>55</v>
      </c>
      <c r="D263" s="36">
        <v>12</v>
      </c>
      <c r="E263" s="36" t="s">
        <v>1416</v>
      </c>
    </row>
    <row r="264" spans="1:5">
      <c r="A264" s="36">
        <v>263</v>
      </c>
      <c r="B264" s="36" t="s">
        <v>375</v>
      </c>
      <c r="C264" s="36">
        <v>55</v>
      </c>
      <c r="D264" s="36">
        <v>12</v>
      </c>
      <c r="E264" s="36" t="s">
        <v>1413</v>
      </c>
    </row>
    <row r="265" spans="1:5">
      <c r="A265" s="36">
        <v>264</v>
      </c>
      <c r="B265" s="36" t="s">
        <v>387</v>
      </c>
      <c r="C265" s="36">
        <v>54</v>
      </c>
      <c r="D265" s="36">
        <v>12</v>
      </c>
      <c r="E265" s="36" t="s">
        <v>1416</v>
      </c>
    </row>
    <row r="266" spans="1:5">
      <c r="A266" s="36">
        <v>265</v>
      </c>
      <c r="B266" s="36" t="s">
        <v>388</v>
      </c>
      <c r="C266" s="36">
        <v>54</v>
      </c>
      <c r="D266" s="36">
        <v>2</v>
      </c>
      <c r="E266" s="36" t="s">
        <v>1416</v>
      </c>
    </row>
    <row r="267" spans="1:5">
      <c r="A267" s="36">
        <v>266</v>
      </c>
      <c r="B267" s="36" t="s">
        <v>384</v>
      </c>
      <c r="C267" s="36">
        <v>54</v>
      </c>
      <c r="D267" s="36">
        <v>9</v>
      </c>
      <c r="E267" s="36" t="s">
        <v>1413</v>
      </c>
    </row>
    <row r="268" spans="1:5">
      <c r="A268" s="36">
        <v>267</v>
      </c>
      <c r="B268" s="36" t="s">
        <v>385</v>
      </c>
      <c r="C268" s="36">
        <v>54</v>
      </c>
      <c r="D268" s="36">
        <v>12</v>
      </c>
      <c r="E268" s="36" t="s">
        <v>1413</v>
      </c>
    </row>
    <row r="269" spans="1:5">
      <c r="A269" s="36">
        <v>268</v>
      </c>
      <c r="B269" s="36" t="s">
        <v>386</v>
      </c>
      <c r="C269" s="36">
        <v>54</v>
      </c>
      <c r="D269" s="36">
        <v>4</v>
      </c>
      <c r="E269" s="36" t="s">
        <v>1416</v>
      </c>
    </row>
    <row r="270" spans="1:5">
      <c r="A270" s="36">
        <v>269</v>
      </c>
      <c r="B270" s="36" t="s">
        <v>389</v>
      </c>
      <c r="C270" s="36">
        <v>53</v>
      </c>
      <c r="D270" s="36">
        <v>10</v>
      </c>
      <c r="E270" s="36" t="s">
        <v>1416</v>
      </c>
    </row>
    <row r="271" spans="1:5">
      <c r="A271" s="36">
        <v>270</v>
      </c>
      <c r="B271" s="36" t="s">
        <v>390</v>
      </c>
      <c r="C271" s="36">
        <v>53</v>
      </c>
      <c r="D271" s="36">
        <v>5</v>
      </c>
      <c r="E271" s="36" t="s">
        <v>1416</v>
      </c>
    </row>
    <row r="272" spans="1:5">
      <c r="A272" s="36">
        <v>271</v>
      </c>
      <c r="B272" s="36" t="s">
        <v>391</v>
      </c>
      <c r="C272" s="36">
        <v>53</v>
      </c>
      <c r="D272" s="36">
        <v>6</v>
      </c>
      <c r="E272" s="36" t="s">
        <v>1413</v>
      </c>
    </row>
    <row r="273" spans="1:5">
      <c r="A273" s="36">
        <v>272</v>
      </c>
      <c r="B273" s="36" t="s">
        <v>392</v>
      </c>
      <c r="C273" s="36">
        <v>52</v>
      </c>
      <c r="D273" s="36">
        <v>9</v>
      </c>
      <c r="E273" s="36" t="s">
        <v>1416</v>
      </c>
    </row>
    <row r="274" spans="1:5">
      <c r="A274" s="36">
        <v>273</v>
      </c>
      <c r="B274" s="36" t="s">
        <v>393</v>
      </c>
      <c r="C274" s="36">
        <v>52</v>
      </c>
      <c r="D274" s="36">
        <v>6</v>
      </c>
      <c r="E274" s="36" t="s">
        <v>1416</v>
      </c>
    </row>
    <row r="275" spans="1:5">
      <c r="A275" s="36">
        <v>274</v>
      </c>
      <c r="B275" s="36" t="s">
        <v>394</v>
      </c>
      <c r="C275" s="36">
        <v>52</v>
      </c>
      <c r="D275" s="36">
        <v>1</v>
      </c>
      <c r="E275" s="36" t="s">
        <v>1416</v>
      </c>
    </row>
    <row r="276" spans="1:5">
      <c r="A276" s="36">
        <v>275</v>
      </c>
      <c r="B276" s="36" t="s">
        <v>400</v>
      </c>
      <c r="C276" s="36">
        <v>51</v>
      </c>
      <c r="D276" s="36">
        <v>2</v>
      </c>
      <c r="E276" s="36" t="s">
        <v>1419</v>
      </c>
    </row>
    <row r="277" spans="1:5">
      <c r="A277" s="36">
        <v>276</v>
      </c>
      <c r="B277" s="36" t="s">
        <v>401</v>
      </c>
      <c r="C277" s="36">
        <v>51</v>
      </c>
      <c r="D277" s="36">
        <v>12</v>
      </c>
      <c r="E277" s="36" t="s">
        <v>1416</v>
      </c>
    </row>
    <row r="278" spans="1:5">
      <c r="A278" s="36">
        <v>277</v>
      </c>
      <c r="B278" s="36" t="s">
        <v>402</v>
      </c>
      <c r="C278" s="36">
        <v>51</v>
      </c>
      <c r="D278" s="36">
        <v>7</v>
      </c>
      <c r="E278" s="36" t="s">
        <v>1413</v>
      </c>
    </row>
    <row r="279" spans="1:5">
      <c r="A279" s="36">
        <v>278</v>
      </c>
      <c r="B279" s="36" t="s">
        <v>406</v>
      </c>
      <c r="C279" s="36">
        <v>51</v>
      </c>
      <c r="D279" s="36">
        <v>12</v>
      </c>
      <c r="E279" s="36" t="s">
        <v>1416</v>
      </c>
    </row>
    <row r="280" spans="1:5">
      <c r="A280" s="36">
        <v>279</v>
      </c>
      <c r="B280" s="36" t="s">
        <v>403</v>
      </c>
      <c r="C280" s="36">
        <v>51</v>
      </c>
      <c r="D280" s="36">
        <v>6</v>
      </c>
      <c r="E280" s="36" t="s">
        <v>1413</v>
      </c>
    </row>
    <row r="281" spans="1:5">
      <c r="A281" s="36">
        <v>280</v>
      </c>
      <c r="B281" s="36" t="s">
        <v>395</v>
      </c>
      <c r="C281" s="36">
        <v>51</v>
      </c>
      <c r="D281" s="36">
        <v>3</v>
      </c>
      <c r="E281" s="36" t="s">
        <v>1413</v>
      </c>
    </row>
    <row r="282" spans="1:5">
      <c r="A282" s="36">
        <v>281</v>
      </c>
      <c r="B282" s="36" t="s">
        <v>404</v>
      </c>
      <c r="C282" s="36">
        <v>51</v>
      </c>
      <c r="D282" s="36">
        <v>10</v>
      </c>
      <c r="E282" s="36" t="s">
        <v>1413</v>
      </c>
    </row>
    <row r="283" spans="1:5">
      <c r="A283" s="36">
        <v>282</v>
      </c>
      <c r="B283" s="36" t="s">
        <v>405</v>
      </c>
      <c r="C283" s="36">
        <v>51</v>
      </c>
      <c r="D283" s="36">
        <v>12</v>
      </c>
      <c r="E283" s="36" t="s">
        <v>1416</v>
      </c>
    </row>
    <row r="284" spans="1:5">
      <c r="A284" s="36">
        <v>283</v>
      </c>
      <c r="B284" s="36" t="s">
        <v>396</v>
      </c>
      <c r="C284" s="36">
        <v>51</v>
      </c>
      <c r="D284" s="36">
        <v>12</v>
      </c>
      <c r="E284" s="36" t="s">
        <v>1416</v>
      </c>
    </row>
    <row r="285" spans="1:5">
      <c r="A285" s="36">
        <v>284</v>
      </c>
      <c r="B285" s="36" t="s">
        <v>397</v>
      </c>
      <c r="C285" s="36">
        <v>51</v>
      </c>
      <c r="D285" s="36">
        <v>1</v>
      </c>
      <c r="E285" s="36" t="s">
        <v>1416</v>
      </c>
    </row>
    <row r="286" spans="1:5">
      <c r="A286" s="36">
        <v>285</v>
      </c>
      <c r="B286" s="36" t="s">
        <v>398</v>
      </c>
      <c r="C286" s="36">
        <v>51</v>
      </c>
      <c r="D286" s="36">
        <v>12</v>
      </c>
      <c r="E286" s="36" t="s">
        <v>1413</v>
      </c>
    </row>
    <row r="287" spans="1:5">
      <c r="A287" s="36">
        <v>286</v>
      </c>
      <c r="B287" s="36" t="s">
        <v>414</v>
      </c>
      <c r="C287" s="36">
        <v>50</v>
      </c>
      <c r="D287" s="36">
        <v>6</v>
      </c>
      <c r="E287" s="36" t="s">
        <v>1416</v>
      </c>
    </row>
    <row r="288" spans="1:5">
      <c r="A288" s="36">
        <v>287</v>
      </c>
      <c r="B288" s="36" t="s">
        <v>415</v>
      </c>
      <c r="C288" s="36">
        <v>50</v>
      </c>
      <c r="D288" s="36">
        <v>12</v>
      </c>
      <c r="E288" s="36" t="s">
        <v>1416</v>
      </c>
    </row>
    <row r="289" spans="1:5">
      <c r="A289" s="36">
        <v>288</v>
      </c>
      <c r="B289" s="36" t="s">
        <v>412</v>
      </c>
      <c r="C289" s="36">
        <v>50</v>
      </c>
      <c r="D289" s="36">
        <v>1</v>
      </c>
      <c r="E289" s="36" t="s">
        <v>1413</v>
      </c>
    </row>
    <row r="290" spans="1:5">
      <c r="A290" s="36">
        <v>289</v>
      </c>
      <c r="B290" s="36" t="s">
        <v>409</v>
      </c>
      <c r="C290" s="36">
        <v>50</v>
      </c>
      <c r="D290" s="36">
        <v>4</v>
      </c>
      <c r="E290" s="36" t="s">
        <v>1416</v>
      </c>
    </row>
    <row r="291" spans="1:5">
      <c r="A291" s="36">
        <v>290</v>
      </c>
      <c r="B291" s="36" t="s">
        <v>410</v>
      </c>
      <c r="C291" s="36">
        <v>50</v>
      </c>
      <c r="D291" s="36">
        <v>10</v>
      </c>
      <c r="E291" s="36" t="s">
        <v>1413</v>
      </c>
    </row>
    <row r="292" spans="1:5">
      <c r="A292" s="36">
        <v>291</v>
      </c>
      <c r="B292" s="36" t="s">
        <v>417</v>
      </c>
      <c r="C292" s="36">
        <v>49</v>
      </c>
      <c r="D292" s="36">
        <v>5</v>
      </c>
      <c r="E292" s="36" t="s">
        <v>1416</v>
      </c>
    </row>
    <row r="293" spans="1:5">
      <c r="A293" s="36">
        <v>292</v>
      </c>
      <c r="B293" s="36" t="s">
        <v>418</v>
      </c>
      <c r="C293" s="36">
        <v>49</v>
      </c>
      <c r="D293" s="36">
        <v>1</v>
      </c>
      <c r="E293" s="36" t="s">
        <v>1416</v>
      </c>
    </row>
    <row r="294" spans="1:5">
      <c r="A294" s="36">
        <v>293</v>
      </c>
      <c r="B294" s="36" t="s">
        <v>419</v>
      </c>
      <c r="C294" s="36">
        <v>49</v>
      </c>
      <c r="D294" s="36">
        <v>5</v>
      </c>
      <c r="E294" s="36" t="s">
        <v>1416</v>
      </c>
    </row>
    <row r="295" spans="1:5">
      <c r="A295" s="36">
        <v>294</v>
      </c>
      <c r="B295" s="36" t="s">
        <v>420</v>
      </c>
      <c r="C295" s="36">
        <v>49</v>
      </c>
      <c r="D295" s="36">
        <v>5</v>
      </c>
      <c r="E295" s="36" t="s">
        <v>1416</v>
      </c>
    </row>
    <row r="296" spans="1:5">
      <c r="A296" s="36">
        <v>295</v>
      </c>
      <c r="B296" s="36" t="s">
        <v>430</v>
      </c>
      <c r="C296" s="36">
        <v>48</v>
      </c>
      <c r="D296" s="36">
        <v>3</v>
      </c>
      <c r="E296" s="36" t="s">
        <v>1416</v>
      </c>
    </row>
    <row r="297" spans="1:5">
      <c r="A297" s="36">
        <v>296</v>
      </c>
      <c r="B297" s="36" t="s">
        <v>431</v>
      </c>
      <c r="C297" s="36">
        <v>48</v>
      </c>
      <c r="D297" s="36">
        <v>3</v>
      </c>
      <c r="E297" s="36" t="s">
        <v>1416</v>
      </c>
    </row>
    <row r="298" spans="1:5">
      <c r="A298" s="36">
        <v>297</v>
      </c>
      <c r="B298" s="36" t="s">
        <v>432</v>
      </c>
      <c r="C298" s="36">
        <v>48</v>
      </c>
      <c r="D298" s="36">
        <v>1</v>
      </c>
      <c r="E298" s="36" t="s">
        <v>1416</v>
      </c>
    </row>
    <row r="299" spans="1:5">
      <c r="A299" s="36">
        <v>298</v>
      </c>
      <c r="B299" s="36" t="s">
        <v>423</v>
      </c>
      <c r="C299" s="36">
        <v>48</v>
      </c>
      <c r="D299" s="36">
        <v>2</v>
      </c>
      <c r="E299" s="36" t="s">
        <v>1416</v>
      </c>
    </row>
    <row r="300" spans="1:5">
      <c r="A300" s="36">
        <v>299</v>
      </c>
      <c r="B300" s="36" t="s">
        <v>424</v>
      </c>
      <c r="C300" s="36">
        <v>48</v>
      </c>
      <c r="D300" s="36">
        <v>1</v>
      </c>
      <c r="E300" s="36" t="s">
        <v>1416</v>
      </c>
    </row>
    <row r="301" spans="1:5">
      <c r="A301" s="36">
        <v>300</v>
      </c>
      <c r="B301" s="36" t="s">
        <v>425</v>
      </c>
      <c r="C301" s="36">
        <v>48</v>
      </c>
      <c r="D301" s="36">
        <v>12</v>
      </c>
      <c r="E301" s="36" t="s">
        <v>1416</v>
      </c>
    </row>
    <row r="302" spans="1:5">
      <c r="A302" s="36">
        <v>301</v>
      </c>
      <c r="B302" s="36" t="s">
        <v>426</v>
      </c>
      <c r="C302" s="36">
        <v>48</v>
      </c>
      <c r="D302" s="36">
        <v>6</v>
      </c>
      <c r="E302" s="36" t="s">
        <v>1416</v>
      </c>
    </row>
    <row r="303" spans="1:5">
      <c r="A303" s="36">
        <v>302</v>
      </c>
      <c r="B303" s="36" t="s">
        <v>427</v>
      </c>
      <c r="C303" s="36">
        <v>48</v>
      </c>
      <c r="D303" s="36">
        <v>10</v>
      </c>
      <c r="E303" s="36" t="s">
        <v>1416</v>
      </c>
    </row>
    <row r="304" spans="1:5">
      <c r="A304" s="36">
        <v>303</v>
      </c>
      <c r="B304" s="36" t="s">
        <v>429</v>
      </c>
      <c r="C304" s="36">
        <v>48</v>
      </c>
      <c r="D304" s="36">
        <v>7</v>
      </c>
      <c r="E304" s="36" t="s">
        <v>1416</v>
      </c>
    </row>
    <row r="305" spans="1:5">
      <c r="A305" s="36">
        <v>304</v>
      </c>
      <c r="B305" s="36" t="s">
        <v>433</v>
      </c>
      <c r="C305" s="36">
        <v>47</v>
      </c>
      <c r="D305" s="36">
        <v>11</v>
      </c>
      <c r="E305" s="36" t="s">
        <v>1413</v>
      </c>
    </row>
    <row r="306" spans="1:5">
      <c r="A306" s="36">
        <v>305</v>
      </c>
      <c r="B306" s="36" t="s">
        <v>434</v>
      </c>
      <c r="C306" s="36">
        <v>47</v>
      </c>
      <c r="D306" s="36">
        <v>6</v>
      </c>
      <c r="E306" s="36" t="s">
        <v>1416</v>
      </c>
    </row>
    <row r="307" spans="1:5">
      <c r="A307" s="36">
        <v>306</v>
      </c>
      <c r="B307" s="36" t="s">
        <v>435</v>
      </c>
      <c r="C307" s="36">
        <v>47</v>
      </c>
      <c r="D307" s="36">
        <v>12</v>
      </c>
      <c r="E307" s="36" t="s">
        <v>1413</v>
      </c>
    </row>
    <row r="308" spans="1:5">
      <c r="A308" s="36">
        <v>307</v>
      </c>
      <c r="B308" s="36" t="s">
        <v>436</v>
      </c>
      <c r="C308" s="36">
        <v>47</v>
      </c>
      <c r="D308" s="36">
        <v>9</v>
      </c>
      <c r="E308" s="36" t="s">
        <v>1413</v>
      </c>
    </row>
    <row r="309" spans="1:5">
      <c r="A309" s="36">
        <v>308</v>
      </c>
      <c r="B309" s="36" t="s">
        <v>437</v>
      </c>
      <c r="C309" s="36">
        <v>47</v>
      </c>
      <c r="D309" s="36">
        <v>6</v>
      </c>
      <c r="E309" s="36" t="s">
        <v>1416</v>
      </c>
    </row>
    <row r="310" spans="1:5">
      <c r="A310" s="36">
        <v>309</v>
      </c>
      <c r="B310" s="36" t="s">
        <v>438</v>
      </c>
      <c r="C310" s="36">
        <v>47</v>
      </c>
      <c r="D310" s="36">
        <v>10</v>
      </c>
      <c r="E310" s="36" t="s">
        <v>1413</v>
      </c>
    </row>
    <row r="311" spans="1:5">
      <c r="A311" s="36">
        <v>310</v>
      </c>
      <c r="B311" s="36" t="s">
        <v>439</v>
      </c>
      <c r="C311" s="36">
        <v>47</v>
      </c>
      <c r="D311" s="36">
        <v>9</v>
      </c>
      <c r="E311" s="36" t="s">
        <v>1416</v>
      </c>
    </row>
    <row r="312" spans="1:5">
      <c r="A312" s="36">
        <v>311</v>
      </c>
      <c r="B312" s="36" t="s">
        <v>449</v>
      </c>
      <c r="C312" s="36">
        <v>46</v>
      </c>
      <c r="D312" s="36">
        <v>13</v>
      </c>
      <c r="E312" s="36" t="s">
        <v>1416</v>
      </c>
    </row>
    <row r="313" spans="1:5">
      <c r="A313" s="36">
        <v>312</v>
      </c>
      <c r="B313" s="36" t="s">
        <v>450</v>
      </c>
      <c r="C313" s="36">
        <v>46</v>
      </c>
      <c r="D313" s="36">
        <v>6</v>
      </c>
      <c r="E313" s="36" t="s">
        <v>1413</v>
      </c>
    </row>
    <row r="314" spans="1:5">
      <c r="A314" s="36">
        <v>313</v>
      </c>
      <c r="B314" s="36" t="s">
        <v>447</v>
      </c>
      <c r="C314" s="36">
        <v>46</v>
      </c>
      <c r="D314" s="36">
        <v>10</v>
      </c>
      <c r="E314" s="36" t="s">
        <v>1416</v>
      </c>
    </row>
    <row r="315" spans="1:5">
      <c r="A315" s="36">
        <v>314</v>
      </c>
      <c r="B315" s="36" t="s">
        <v>451</v>
      </c>
      <c r="C315" s="36">
        <v>46</v>
      </c>
      <c r="D315" s="36">
        <v>1</v>
      </c>
      <c r="E315" s="36" t="s">
        <v>1416</v>
      </c>
    </row>
    <row r="316" spans="1:5">
      <c r="A316" s="36">
        <v>315</v>
      </c>
      <c r="B316" s="36" t="s">
        <v>452</v>
      </c>
      <c r="C316" s="36">
        <v>46</v>
      </c>
      <c r="D316" s="36">
        <v>5</v>
      </c>
      <c r="E316" s="36" t="s">
        <v>1416</v>
      </c>
    </row>
    <row r="317" spans="1:5">
      <c r="A317" s="36">
        <v>316</v>
      </c>
      <c r="B317" s="36" t="s">
        <v>441</v>
      </c>
      <c r="C317" s="36">
        <v>46</v>
      </c>
      <c r="D317" s="36">
        <v>8</v>
      </c>
      <c r="E317" s="36" t="s">
        <v>1416</v>
      </c>
    </row>
    <row r="318" spans="1:5">
      <c r="A318" s="36">
        <v>317</v>
      </c>
      <c r="B318" s="36" t="s">
        <v>442</v>
      </c>
      <c r="C318" s="36">
        <v>46</v>
      </c>
      <c r="D318" s="36">
        <v>7</v>
      </c>
      <c r="E318" s="36" t="s">
        <v>1419</v>
      </c>
    </row>
    <row r="319" spans="1:5">
      <c r="A319" s="36">
        <v>318</v>
      </c>
      <c r="B319" s="36" t="s">
        <v>443</v>
      </c>
      <c r="C319" s="36">
        <v>46</v>
      </c>
      <c r="D319" s="36">
        <v>1</v>
      </c>
      <c r="E319" s="36" t="s">
        <v>1416</v>
      </c>
    </row>
    <row r="320" spans="1:5">
      <c r="A320" s="36">
        <v>319</v>
      </c>
      <c r="B320" s="36" t="s">
        <v>444</v>
      </c>
      <c r="C320" s="36">
        <v>46</v>
      </c>
      <c r="D320" s="36">
        <v>9</v>
      </c>
      <c r="E320" s="36" t="s">
        <v>1413</v>
      </c>
    </row>
    <row r="321" spans="1:5">
      <c r="A321" s="36">
        <v>320</v>
      </c>
      <c r="B321" s="36" t="s">
        <v>445</v>
      </c>
      <c r="C321" s="36">
        <v>46</v>
      </c>
      <c r="D321" s="36">
        <v>2</v>
      </c>
      <c r="E321" s="36" t="s">
        <v>1416</v>
      </c>
    </row>
    <row r="322" spans="1:5">
      <c r="A322" s="36">
        <v>321</v>
      </c>
      <c r="B322" s="36" t="s">
        <v>446</v>
      </c>
      <c r="C322" s="36">
        <v>46</v>
      </c>
      <c r="D322" s="36">
        <v>12</v>
      </c>
      <c r="E322" s="36" t="s">
        <v>1416</v>
      </c>
    </row>
    <row r="323" spans="1:5">
      <c r="A323" s="36">
        <v>322</v>
      </c>
      <c r="B323" s="36" t="s">
        <v>461</v>
      </c>
      <c r="C323" s="36">
        <v>45</v>
      </c>
      <c r="D323" s="36">
        <v>11</v>
      </c>
      <c r="E323" s="36" t="s">
        <v>1413</v>
      </c>
    </row>
    <row r="324" spans="1:5">
      <c r="A324" s="36">
        <v>323</v>
      </c>
      <c r="B324" s="36" t="s">
        <v>462</v>
      </c>
      <c r="C324" s="36">
        <v>45</v>
      </c>
      <c r="D324" s="36">
        <v>9</v>
      </c>
      <c r="E324" s="36" t="s">
        <v>1416</v>
      </c>
    </row>
    <row r="325" spans="1:5">
      <c r="A325" s="36">
        <v>324</v>
      </c>
      <c r="B325" s="36" t="s">
        <v>460</v>
      </c>
      <c r="C325" s="36">
        <v>45</v>
      </c>
      <c r="D325" s="36">
        <v>5</v>
      </c>
      <c r="E325" s="36" t="s">
        <v>1416</v>
      </c>
    </row>
    <row r="326" spans="1:5">
      <c r="A326" s="36">
        <v>325</v>
      </c>
      <c r="B326" s="36" t="s">
        <v>455</v>
      </c>
      <c r="C326" s="36">
        <v>45</v>
      </c>
      <c r="D326" s="36">
        <v>1</v>
      </c>
      <c r="E326" s="36" t="s">
        <v>1416</v>
      </c>
    </row>
    <row r="327" spans="1:5">
      <c r="A327" s="36">
        <v>326</v>
      </c>
      <c r="B327" s="36" t="s">
        <v>456</v>
      </c>
      <c r="C327" s="36">
        <v>45</v>
      </c>
      <c r="D327" s="36">
        <v>9</v>
      </c>
      <c r="E327" s="36" t="s">
        <v>1416</v>
      </c>
    </row>
    <row r="328" spans="1:5">
      <c r="A328" s="36">
        <v>327</v>
      </c>
      <c r="B328" s="36" t="s">
        <v>457</v>
      </c>
      <c r="C328" s="36">
        <v>45</v>
      </c>
      <c r="D328" s="36">
        <v>12</v>
      </c>
      <c r="E328" s="36" t="s">
        <v>1413</v>
      </c>
    </row>
    <row r="329" spans="1:5">
      <c r="A329" s="36">
        <v>328</v>
      </c>
      <c r="B329" s="36" t="s">
        <v>458</v>
      </c>
      <c r="C329" s="36">
        <v>45</v>
      </c>
      <c r="D329" s="36">
        <v>10</v>
      </c>
      <c r="E329" s="36" t="s">
        <v>1413</v>
      </c>
    </row>
    <row r="330" spans="1:5">
      <c r="A330" s="36">
        <v>329</v>
      </c>
      <c r="B330" s="36" t="s">
        <v>459</v>
      </c>
      <c r="C330" s="36">
        <v>45</v>
      </c>
      <c r="D330" s="36">
        <v>5</v>
      </c>
      <c r="E330" s="36" t="s">
        <v>1416</v>
      </c>
    </row>
    <row r="331" spans="1:5">
      <c r="A331" s="36">
        <v>330</v>
      </c>
      <c r="B331" s="36" t="s">
        <v>468</v>
      </c>
      <c r="C331" s="36">
        <v>44</v>
      </c>
      <c r="D331" s="36">
        <v>6</v>
      </c>
      <c r="E331" s="36" t="s">
        <v>1416</v>
      </c>
    </row>
    <row r="332" spans="1:5">
      <c r="A332" s="36">
        <v>331</v>
      </c>
      <c r="B332" s="36" t="s">
        <v>469</v>
      </c>
      <c r="C332" s="36">
        <v>44</v>
      </c>
      <c r="D332" s="36">
        <v>9</v>
      </c>
      <c r="E332" s="36" t="s">
        <v>1413</v>
      </c>
    </row>
    <row r="333" spans="1:5">
      <c r="A333" s="36">
        <v>332</v>
      </c>
      <c r="B333" s="36" t="s">
        <v>470</v>
      </c>
      <c r="C333" s="36">
        <v>44</v>
      </c>
      <c r="D333" s="36">
        <v>13</v>
      </c>
      <c r="E333" s="36" t="s">
        <v>1413</v>
      </c>
    </row>
    <row r="334" spans="1:5">
      <c r="A334" s="36">
        <v>333</v>
      </c>
      <c r="B334" s="36" t="s">
        <v>476</v>
      </c>
      <c r="C334" s="36">
        <v>44</v>
      </c>
      <c r="D334" s="36">
        <v>9</v>
      </c>
      <c r="E334" s="36" t="s">
        <v>1413</v>
      </c>
    </row>
    <row r="335" spans="1:5">
      <c r="A335" s="36">
        <v>334</v>
      </c>
      <c r="B335" s="36" t="s">
        <v>471</v>
      </c>
      <c r="C335" s="36">
        <v>44</v>
      </c>
      <c r="D335" s="36">
        <v>5</v>
      </c>
      <c r="E335" s="36" t="s">
        <v>1416</v>
      </c>
    </row>
    <row r="336" spans="1:5">
      <c r="A336" s="36">
        <v>335</v>
      </c>
      <c r="B336" s="36" t="s">
        <v>464</v>
      </c>
      <c r="C336" s="36">
        <v>44</v>
      </c>
      <c r="D336" s="36">
        <v>3</v>
      </c>
      <c r="E336" s="36" t="s">
        <v>1419</v>
      </c>
    </row>
    <row r="337" spans="1:5">
      <c r="A337" s="36">
        <v>336</v>
      </c>
      <c r="B337" s="36" t="s">
        <v>472</v>
      </c>
      <c r="C337" s="36">
        <v>44</v>
      </c>
      <c r="D337" s="36">
        <v>3</v>
      </c>
      <c r="E337" s="36" t="s">
        <v>1413</v>
      </c>
    </row>
    <row r="338" spans="1:5">
      <c r="A338" s="36">
        <v>337</v>
      </c>
      <c r="B338" s="36" t="s">
        <v>473</v>
      </c>
      <c r="C338" s="36">
        <v>44</v>
      </c>
      <c r="D338" s="36">
        <v>4</v>
      </c>
      <c r="E338" s="36" t="s">
        <v>1416</v>
      </c>
    </row>
    <row r="339" spans="1:5">
      <c r="A339" s="36">
        <v>338</v>
      </c>
      <c r="B339" s="36" t="s">
        <v>465</v>
      </c>
      <c r="C339" s="36">
        <v>44</v>
      </c>
      <c r="D339" s="36">
        <v>2</v>
      </c>
      <c r="E339" s="36" t="s">
        <v>1416</v>
      </c>
    </row>
    <row r="340" spans="1:5">
      <c r="A340" s="36">
        <v>339</v>
      </c>
      <c r="B340" s="36" t="s">
        <v>474</v>
      </c>
      <c r="C340" s="36">
        <v>44</v>
      </c>
      <c r="D340" s="36">
        <v>7</v>
      </c>
      <c r="E340" s="36" t="s">
        <v>1416</v>
      </c>
    </row>
    <row r="341" spans="1:5">
      <c r="A341" s="36">
        <v>340</v>
      </c>
      <c r="B341" s="36" t="s">
        <v>475</v>
      </c>
      <c r="C341" s="36">
        <v>44</v>
      </c>
      <c r="D341" s="36">
        <v>6</v>
      </c>
      <c r="E341" s="36" t="s">
        <v>1416</v>
      </c>
    </row>
    <row r="342" spans="1:5">
      <c r="A342" s="36">
        <v>341</v>
      </c>
      <c r="B342" s="36" t="s">
        <v>478</v>
      </c>
      <c r="C342" s="36">
        <v>43</v>
      </c>
      <c r="D342" s="36">
        <v>4</v>
      </c>
      <c r="E342" s="36" t="s">
        <v>1416</v>
      </c>
    </row>
    <row r="343" spans="1:5">
      <c r="A343" s="36">
        <v>342</v>
      </c>
      <c r="B343" s="36" t="s">
        <v>479</v>
      </c>
      <c r="C343" s="36">
        <v>43</v>
      </c>
      <c r="D343" s="36">
        <v>9</v>
      </c>
      <c r="E343" s="36" t="s">
        <v>1416</v>
      </c>
    </row>
    <row r="344" spans="1:5">
      <c r="A344" s="36">
        <v>343</v>
      </c>
      <c r="B344" s="36" t="s">
        <v>480</v>
      </c>
      <c r="C344" s="36">
        <v>43</v>
      </c>
      <c r="D344" s="36">
        <v>14</v>
      </c>
      <c r="E344" s="36" t="s">
        <v>1413</v>
      </c>
    </row>
    <row r="345" spans="1:5">
      <c r="A345" s="36">
        <v>344</v>
      </c>
      <c r="B345" s="36" t="s">
        <v>481</v>
      </c>
      <c r="C345" s="36">
        <v>43</v>
      </c>
      <c r="D345" s="36">
        <v>4</v>
      </c>
      <c r="E345" s="36" t="s">
        <v>1416</v>
      </c>
    </row>
    <row r="346" spans="1:5">
      <c r="A346" s="36">
        <v>345</v>
      </c>
      <c r="B346" s="36" t="s">
        <v>482</v>
      </c>
      <c r="C346" s="36">
        <v>43</v>
      </c>
      <c r="D346" s="36">
        <v>3</v>
      </c>
      <c r="E346" s="36" t="s">
        <v>1416</v>
      </c>
    </row>
    <row r="347" spans="1:5">
      <c r="A347" s="36">
        <v>346</v>
      </c>
      <c r="B347" s="36" t="s">
        <v>485</v>
      </c>
      <c r="C347" s="36">
        <v>42</v>
      </c>
      <c r="D347" s="36">
        <v>12</v>
      </c>
      <c r="E347" s="36" t="s">
        <v>1413</v>
      </c>
    </row>
    <row r="348" spans="1:5">
      <c r="A348" s="36">
        <v>347</v>
      </c>
      <c r="B348" s="36" t="s">
        <v>486</v>
      </c>
      <c r="C348" s="36">
        <v>42</v>
      </c>
      <c r="D348" s="36">
        <v>7</v>
      </c>
      <c r="E348" s="36" t="s">
        <v>1416</v>
      </c>
    </row>
    <row r="349" spans="1:5">
      <c r="A349" s="36">
        <v>348</v>
      </c>
      <c r="B349" s="36" t="s">
        <v>487</v>
      </c>
      <c r="C349" s="36">
        <v>42</v>
      </c>
      <c r="D349" s="36">
        <v>7</v>
      </c>
      <c r="E349" s="36" t="s">
        <v>1416</v>
      </c>
    </row>
    <row r="350" spans="1:5">
      <c r="A350" s="36">
        <v>349</v>
      </c>
      <c r="B350" s="36" t="s">
        <v>488</v>
      </c>
      <c r="C350" s="36">
        <v>42</v>
      </c>
      <c r="D350" s="36">
        <v>12</v>
      </c>
      <c r="E350" s="36" t="s">
        <v>1416</v>
      </c>
    </row>
    <row r="351" spans="1:5">
      <c r="A351" s="36">
        <v>350</v>
      </c>
      <c r="B351" s="36" t="s">
        <v>489</v>
      </c>
      <c r="C351" s="36">
        <v>42</v>
      </c>
      <c r="D351" s="36">
        <v>12</v>
      </c>
      <c r="E351" s="36" t="s">
        <v>1413</v>
      </c>
    </row>
    <row r="352" spans="1:5">
      <c r="A352" s="36">
        <v>351</v>
      </c>
      <c r="B352" s="36" t="s">
        <v>490</v>
      </c>
      <c r="C352" s="36">
        <v>42</v>
      </c>
      <c r="D352" s="36">
        <v>5</v>
      </c>
      <c r="E352" s="36" t="s">
        <v>1416</v>
      </c>
    </row>
    <row r="353" spans="1:5">
      <c r="A353" s="36">
        <v>352</v>
      </c>
      <c r="B353" s="36" t="s">
        <v>491</v>
      </c>
      <c r="C353" s="36">
        <v>42</v>
      </c>
      <c r="D353" s="36">
        <v>1</v>
      </c>
      <c r="E353" s="36" t="s">
        <v>1416</v>
      </c>
    </row>
    <row r="354" spans="1:5">
      <c r="A354" s="36">
        <v>353</v>
      </c>
      <c r="B354" s="36" t="s">
        <v>492</v>
      </c>
      <c r="C354" s="36">
        <v>42</v>
      </c>
      <c r="D354" s="36">
        <v>8</v>
      </c>
      <c r="E354" s="36" t="s">
        <v>1416</v>
      </c>
    </row>
    <row r="355" spans="1:5">
      <c r="A355" s="36">
        <v>354</v>
      </c>
      <c r="B355" s="36" t="s">
        <v>493</v>
      </c>
      <c r="C355" s="36">
        <v>42</v>
      </c>
      <c r="D355" s="36">
        <v>5</v>
      </c>
      <c r="E355" s="36" t="s">
        <v>1419</v>
      </c>
    </row>
    <row r="356" spans="1:5">
      <c r="A356" s="36">
        <v>355</v>
      </c>
      <c r="B356" s="36" t="s">
        <v>494</v>
      </c>
      <c r="C356" s="36">
        <v>42</v>
      </c>
      <c r="D356" s="36">
        <v>3</v>
      </c>
      <c r="E356" s="36" t="s">
        <v>1416</v>
      </c>
    </row>
    <row r="357" spans="1:5">
      <c r="A357" s="36">
        <v>356</v>
      </c>
      <c r="B357" s="36" t="s">
        <v>502</v>
      </c>
      <c r="C357" s="36">
        <v>41</v>
      </c>
      <c r="D357" s="36">
        <v>9</v>
      </c>
      <c r="E357" s="36" t="s">
        <v>1416</v>
      </c>
    </row>
    <row r="358" spans="1:5">
      <c r="A358" s="36">
        <v>357</v>
      </c>
      <c r="B358" s="36" t="s">
        <v>503</v>
      </c>
      <c r="C358" s="36">
        <v>41</v>
      </c>
      <c r="D358" s="36">
        <v>6</v>
      </c>
      <c r="E358" s="36" t="s">
        <v>1416</v>
      </c>
    </row>
    <row r="359" spans="1:5">
      <c r="A359" s="36">
        <v>358</v>
      </c>
      <c r="B359" s="36" t="s">
        <v>504</v>
      </c>
      <c r="C359" s="36">
        <v>41</v>
      </c>
      <c r="D359" s="36">
        <v>3</v>
      </c>
      <c r="E359" s="36" t="s">
        <v>1416</v>
      </c>
    </row>
    <row r="360" spans="1:5">
      <c r="A360" s="36">
        <v>359</v>
      </c>
      <c r="B360" s="36" t="s">
        <v>505</v>
      </c>
      <c r="C360" s="36">
        <v>41</v>
      </c>
      <c r="D360" s="36">
        <v>12</v>
      </c>
      <c r="E360" s="36" t="s">
        <v>1416</v>
      </c>
    </row>
    <row r="361" spans="1:5">
      <c r="A361" s="36">
        <v>360</v>
      </c>
      <c r="B361" s="36" t="s">
        <v>506</v>
      </c>
      <c r="C361" s="36">
        <v>41</v>
      </c>
      <c r="D361" s="36">
        <v>14</v>
      </c>
      <c r="E361" s="36" t="s">
        <v>1416</v>
      </c>
    </row>
    <row r="362" spans="1:5">
      <c r="A362" s="36">
        <v>361</v>
      </c>
      <c r="B362" s="36" t="s">
        <v>507</v>
      </c>
      <c r="C362" s="36">
        <v>41</v>
      </c>
      <c r="D362" s="36">
        <v>9</v>
      </c>
      <c r="E362" s="36" t="s">
        <v>1416</v>
      </c>
    </row>
    <row r="363" spans="1:5">
      <c r="A363" s="36">
        <v>362</v>
      </c>
      <c r="B363" s="36" t="s">
        <v>518</v>
      </c>
      <c r="C363" s="36">
        <v>40</v>
      </c>
      <c r="D363" s="36">
        <v>1</v>
      </c>
      <c r="E363" s="36" t="s">
        <v>1416</v>
      </c>
    </row>
    <row r="364" spans="1:5">
      <c r="A364" s="36">
        <v>363</v>
      </c>
      <c r="B364" s="36" t="s">
        <v>519</v>
      </c>
      <c r="C364" s="36">
        <v>40</v>
      </c>
      <c r="D364" s="36">
        <v>14</v>
      </c>
      <c r="E364" s="36" t="s">
        <v>1413</v>
      </c>
    </row>
    <row r="365" spans="1:5">
      <c r="A365" s="36">
        <v>364</v>
      </c>
      <c r="B365" s="36" t="s">
        <v>520</v>
      </c>
      <c r="C365" s="36">
        <v>40</v>
      </c>
      <c r="D365" s="36">
        <v>6</v>
      </c>
      <c r="E365" s="36" t="s">
        <v>1419</v>
      </c>
    </row>
    <row r="366" spans="1:5">
      <c r="A366" s="36">
        <v>365</v>
      </c>
      <c r="B366" s="36" t="s">
        <v>521</v>
      </c>
      <c r="C366" s="36">
        <v>40</v>
      </c>
      <c r="D366" s="36">
        <v>8</v>
      </c>
      <c r="E366" s="36" t="s">
        <v>1416</v>
      </c>
    </row>
    <row r="367" spans="1:5">
      <c r="A367" s="36">
        <v>366</v>
      </c>
      <c r="B367" s="36" t="s">
        <v>522</v>
      </c>
      <c r="C367" s="36">
        <v>40</v>
      </c>
      <c r="D367" s="36">
        <v>5</v>
      </c>
      <c r="E367" s="36" t="s">
        <v>1416</v>
      </c>
    </row>
    <row r="368" spans="1:5">
      <c r="A368" s="36">
        <v>367</v>
      </c>
      <c r="B368" s="36" t="s">
        <v>523</v>
      </c>
      <c r="C368" s="36">
        <v>40</v>
      </c>
      <c r="D368" s="36">
        <v>5</v>
      </c>
      <c r="E368" s="36" t="s">
        <v>1416</v>
      </c>
    </row>
    <row r="369" spans="1:5">
      <c r="A369" s="36">
        <v>368</v>
      </c>
      <c r="B369" s="36" t="s">
        <v>524</v>
      </c>
      <c r="C369" s="36">
        <v>40</v>
      </c>
      <c r="D369" s="36">
        <v>9</v>
      </c>
      <c r="E369" s="36" t="s">
        <v>1416</v>
      </c>
    </row>
    <row r="370" spans="1:5">
      <c r="A370" s="36">
        <v>369</v>
      </c>
      <c r="B370" s="36" t="s">
        <v>516</v>
      </c>
      <c r="C370" s="36">
        <v>40</v>
      </c>
      <c r="D370" s="36">
        <v>9</v>
      </c>
      <c r="E370" s="36" t="s">
        <v>1413</v>
      </c>
    </row>
    <row r="371" spans="1:5">
      <c r="A371" s="36">
        <v>370</v>
      </c>
      <c r="B371" s="36" t="s">
        <v>509</v>
      </c>
      <c r="C371" s="36">
        <v>40</v>
      </c>
      <c r="D371" s="36">
        <v>1</v>
      </c>
      <c r="E371" s="36" t="s">
        <v>1416</v>
      </c>
    </row>
    <row r="372" spans="1:5">
      <c r="A372" s="36">
        <v>371</v>
      </c>
      <c r="B372" s="36" t="s">
        <v>510</v>
      </c>
      <c r="C372" s="36">
        <v>40</v>
      </c>
      <c r="D372" s="36">
        <v>6</v>
      </c>
      <c r="E372" s="36" t="s">
        <v>1413</v>
      </c>
    </row>
    <row r="373" spans="1:5">
      <c r="A373" s="36">
        <v>372</v>
      </c>
      <c r="B373" s="36" t="s">
        <v>511</v>
      </c>
      <c r="C373" s="36">
        <v>40</v>
      </c>
      <c r="D373" s="36">
        <v>1</v>
      </c>
      <c r="E373" s="36" t="s">
        <v>1416</v>
      </c>
    </row>
    <row r="374" spans="1:5">
      <c r="A374" s="36">
        <v>373</v>
      </c>
      <c r="B374" s="36" t="s">
        <v>512</v>
      </c>
      <c r="C374" s="36">
        <v>40</v>
      </c>
      <c r="D374" s="36">
        <v>7</v>
      </c>
      <c r="E374" s="36" t="s">
        <v>1416</v>
      </c>
    </row>
    <row r="375" spans="1:5">
      <c r="A375" s="36">
        <v>374</v>
      </c>
      <c r="B375" s="36" t="s">
        <v>513</v>
      </c>
      <c r="C375" s="36">
        <v>40</v>
      </c>
      <c r="D375" s="36">
        <v>5</v>
      </c>
      <c r="E375" s="36" t="s">
        <v>1416</v>
      </c>
    </row>
    <row r="376" spans="1:5">
      <c r="A376" s="36">
        <v>375</v>
      </c>
      <c r="B376" s="36" t="s">
        <v>514</v>
      </c>
      <c r="C376" s="36">
        <v>40</v>
      </c>
      <c r="D376" s="36">
        <v>2</v>
      </c>
      <c r="E376" s="36" t="s">
        <v>1416</v>
      </c>
    </row>
    <row r="377" spans="1:5">
      <c r="A377" s="36">
        <v>376</v>
      </c>
      <c r="B377" s="36" t="s">
        <v>533</v>
      </c>
      <c r="C377" s="36">
        <v>39</v>
      </c>
      <c r="D377" s="36">
        <v>11</v>
      </c>
      <c r="E377" s="36" t="s">
        <v>1413</v>
      </c>
    </row>
    <row r="378" spans="1:5">
      <c r="A378" s="36">
        <v>377</v>
      </c>
      <c r="B378" s="36" t="s">
        <v>534</v>
      </c>
      <c r="C378" s="36">
        <v>39</v>
      </c>
      <c r="D378" s="36">
        <v>8</v>
      </c>
      <c r="E378" s="36" t="s">
        <v>1416</v>
      </c>
    </row>
    <row r="379" spans="1:5">
      <c r="A379" s="36">
        <v>378</v>
      </c>
      <c r="B379" s="36" t="s">
        <v>535</v>
      </c>
      <c r="C379" s="36">
        <v>39</v>
      </c>
      <c r="D379" s="36">
        <v>3</v>
      </c>
      <c r="E379" s="36" t="s">
        <v>1416</v>
      </c>
    </row>
    <row r="380" spans="1:5">
      <c r="A380" s="36">
        <v>379</v>
      </c>
      <c r="B380" s="36" t="s">
        <v>536</v>
      </c>
      <c r="C380" s="36">
        <v>39</v>
      </c>
      <c r="D380" s="36">
        <v>6</v>
      </c>
      <c r="E380" s="36" t="s">
        <v>1416</v>
      </c>
    </row>
    <row r="381" spans="1:5">
      <c r="A381" s="36">
        <v>380</v>
      </c>
      <c r="B381" s="36" t="s">
        <v>537</v>
      </c>
      <c r="C381" s="36">
        <v>39</v>
      </c>
      <c r="D381" s="36">
        <v>6</v>
      </c>
      <c r="E381" s="36" t="s">
        <v>1416</v>
      </c>
    </row>
    <row r="382" spans="1:5">
      <c r="A382" s="36">
        <v>381</v>
      </c>
      <c r="B382" s="36" t="s">
        <v>525</v>
      </c>
      <c r="C382" s="36">
        <v>39</v>
      </c>
      <c r="D382" s="36">
        <v>3</v>
      </c>
      <c r="E382" s="36" t="s">
        <v>1416</v>
      </c>
    </row>
    <row r="383" spans="1:5">
      <c r="A383" s="36">
        <v>382</v>
      </c>
      <c r="B383" s="36" t="s">
        <v>526</v>
      </c>
      <c r="C383" s="36">
        <v>39</v>
      </c>
      <c r="D383" s="36">
        <v>2</v>
      </c>
      <c r="E383" s="36" t="s">
        <v>1416</v>
      </c>
    </row>
    <row r="384" spans="1:5">
      <c r="A384" s="36">
        <v>383</v>
      </c>
      <c r="B384" s="36" t="s">
        <v>527</v>
      </c>
      <c r="C384" s="36">
        <v>39</v>
      </c>
      <c r="D384" s="36">
        <v>1</v>
      </c>
      <c r="E384" s="36" t="s">
        <v>1416</v>
      </c>
    </row>
    <row r="385" spans="1:5">
      <c r="A385" s="36">
        <v>384</v>
      </c>
      <c r="B385" s="36" t="s">
        <v>538</v>
      </c>
      <c r="C385" s="36">
        <v>39</v>
      </c>
      <c r="D385" s="36">
        <v>7</v>
      </c>
      <c r="E385" s="36" t="s">
        <v>1416</v>
      </c>
    </row>
    <row r="386" spans="1:5">
      <c r="A386" s="36">
        <v>385</v>
      </c>
      <c r="B386" s="36" t="s">
        <v>528</v>
      </c>
      <c r="C386" s="36">
        <v>39</v>
      </c>
      <c r="D386" s="36">
        <v>8</v>
      </c>
      <c r="E386" s="36" t="s">
        <v>1413</v>
      </c>
    </row>
    <row r="387" spans="1:5">
      <c r="A387" s="36">
        <v>386</v>
      </c>
      <c r="B387" s="36" t="s">
        <v>539</v>
      </c>
      <c r="C387" s="36">
        <v>39</v>
      </c>
      <c r="D387" s="36">
        <v>9</v>
      </c>
      <c r="E387" s="36" t="s">
        <v>1416</v>
      </c>
    </row>
    <row r="388" spans="1:5">
      <c r="A388" s="36">
        <v>387</v>
      </c>
      <c r="B388" s="36" t="s">
        <v>529</v>
      </c>
      <c r="C388" s="36">
        <v>39</v>
      </c>
      <c r="D388" s="36">
        <v>9</v>
      </c>
      <c r="E388" s="36" t="s">
        <v>1416</v>
      </c>
    </row>
    <row r="389" spans="1:5">
      <c r="A389" s="36">
        <v>388</v>
      </c>
      <c r="B389" s="36" t="s">
        <v>530</v>
      </c>
      <c r="C389" s="36">
        <v>39</v>
      </c>
      <c r="D389" s="36">
        <v>13</v>
      </c>
      <c r="E389" s="36" t="s">
        <v>1416</v>
      </c>
    </row>
    <row r="390" spans="1:5">
      <c r="A390" s="36">
        <v>389</v>
      </c>
      <c r="B390" s="36" t="s">
        <v>531</v>
      </c>
      <c r="C390" s="36">
        <v>39</v>
      </c>
      <c r="D390" s="36">
        <v>3</v>
      </c>
      <c r="E390" s="36" t="s">
        <v>1416</v>
      </c>
    </row>
    <row r="391" spans="1:5">
      <c r="A391" s="36">
        <v>390</v>
      </c>
      <c r="B391" s="36" t="s">
        <v>548</v>
      </c>
      <c r="C391" s="36">
        <v>38</v>
      </c>
      <c r="D391" s="36">
        <v>13</v>
      </c>
      <c r="E391" s="36" t="s">
        <v>1416</v>
      </c>
    </row>
    <row r="392" spans="1:5">
      <c r="A392" s="36">
        <v>391</v>
      </c>
      <c r="B392" s="36" t="s">
        <v>545</v>
      </c>
      <c r="C392" s="36">
        <v>38</v>
      </c>
      <c r="D392" s="36">
        <v>1</v>
      </c>
      <c r="E392" s="36" t="s">
        <v>1416</v>
      </c>
    </row>
    <row r="393" spans="1:5">
      <c r="A393" s="36">
        <v>392</v>
      </c>
      <c r="B393" s="36" t="s">
        <v>546</v>
      </c>
      <c r="C393" s="36">
        <v>38</v>
      </c>
      <c r="D393" s="36">
        <v>10</v>
      </c>
      <c r="E393" s="36" t="s">
        <v>1413</v>
      </c>
    </row>
    <row r="394" spans="1:5">
      <c r="A394" s="36">
        <v>393</v>
      </c>
      <c r="B394" s="36" t="s">
        <v>549</v>
      </c>
      <c r="C394" s="36">
        <v>38</v>
      </c>
      <c r="D394" s="36">
        <v>4</v>
      </c>
      <c r="E394" s="36" t="s">
        <v>1416</v>
      </c>
    </row>
    <row r="395" spans="1:5">
      <c r="A395" s="36">
        <v>394</v>
      </c>
      <c r="B395" s="36" t="s">
        <v>550</v>
      </c>
      <c r="C395" s="36">
        <v>38</v>
      </c>
      <c r="D395" s="36">
        <v>1</v>
      </c>
      <c r="E395" s="36" t="s">
        <v>1416</v>
      </c>
    </row>
    <row r="396" spans="1:5">
      <c r="A396" s="36">
        <v>395</v>
      </c>
      <c r="B396" s="36" t="s">
        <v>551</v>
      </c>
      <c r="C396" s="36">
        <v>38</v>
      </c>
      <c r="D396" s="36">
        <v>5</v>
      </c>
      <c r="E396" s="36" t="s">
        <v>1416</v>
      </c>
    </row>
    <row r="397" spans="1:5">
      <c r="A397" s="36">
        <v>396</v>
      </c>
      <c r="B397" s="36" t="s">
        <v>552</v>
      </c>
      <c r="C397" s="36">
        <v>38</v>
      </c>
      <c r="D397" s="36">
        <v>12</v>
      </c>
      <c r="E397" s="36" t="s">
        <v>1413</v>
      </c>
    </row>
    <row r="398" spans="1:5">
      <c r="A398" s="36">
        <v>397</v>
      </c>
      <c r="B398" s="36" t="s">
        <v>553</v>
      </c>
      <c r="C398" s="36">
        <v>38</v>
      </c>
      <c r="D398" s="36">
        <v>6</v>
      </c>
      <c r="E398" s="36" t="s">
        <v>1416</v>
      </c>
    </row>
    <row r="399" spans="1:5">
      <c r="A399" s="36">
        <v>398</v>
      </c>
      <c r="B399" s="36" t="s">
        <v>554</v>
      </c>
      <c r="C399" s="36">
        <v>38</v>
      </c>
      <c r="D399" s="36">
        <v>6</v>
      </c>
      <c r="E399" s="36" t="s">
        <v>1413</v>
      </c>
    </row>
    <row r="400" spans="1:5">
      <c r="A400" s="36">
        <v>399</v>
      </c>
      <c r="B400" s="36" t="s">
        <v>555</v>
      </c>
      <c r="C400" s="36">
        <v>38</v>
      </c>
      <c r="D400" s="36">
        <v>11</v>
      </c>
      <c r="E400" s="36" t="s">
        <v>1416</v>
      </c>
    </row>
    <row r="401" spans="1:5">
      <c r="A401" s="36">
        <v>400</v>
      </c>
      <c r="B401" s="36" t="s">
        <v>556</v>
      </c>
      <c r="C401" s="36">
        <v>38</v>
      </c>
      <c r="D401" s="36">
        <v>1</v>
      </c>
      <c r="E401" s="36" t="s">
        <v>1413</v>
      </c>
    </row>
    <row r="402" spans="1:5">
      <c r="A402" s="36">
        <v>401</v>
      </c>
      <c r="B402" s="36" t="s">
        <v>557</v>
      </c>
      <c r="C402" s="36">
        <v>38</v>
      </c>
      <c r="D402" s="36">
        <v>12</v>
      </c>
      <c r="E402" s="36" t="s">
        <v>1416</v>
      </c>
    </row>
    <row r="403" spans="1:5">
      <c r="A403" s="36">
        <v>402</v>
      </c>
      <c r="B403" s="36" t="s">
        <v>558</v>
      </c>
      <c r="C403" s="36">
        <v>38</v>
      </c>
      <c r="D403" s="36">
        <v>9</v>
      </c>
      <c r="E403" s="36" t="s">
        <v>1416</v>
      </c>
    </row>
    <row r="404" spans="1:5">
      <c r="A404" s="36">
        <v>403</v>
      </c>
      <c r="B404" s="36" t="s">
        <v>544</v>
      </c>
      <c r="C404" s="36">
        <v>38</v>
      </c>
      <c r="D404" s="36">
        <v>7</v>
      </c>
      <c r="E404" s="36" t="s">
        <v>1413</v>
      </c>
    </row>
    <row r="405" spans="1:5">
      <c r="A405" s="36">
        <v>404</v>
      </c>
      <c r="B405" s="36" t="s">
        <v>560</v>
      </c>
      <c r="C405" s="36">
        <v>38</v>
      </c>
      <c r="D405" s="36">
        <v>12</v>
      </c>
      <c r="E405" s="36" t="s">
        <v>1413</v>
      </c>
    </row>
    <row r="406" spans="1:5">
      <c r="A406" s="36">
        <v>405</v>
      </c>
      <c r="B406" s="36" t="s">
        <v>564</v>
      </c>
      <c r="C406" s="36">
        <v>37</v>
      </c>
      <c r="D406" s="36">
        <v>12</v>
      </c>
      <c r="E406" s="36" t="s">
        <v>1416</v>
      </c>
    </row>
    <row r="407" spans="1:5">
      <c r="A407" s="36">
        <v>406</v>
      </c>
      <c r="B407" s="36" t="s">
        <v>565</v>
      </c>
      <c r="C407" s="36">
        <v>37</v>
      </c>
      <c r="D407" s="36">
        <v>13</v>
      </c>
      <c r="E407" s="36" t="s">
        <v>1413</v>
      </c>
    </row>
    <row r="408" spans="1:5">
      <c r="A408" s="36">
        <v>407</v>
      </c>
      <c r="B408" s="36" t="s">
        <v>566</v>
      </c>
      <c r="C408" s="36">
        <v>37</v>
      </c>
      <c r="D408" s="36">
        <v>8</v>
      </c>
      <c r="E408" s="36" t="s">
        <v>1416</v>
      </c>
    </row>
    <row r="409" spans="1:5">
      <c r="A409" s="36">
        <v>408</v>
      </c>
      <c r="B409" s="36" t="s">
        <v>567</v>
      </c>
      <c r="C409" s="36">
        <v>37</v>
      </c>
      <c r="D409" s="36">
        <v>13</v>
      </c>
      <c r="E409" s="36" t="s">
        <v>1413</v>
      </c>
    </row>
    <row r="410" spans="1:5">
      <c r="A410" s="36">
        <v>409</v>
      </c>
      <c r="B410" s="36" t="s">
        <v>568</v>
      </c>
      <c r="C410" s="36">
        <v>37</v>
      </c>
      <c r="D410" s="36">
        <v>3</v>
      </c>
      <c r="E410" s="36" t="s">
        <v>1416</v>
      </c>
    </row>
    <row r="411" spans="1:5">
      <c r="A411" s="36">
        <v>410</v>
      </c>
      <c r="B411" s="36" t="s">
        <v>569</v>
      </c>
      <c r="C411" s="36">
        <v>37</v>
      </c>
      <c r="D411" s="36">
        <v>6</v>
      </c>
      <c r="E411" s="36" t="s">
        <v>1416</v>
      </c>
    </row>
    <row r="412" spans="1:5">
      <c r="A412" s="36">
        <v>411</v>
      </c>
      <c r="B412" s="36" t="s">
        <v>570</v>
      </c>
      <c r="C412" s="36">
        <v>37</v>
      </c>
      <c r="D412" s="36">
        <v>6</v>
      </c>
      <c r="E412" s="36" t="s">
        <v>1416</v>
      </c>
    </row>
    <row r="413" spans="1:5">
      <c r="A413" s="36">
        <v>412</v>
      </c>
      <c r="B413" s="36" t="s">
        <v>571</v>
      </c>
      <c r="C413" s="36">
        <v>37</v>
      </c>
      <c r="D413" s="36">
        <v>12</v>
      </c>
      <c r="E413" s="36" t="s">
        <v>1416</v>
      </c>
    </row>
    <row r="414" spans="1:5">
      <c r="A414" s="36">
        <v>413</v>
      </c>
      <c r="B414" s="36" t="s">
        <v>572</v>
      </c>
      <c r="C414" s="36">
        <v>37</v>
      </c>
      <c r="D414" s="36">
        <v>2</v>
      </c>
      <c r="E414" s="36" t="s">
        <v>1416</v>
      </c>
    </row>
    <row r="415" spans="1:5">
      <c r="A415" s="36">
        <v>414</v>
      </c>
      <c r="B415" s="36" t="s">
        <v>573</v>
      </c>
      <c r="C415" s="36">
        <v>37</v>
      </c>
      <c r="D415" s="36">
        <v>12</v>
      </c>
      <c r="E415" s="36" t="s">
        <v>1416</v>
      </c>
    </row>
    <row r="416" spans="1:5">
      <c r="A416" s="36">
        <v>415</v>
      </c>
      <c r="B416" s="36" t="s">
        <v>574</v>
      </c>
      <c r="C416" s="36">
        <v>37</v>
      </c>
      <c r="D416" s="36">
        <v>1</v>
      </c>
      <c r="E416" s="36" t="s">
        <v>1416</v>
      </c>
    </row>
    <row r="417" spans="1:5">
      <c r="A417" s="36">
        <v>416</v>
      </c>
      <c r="B417" s="36" t="s">
        <v>575</v>
      </c>
      <c r="C417" s="36">
        <v>37</v>
      </c>
      <c r="D417" s="36">
        <v>4</v>
      </c>
      <c r="E417" s="36" t="s">
        <v>1416</v>
      </c>
    </row>
    <row r="418" spans="1:5">
      <c r="A418" s="36">
        <v>417</v>
      </c>
      <c r="B418" s="36" t="s">
        <v>576</v>
      </c>
      <c r="C418" s="36">
        <v>37</v>
      </c>
      <c r="D418" s="36">
        <v>3</v>
      </c>
      <c r="E418" s="36" t="s">
        <v>1416</v>
      </c>
    </row>
    <row r="419" spans="1:5">
      <c r="A419" s="36">
        <v>418</v>
      </c>
      <c r="B419" s="36" t="s">
        <v>580</v>
      </c>
      <c r="C419" s="36">
        <v>36</v>
      </c>
      <c r="D419" s="36">
        <v>3</v>
      </c>
      <c r="E419" s="36" t="s">
        <v>1416</v>
      </c>
    </row>
    <row r="420" spans="1:5">
      <c r="A420" s="36">
        <v>419</v>
      </c>
      <c r="B420" s="36" t="s">
        <v>581</v>
      </c>
      <c r="C420" s="36">
        <v>36</v>
      </c>
      <c r="D420" s="36">
        <v>8</v>
      </c>
      <c r="E420" s="36" t="s">
        <v>1416</v>
      </c>
    </row>
    <row r="421" spans="1:5">
      <c r="A421" s="36">
        <v>420</v>
      </c>
      <c r="B421" s="36" t="s">
        <v>582</v>
      </c>
      <c r="C421" s="36">
        <v>36</v>
      </c>
      <c r="D421" s="36">
        <v>6</v>
      </c>
      <c r="E421" s="36" t="s">
        <v>1416</v>
      </c>
    </row>
    <row r="422" spans="1:5">
      <c r="A422" s="36">
        <v>421</v>
      </c>
      <c r="B422" s="36" t="s">
        <v>583</v>
      </c>
      <c r="C422" s="36">
        <v>36</v>
      </c>
      <c r="D422" s="36">
        <v>12</v>
      </c>
      <c r="E422" s="36" t="s">
        <v>1413</v>
      </c>
    </row>
    <row r="423" spans="1:5">
      <c r="A423" s="36">
        <v>422</v>
      </c>
      <c r="B423" s="36" t="s">
        <v>584</v>
      </c>
      <c r="C423" s="36">
        <v>36</v>
      </c>
      <c r="D423" s="36">
        <v>12</v>
      </c>
      <c r="E423" s="36" t="s">
        <v>1413</v>
      </c>
    </row>
    <row r="424" spans="1:5">
      <c r="A424" s="36">
        <v>423</v>
      </c>
      <c r="B424" s="36" t="s">
        <v>585</v>
      </c>
      <c r="C424" s="36">
        <v>36</v>
      </c>
      <c r="D424" s="36">
        <v>7</v>
      </c>
      <c r="E424" s="36" t="s">
        <v>1413</v>
      </c>
    </row>
    <row r="425" spans="1:5">
      <c r="A425" s="36">
        <v>424</v>
      </c>
      <c r="B425" s="36" t="s">
        <v>586</v>
      </c>
      <c r="C425" s="36">
        <v>36</v>
      </c>
      <c r="D425" s="36">
        <v>1</v>
      </c>
      <c r="E425" s="36" t="s">
        <v>1416</v>
      </c>
    </row>
    <row r="426" spans="1:5">
      <c r="A426" s="36">
        <v>425</v>
      </c>
      <c r="B426" s="36" t="s">
        <v>587</v>
      </c>
      <c r="C426" s="36">
        <v>36</v>
      </c>
      <c r="D426" s="36">
        <v>4</v>
      </c>
      <c r="E426" s="36" t="s">
        <v>1416</v>
      </c>
    </row>
    <row r="427" spans="1:5">
      <c r="A427" s="36">
        <v>426</v>
      </c>
      <c r="B427" s="36" t="s">
        <v>588</v>
      </c>
      <c r="C427" s="36">
        <v>36</v>
      </c>
      <c r="D427" s="36">
        <v>13</v>
      </c>
      <c r="E427" s="36" t="s">
        <v>1413</v>
      </c>
    </row>
    <row r="428" spans="1:5">
      <c r="A428" s="36">
        <v>427</v>
      </c>
      <c r="B428" s="36" t="s">
        <v>589</v>
      </c>
      <c r="C428" s="36">
        <v>36</v>
      </c>
      <c r="D428" s="36">
        <v>1</v>
      </c>
      <c r="E428" s="36" t="s">
        <v>1416</v>
      </c>
    </row>
    <row r="429" spans="1:5">
      <c r="A429" s="36">
        <v>428</v>
      </c>
      <c r="B429" s="36" t="s">
        <v>590</v>
      </c>
      <c r="C429" s="36">
        <v>36</v>
      </c>
      <c r="D429" s="36">
        <v>10</v>
      </c>
      <c r="E429" s="36" t="s">
        <v>1413</v>
      </c>
    </row>
    <row r="430" spans="1:5">
      <c r="A430" s="36">
        <v>429</v>
      </c>
      <c r="B430" s="36" t="s">
        <v>591</v>
      </c>
      <c r="C430" s="36">
        <v>36</v>
      </c>
      <c r="D430" s="36">
        <v>9</v>
      </c>
      <c r="E430" s="36" t="s">
        <v>1416</v>
      </c>
    </row>
    <row r="431" spans="1:5">
      <c r="A431" s="36">
        <v>430</v>
      </c>
      <c r="B431" s="36" t="s">
        <v>592</v>
      </c>
      <c r="C431" s="36">
        <v>36</v>
      </c>
      <c r="D431" s="36">
        <v>13</v>
      </c>
      <c r="E431" s="36" t="s">
        <v>1416</v>
      </c>
    </row>
    <row r="432" spans="1:5">
      <c r="A432" s="36">
        <v>431</v>
      </c>
      <c r="B432" s="36" t="s">
        <v>593</v>
      </c>
      <c r="C432" s="36">
        <v>36</v>
      </c>
      <c r="D432" s="36">
        <v>12</v>
      </c>
      <c r="E432" s="36" t="s">
        <v>1416</v>
      </c>
    </row>
    <row r="433" spans="1:5">
      <c r="A433" s="36">
        <v>432</v>
      </c>
      <c r="B433" s="36" t="s">
        <v>594</v>
      </c>
      <c r="C433" s="36">
        <v>36</v>
      </c>
      <c r="D433" s="36">
        <v>4</v>
      </c>
      <c r="E433" s="36" t="s">
        <v>1416</v>
      </c>
    </row>
    <row r="434" spans="1:5">
      <c r="A434" s="36">
        <v>433</v>
      </c>
      <c r="B434" s="36" t="s">
        <v>597</v>
      </c>
      <c r="C434" s="36">
        <v>35</v>
      </c>
      <c r="D434" s="36">
        <v>1</v>
      </c>
      <c r="E434" s="36" t="s">
        <v>1416</v>
      </c>
    </row>
    <row r="435" spans="1:5">
      <c r="A435" s="36">
        <v>434</v>
      </c>
      <c r="B435" s="36" t="s">
        <v>598</v>
      </c>
      <c r="C435" s="36">
        <v>35</v>
      </c>
      <c r="D435" s="36">
        <v>8</v>
      </c>
      <c r="E435" s="36" t="s">
        <v>1416</v>
      </c>
    </row>
    <row r="436" spans="1:5">
      <c r="A436" s="36">
        <v>435</v>
      </c>
      <c r="B436" s="36" t="s">
        <v>599</v>
      </c>
      <c r="C436" s="36">
        <v>35</v>
      </c>
      <c r="D436" s="36">
        <v>2</v>
      </c>
      <c r="E436" s="36" t="s">
        <v>1416</v>
      </c>
    </row>
    <row r="437" spans="1:5">
      <c r="A437" s="36">
        <v>436</v>
      </c>
      <c r="B437" s="36" t="s">
        <v>600</v>
      </c>
      <c r="C437" s="36">
        <v>35</v>
      </c>
      <c r="D437" s="36">
        <v>6</v>
      </c>
      <c r="E437" s="36" t="s">
        <v>1416</v>
      </c>
    </row>
    <row r="438" spans="1:5">
      <c r="A438" s="36">
        <v>437</v>
      </c>
      <c r="B438" s="36" t="s">
        <v>601</v>
      </c>
      <c r="C438" s="36">
        <v>35</v>
      </c>
      <c r="D438" s="36">
        <v>3</v>
      </c>
      <c r="E438" s="36" t="s">
        <v>1416</v>
      </c>
    </row>
    <row r="439" spans="1:5">
      <c r="A439" s="36">
        <v>438</v>
      </c>
      <c r="B439" s="36" t="s">
        <v>609</v>
      </c>
      <c r="C439" s="36">
        <v>35</v>
      </c>
      <c r="D439" s="36">
        <v>9</v>
      </c>
      <c r="E439" s="36" t="s">
        <v>1416</v>
      </c>
    </row>
    <row r="440" spans="1:5">
      <c r="A440" s="36">
        <v>439</v>
      </c>
      <c r="B440" s="36" t="s">
        <v>610</v>
      </c>
      <c r="C440" s="36">
        <v>35</v>
      </c>
      <c r="D440" s="36">
        <v>14</v>
      </c>
      <c r="E440" s="36" t="s">
        <v>1416</v>
      </c>
    </row>
    <row r="441" spans="1:5">
      <c r="A441" s="36">
        <v>440</v>
      </c>
      <c r="B441" s="36" t="s">
        <v>602</v>
      </c>
      <c r="C441" s="36">
        <v>35</v>
      </c>
      <c r="D441" s="36">
        <v>6</v>
      </c>
      <c r="E441" s="36" t="s">
        <v>1416</v>
      </c>
    </row>
    <row r="442" spans="1:5">
      <c r="A442" s="36">
        <v>441</v>
      </c>
      <c r="B442" s="36" t="s">
        <v>603</v>
      </c>
      <c r="C442" s="36">
        <v>35</v>
      </c>
      <c r="D442" s="36">
        <v>13</v>
      </c>
      <c r="E442" s="36" t="s">
        <v>1413</v>
      </c>
    </row>
    <row r="443" spans="1:5">
      <c r="A443" s="36">
        <v>442</v>
      </c>
      <c r="B443" s="36" t="s">
        <v>608</v>
      </c>
      <c r="C443" s="36">
        <v>35</v>
      </c>
      <c r="D443" s="36">
        <v>7</v>
      </c>
      <c r="E443" s="36" t="s">
        <v>1416</v>
      </c>
    </row>
    <row r="444" spans="1:5">
      <c r="A444" s="36">
        <v>443</v>
      </c>
      <c r="B444" s="36" t="s">
        <v>611</v>
      </c>
      <c r="C444" s="36">
        <v>35</v>
      </c>
      <c r="D444" s="36">
        <v>4</v>
      </c>
      <c r="E444" s="36" t="s">
        <v>1416</v>
      </c>
    </row>
    <row r="445" spans="1:5">
      <c r="A445" s="36">
        <v>444</v>
      </c>
      <c r="B445" s="36" t="s">
        <v>612</v>
      </c>
      <c r="C445" s="36">
        <v>35</v>
      </c>
      <c r="D445" s="36">
        <v>5</v>
      </c>
      <c r="E445" s="36" t="s">
        <v>1413</v>
      </c>
    </row>
    <row r="446" spans="1:5">
      <c r="A446" s="36">
        <v>445</v>
      </c>
      <c r="B446" s="36" t="s">
        <v>613</v>
      </c>
      <c r="C446" s="36">
        <v>35</v>
      </c>
      <c r="D446" s="36">
        <v>6</v>
      </c>
      <c r="E446" s="36" t="s">
        <v>1413</v>
      </c>
    </row>
    <row r="447" spans="1:5">
      <c r="A447" s="36">
        <v>446</v>
      </c>
      <c r="B447" s="36" t="s">
        <v>604</v>
      </c>
      <c r="C447" s="36">
        <v>35</v>
      </c>
      <c r="D447" s="36">
        <v>13</v>
      </c>
      <c r="E447" s="36" t="s">
        <v>1413</v>
      </c>
    </row>
    <row r="448" spans="1:5">
      <c r="A448" s="36">
        <v>447</v>
      </c>
      <c r="B448" s="36" t="s">
        <v>605</v>
      </c>
      <c r="C448" s="36">
        <v>35</v>
      </c>
      <c r="D448" s="36">
        <v>3</v>
      </c>
      <c r="E448" s="36" t="s">
        <v>1416</v>
      </c>
    </row>
    <row r="449" spans="1:5">
      <c r="A449" s="36">
        <v>448</v>
      </c>
      <c r="B449" s="36" t="s">
        <v>606</v>
      </c>
      <c r="C449" s="36">
        <v>35</v>
      </c>
      <c r="D449" s="36">
        <v>12</v>
      </c>
      <c r="E449" s="36" t="s">
        <v>1416</v>
      </c>
    </row>
    <row r="450" spans="1:5">
      <c r="A450" s="36">
        <v>449</v>
      </c>
      <c r="B450" s="36" t="s">
        <v>607</v>
      </c>
      <c r="C450" s="36">
        <v>35</v>
      </c>
      <c r="D450" s="36">
        <v>7</v>
      </c>
      <c r="E450" s="36" t="s">
        <v>1416</v>
      </c>
    </row>
    <row r="451" spans="1:5">
      <c r="A451" s="36">
        <v>450</v>
      </c>
      <c r="B451" s="36" t="s">
        <v>624</v>
      </c>
      <c r="C451" s="36">
        <v>34</v>
      </c>
      <c r="D451" s="36">
        <v>13</v>
      </c>
      <c r="E451" s="36" t="s">
        <v>1413</v>
      </c>
    </row>
    <row r="452" spans="1:5">
      <c r="A452" s="36">
        <v>451</v>
      </c>
      <c r="B452" s="36" t="s">
        <v>625</v>
      </c>
      <c r="C452" s="36">
        <v>34</v>
      </c>
      <c r="D452" s="36">
        <v>11</v>
      </c>
      <c r="E452" s="36" t="s">
        <v>1413</v>
      </c>
    </row>
    <row r="453" spans="1:5">
      <c r="A453" s="36">
        <v>452</v>
      </c>
      <c r="B453" s="36" t="s">
        <v>622</v>
      </c>
      <c r="C453" s="36">
        <v>34</v>
      </c>
      <c r="D453" s="36">
        <v>1</v>
      </c>
      <c r="E453" s="36" t="s">
        <v>1413</v>
      </c>
    </row>
    <row r="454" spans="1:5">
      <c r="A454" s="36">
        <v>453</v>
      </c>
      <c r="B454" s="36" t="s">
        <v>626</v>
      </c>
      <c r="C454" s="36">
        <v>34</v>
      </c>
      <c r="D454" s="36">
        <v>6</v>
      </c>
      <c r="E454" s="36" t="s">
        <v>1413</v>
      </c>
    </row>
    <row r="455" spans="1:5">
      <c r="A455" s="36">
        <v>454</v>
      </c>
      <c r="B455" s="36" t="s">
        <v>627</v>
      </c>
      <c r="C455" s="36">
        <v>34</v>
      </c>
      <c r="D455" s="36">
        <v>9</v>
      </c>
      <c r="E455" s="36" t="s">
        <v>1416</v>
      </c>
    </row>
    <row r="456" spans="1:5">
      <c r="A456" s="36">
        <v>455</v>
      </c>
      <c r="B456" s="36" t="s">
        <v>628</v>
      </c>
      <c r="C456" s="36">
        <v>34</v>
      </c>
      <c r="D456" s="36">
        <v>8</v>
      </c>
      <c r="E456" s="36" t="s">
        <v>1416</v>
      </c>
    </row>
    <row r="457" spans="1:5">
      <c r="A457" s="36">
        <v>456</v>
      </c>
      <c r="B457" s="36" t="s">
        <v>629</v>
      </c>
      <c r="C457" s="36">
        <v>34</v>
      </c>
      <c r="D457" s="36">
        <v>2</v>
      </c>
      <c r="E457" s="36" t="s">
        <v>1413</v>
      </c>
    </row>
    <row r="458" spans="1:5">
      <c r="A458" s="36">
        <v>457</v>
      </c>
      <c r="B458" s="36" t="s">
        <v>623</v>
      </c>
      <c r="C458" s="36">
        <v>34</v>
      </c>
      <c r="D458" s="36">
        <v>12</v>
      </c>
      <c r="E458" s="36" t="s">
        <v>1413</v>
      </c>
    </row>
    <row r="459" spans="1:5">
      <c r="A459" s="36">
        <v>458</v>
      </c>
      <c r="B459" s="36" t="s">
        <v>630</v>
      </c>
      <c r="C459" s="36">
        <v>34</v>
      </c>
      <c r="D459" s="36">
        <v>3</v>
      </c>
      <c r="E459" s="36" t="s">
        <v>1416</v>
      </c>
    </row>
    <row r="460" spans="1:5">
      <c r="A460" s="36">
        <v>459</v>
      </c>
      <c r="B460" s="36" t="s">
        <v>631</v>
      </c>
      <c r="C460" s="36">
        <v>34</v>
      </c>
      <c r="D460" s="36">
        <v>10</v>
      </c>
      <c r="E460" s="36" t="s">
        <v>1416</v>
      </c>
    </row>
    <row r="461" spans="1:5">
      <c r="A461" s="36">
        <v>460</v>
      </c>
      <c r="B461" s="36" t="s">
        <v>632</v>
      </c>
      <c r="C461" s="36">
        <v>34</v>
      </c>
      <c r="D461" s="36">
        <v>6</v>
      </c>
      <c r="E461" s="36" t="s">
        <v>1416</v>
      </c>
    </row>
    <row r="462" spans="1:5">
      <c r="A462" s="36">
        <v>461</v>
      </c>
      <c r="B462" s="36" t="s">
        <v>615</v>
      </c>
      <c r="C462" s="36">
        <v>34</v>
      </c>
      <c r="D462" s="36">
        <v>13</v>
      </c>
      <c r="E462" s="36" t="s">
        <v>1413</v>
      </c>
    </row>
    <row r="463" spans="1:5">
      <c r="A463" s="36">
        <v>462</v>
      </c>
      <c r="B463" s="36" t="s">
        <v>616</v>
      </c>
      <c r="C463" s="36">
        <v>34</v>
      </c>
      <c r="D463" s="36">
        <v>13</v>
      </c>
      <c r="E463" s="36" t="s">
        <v>1416</v>
      </c>
    </row>
    <row r="464" spans="1:5">
      <c r="A464" s="36">
        <v>463</v>
      </c>
      <c r="B464" s="36" t="s">
        <v>617</v>
      </c>
      <c r="C464" s="36">
        <v>34</v>
      </c>
      <c r="D464" s="36">
        <v>12</v>
      </c>
      <c r="E464" s="36" t="s">
        <v>1413</v>
      </c>
    </row>
    <row r="465" spans="1:5">
      <c r="A465" s="36">
        <v>464</v>
      </c>
      <c r="B465" s="36" t="s">
        <v>618</v>
      </c>
      <c r="C465" s="36">
        <v>34</v>
      </c>
      <c r="D465" s="36">
        <v>9</v>
      </c>
      <c r="E465" s="36" t="s">
        <v>1416</v>
      </c>
    </row>
    <row r="466" spans="1:5">
      <c r="A466" s="36">
        <v>465</v>
      </c>
      <c r="B466" s="36" t="s">
        <v>619</v>
      </c>
      <c r="C466" s="36">
        <v>34</v>
      </c>
      <c r="D466" s="36">
        <v>1</v>
      </c>
      <c r="E466" s="36" t="s">
        <v>1416</v>
      </c>
    </row>
    <row r="467" spans="1:5">
      <c r="A467" s="36">
        <v>466</v>
      </c>
      <c r="B467" s="36" t="s">
        <v>620</v>
      </c>
      <c r="C467" s="36">
        <v>34</v>
      </c>
      <c r="D467" s="36">
        <v>2</v>
      </c>
      <c r="E467" s="36" t="s">
        <v>1416</v>
      </c>
    </row>
    <row r="468" spans="1:5">
      <c r="A468" s="36">
        <v>467</v>
      </c>
      <c r="B468" s="36" t="s">
        <v>621</v>
      </c>
      <c r="C468" s="36">
        <v>34</v>
      </c>
      <c r="D468" s="36">
        <v>13</v>
      </c>
      <c r="E468" s="36" t="s">
        <v>1413</v>
      </c>
    </row>
    <row r="469" spans="1:5">
      <c r="A469" s="36">
        <v>468</v>
      </c>
      <c r="B469" s="36" t="s">
        <v>633</v>
      </c>
      <c r="C469" s="36">
        <v>33</v>
      </c>
      <c r="D469" s="36">
        <v>9</v>
      </c>
      <c r="E469" s="36" t="s">
        <v>1416</v>
      </c>
    </row>
    <row r="470" spans="1:5">
      <c r="A470" s="36">
        <v>469</v>
      </c>
      <c r="B470" s="36" t="s">
        <v>634</v>
      </c>
      <c r="C470" s="36">
        <v>33</v>
      </c>
      <c r="D470" s="36">
        <v>12</v>
      </c>
      <c r="E470" s="36" t="s">
        <v>1413</v>
      </c>
    </row>
    <row r="471" spans="1:5">
      <c r="A471" s="36">
        <v>470</v>
      </c>
      <c r="B471" s="36" t="s">
        <v>635</v>
      </c>
      <c r="C471" s="36">
        <v>33</v>
      </c>
      <c r="D471" s="36">
        <v>2</v>
      </c>
      <c r="E471" s="36" t="s">
        <v>1416</v>
      </c>
    </row>
    <row r="472" spans="1:5">
      <c r="A472" s="36">
        <v>471</v>
      </c>
      <c r="B472" s="36" t="s">
        <v>636</v>
      </c>
      <c r="C472" s="36">
        <v>33</v>
      </c>
      <c r="D472" s="36">
        <v>4</v>
      </c>
      <c r="E472" s="36" t="s">
        <v>1416</v>
      </c>
    </row>
    <row r="473" spans="1:5">
      <c r="A473" s="36">
        <v>472</v>
      </c>
      <c r="B473" s="36" t="s">
        <v>637</v>
      </c>
      <c r="C473" s="36">
        <v>33</v>
      </c>
      <c r="D473" s="36">
        <v>4</v>
      </c>
      <c r="E473" s="36" t="s">
        <v>1416</v>
      </c>
    </row>
    <row r="474" spans="1:5">
      <c r="A474" s="36">
        <v>473</v>
      </c>
      <c r="B474" s="36" t="s">
        <v>638</v>
      </c>
      <c r="C474" s="36">
        <v>33</v>
      </c>
      <c r="D474" s="36">
        <v>6</v>
      </c>
      <c r="E474" s="36" t="s">
        <v>1416</v>
      </c>
    </row>
    <row r="475" spans="1:5">
      <c r="A475" s="36">
        <v>474</v>
      </c>
      <c r="B475" s="36" t="s">
        <v>639</v>
      </c>
      <c r="C475" s="36">
        <v>33</v>
      </c>
      <c r="D475" s="36">
        <v>5</v>
      </c>
      <c r="E475" s="36" t="s">
        <v>1416</v>
      </c>
    </row>
    <row r="476" spans="1:5">
      <c r="A476" s="36">
        <v>475</v>
      </c>
      <c r="B476" s="36" t="s">
        <v>640</v>
      </c>
      <c r="C476" s="36">
        <v>33</v>
      </c>
      <c r="D476" s="36">
        <v>13</v>
      </c>
      <c r="E476" s="36" t="s">
        <v>1416</v>
      </c>
    </row>
    <row r="477" spans="1:5">
      <c r="A477" s="36">
        <v>476</v>
      </c>
      <c r="B477" s="36" t="s">
        <v>641</v>
      </c>
      <c r="C477" s="36">
        <v>33</v>
      </c>
      <c r="D477" s="36">
        <v>12</v>
      </c>
      <c r="E477" s="36" t="s">
        <v>1419</v>
      </c>
    </row>
    <row r="478" spans="1:5">
      <c r="A478" s="36">
        <v>477</v>
      </c>
      <c r="B478" s="36" t="s">
        <v>642</v>
      </c>
      <c r="C478" s="36">
        <v>33</v>
      </c>
      <c r="D478" s="36">
        <v>6</v>
      </c>
      <c r="E478" s="36" t="s">
        <v>1416</v>
      </c>
    </row>
    <row r="479" spans="1:5">
      <c r="A479" s="36">
        <v>478</v>
      </c>
      <c r="B479" s="36" t="s">
        <v>643</v>
      </c>
      <c r="C479" s="36">
        <v>33</v>
      </c>
      <c r="D479" s="36">
        <v>7</v>
      </c>
      <c r="E479" s="36" t="s">
        <v>1416</v>
      </c>
    </row>
    <row r="480" spans="1:5">
      <c r="A480" s="36">
        <v>479</v>
      </c>
      <c r="B480" s="36" t="s">
        <v>644</v>
      </c>
      <c r="C480" s="36">
        <v>33</v>
      </c>
      <c r="D480" s="36">
        <v>12</v>
      </c>
      <c r="E480" s="36" t="s">
        <v>1416</v>
      </c>
    </row>
    <row r="481" spans="1:5">
      <c r="A481" s="36">
        <v>480</v>
      </c>
      <c r="B481" s="36" t="s">
        <v>649</v>
      </c>
      <c r="C481" s="36">
        <v>32</v>
      </c>
      <c r="D481" s="36">
        <v>1</v>
      </c>
      <c r="E481" s="36" t="s">
        <v>1413</v>
      </c>
    </row>
    <row r="482" spans="1:5">
      <c r="A482" s="36">
        <v>481</v>
      </c>
      <c r="B482" s="36" t="s">
        <v>656</v>
      </c>
      <c r="C482" s="36">
        <v>32</v>
      </c>
      <c r="D482" s="36">
        <v>12</v>
      </c>
      <c r="E482" s="36" t="s">
        <v>1413</v>
      </c>
    </row>
    <row r="483" spans="1:5">
      <c r="A483" s="36">
        <v>482</v>
      </c>
      <c r="B483" s="36" t="s">
        <v>657</v>
      </c>
      <c r="C483" s="36">
        <v>32</v>
      </c>
      <c r="D483" s="36">
        <v>6</v>
      </c>
      <c r="E483" s="36" t="s">
        <v>1416</v>
      </c>
    </row>
    <row r="484" spans="1:5">
      <c r="A484" s="36">
        <v>483</v>
      </c>
      <c r="B484" s="36" t="s">
        <v>658</v>
      </c>
      <c r="C484" s="36">
        <v>32</v>
      </c>
      <c r="D484" s="36">
        <v>12</v>
      </c>
      <c r="E484" s="36" t="s">
        <v>1416</v>
      </c>
    </row>
    <row r="485" spans="1:5">
      <c r="A485" s="36">
        <v>484</v>
      </c>
      <c r="B485" s="36" t="s">
        <v>650</v>
      </c>
      <c r="C485" s="36">
        <v>32</v>
      </c>
      <c r="D485" s="36">
        <v>9</v>
      </c>
      <c r="E485" s="36" t="s">
        <v>1413</v>
      </c>
    </row>
    <row r="486" spans="1:5">
      <c r="A486" s="36">
        <v>485</v>
      </c>
      <c r="B486" s="36" t="s">
        <v>659</v>
      </c>
      <c r="C486" s="36">
        <v>32</v>
      </c>
      <c r="D486" s="36">
        <v>10</v>
      </c>
      <c r="E486" s="36" t="s">
        <v>1416</v>
      </c>
    </row>
    <row r="487" spans="1:5">
      <c r="A487" s="36">
        <v>486</v>
      </c>
      <c r="B487" s="36" t="s">
        <v>655</v>
      </c>
      <c r="C487" s="36">
        <v>32</v>
      </c>
      <c r="D487" s="36">
        <v>9</v>
      </c>
      <c r="E487" s="36" t="s">
        <v>1413</v>
      </c>
    </row>
    <row r="488" spans="1:5">
      <c r="A488" s="36">
        <v>487</v>
      </c>
      <c r="B488" s="36" t="s">
        <v>646</v>
      </c>
      <c r="C488" s="36">
        <v>32</v>
      </c>
      <c r="D488" s="36">
        <v>5</v>
      </c>
      <c r="E488" s="36" t="s">
        <v>1416</v>
      </c>
    </row>
    <row r="489" spans="1:5">
      <c r="A489" s="36">
        <v>488</v>
      </c>
      <c r="B489" s="36" t="s">
        <v>647</v>
      </c>
      <c r="C489" s="36">
        <v>32</v>
      </c>
      <c r="D489" s="36">
        <v>14</v>
      </c>
      <c r="E489" s="36" t="s">
        <v>1413</v>
      </c>
    </row>
    <row r="490" spans="1:5">
      <c r="A490" s="36">
        <v>489</v>
      </c>
      <c r="B490" s="36" t="s">
        <v>648</v>
      </c>
      <c r="C490" s="36">
        <v>32</v>
      </c>
      <c r="D490" s="36">
        <v>13</v>
      </c>
      <c r="E490" s="36" t="s">
        <v>1416</v>
      </c>
    </row>
    <row r="491" spans="1:5">
      <c r="A491" s="36">
        <v>490</v>
      </c>
      <c r="B491" s="36" t="s">
        <v>677</v>
      </c>
      <c r="C491" s="36">
        <v>31</v>
      </c>
      <c r="D491" s="36">
        <v>12</v>
      </c>
      <c r="E491" s="36" t="s">
        <v>1419</v>
      </c>
    </row>
    <row r="492" spans="1:5">
      <c r="A492" s="36">
        <v>491</v>
      </c>
      <c r="B492" s="36" t="s">
        <v>678</v>
      </c>
      <c r="C492" s="36">
        <v>31</v>
      </c>
      <c r="D492" s="36">
        <v>1</v>
      </c>
      <c r="E492" s="36" t="s">
        <v>1419</v>
      </c>
    </row>
    <row r="493" spans="1:5">
      <c r="A493" s="36">
        <v>492</v>
      </c>
      <c r="B493" s="36" t="s">
        <v>679</v>
      </c>
      <c r="C493" s="36">
        <v>31</v>
      </c>
      <c r="D493" s="36">
        <v>3</v>
      </c>
      <c r="E493" s="36" t="s">
        <v>1416</v>
      </c>
    </row>
    <row r="494" spans="1:5">
      <c r="A494" s="36">
        <v>493</v>
      </c>
      <c r="B494" s="36" t="s">
        <v>675</v>
      </c>
      <c r="C494" s="36">
        <v>31</v>
      </c>
      <c r="D494" s="36">
        <v>1</v>
      </c>
      <c r="E494" s="36" t="s">
        <v>1413</v>
      </c>
    </row>
    <row r="495" spans="1:5">
      <c r="A495" s="36">
        <v>494</v>
      </c>
      <c r="B495" s="36" t="s">
        <v>680</v>
      </c>
      <c r="C495" s="36">
        <v>31</v>
      </c>
      <c r="D495" s="36">
        <v>8</v>
      </c>
      <c r="E495" s="36" t="s">
        <v>1419</v>
      </c>
    </row>
    <row r="496" spans="1:5">
      <c r="A496" s="36">
        <v>495</v>
      </c>
      <c r="B496" s="36" t="s">
        <v>681</v>
      </c>
      <c r="C496" s="36">
        <v>31</v>
      </c>
      <c r="D496" s="36">
        <v>2</v>
      </c>
      <c r="E496" s="36" t="s">
        <v>1416</v>
      </c>
    </row>
    <row r="497" spans="1:5">
      <c r="A497" s="36">
        <v>496</v>
      </c>
      <c r="B497" s="36" t="s">
        <v>661</v>
      </c>
      <c r="C497" s="36">
        <v>31</v>
      </c>
      <c r="D497" s="36">
        <v>12</v>
      </c>
      <c r="E497" s="36" t="s">
        <v>1413</v>
      </c>
    </row>
    <row r="498" spans="1:5">
      <c r="A498" s="36">
        <v>497</v>
      </c>
      <c r="B498" s="36" t="s">
        <v>682</v>
      </c>
      <c r="C498" s="36">
        <v>31</v>
      </c>
      <c r="D498" s="36">
        <v>4</v>
      </c>
      <c r="E498" s="36" t="s">
        <v>1416</v>
      </c>
    </row>
    <row r="499" spans="1:5">
      <c r="A499" s="36">
        <v>498</v>
      </c>
      <c r="B499" s="36" t="s">
        <v>683</v>
      </c>
      <c r="C499" s="36">
        <v>31</v>
      </c>
      <c r="D499" s="36">
        <v>12</v>
      </c>
      <c r="E499" s="36" t="s">
        <v>1413</v>
      </c>
    </row>
    <row r="500" spans="1:5">
      <c r="A500" s="36">
        <v>499</v>
      </c>
      <c r="B500" s="36" t="s">
        <v>662</v>
      </c>
      <c r="C500" s="36">
        <v>31</v>
      </c>
      <c r="D500" s="36">
        <v>10</v>
      </c>
      <c r="E500" s="36" t="s">
        <v>1416</v>
      </c>
    </row>
    <row r="501" spans="1:5">
      <c r="A501" s="36">
        <v>500</v>
      </c>
      <c r="B501" s="36" t="s">
        <v>676</v>
      </c>
      <c r="C501" s="36">
        <v>31</v>
      </c>
      <c r="D501" s="36">
        <v>1</v>
      </c>
      <c r="E501" s="36" t="s">
        <v>1413</v>
      </c>
    </row>
    <row r="502" spans="1:5">
      <c r="A502" s="36">
        <v>501</v>
      </c>
      <c r="B502" s="36" t="s">
        <v>684</v>
      </c>
      <c r="C502" s="36">
        <v>31</v>
      </c>
      <c r="D502" s="36">
        <v>4</v>
      </c>
      <c r="E502" s="36" t="s">
        <v>1416</v>
      </c>
    </row>
    <row r="503" spans="1:5">
      <c r="A503" s="36">
        <v>502</v>
      </c>
      <c r="B503" s="36" t="s">
        <v>685</v>
      </c>
      <c r="C503" s="36">
        <v>31</v>
      </c>
      <c r="D503" s="36">
        <v>5</v>
      </c>
      <c r="E503" s="36" t="s">
        <v>1413</v>
      </c>
    </row>
    <row r="504" spans="1:5">
      <c r="A504" s="36">
        <v>503</v>
      </c>
      <c r="B504" s="36" t="s">
        <v>686</v>
      </c>
      <c r="C504" s="36">
        <v>31</v>
      </c>
      <c r="D504" s="36">
        <v>12</v>
      </c>
      <c r="E504" s="36" t="s">
        <v>1413</v>
      </c>
    </row>
    <row r="505" spans="1:5">
      <c r="A505" s="36">
        <v>504</v>
      </c>
      <c r="B505" s="36" t="s">
        <v>687</v>
      </c>
      <c r="C505" s="36">
        <v>31</v>
      </c>
      <c r="D505" s="36">
        <v>12</v>
      </c>
      <c r="E505" s="36" t="s">
        <v>1419</v>
      </c>
    </row>
    <row r="506" spans="1:5">
      <c r="A506" s="36">
        <v>505</v>
      </c>
      <c r="B506" s="36" t="s">
        <v>663</v>
      </c>
      <c r="C506" s="36">
        <v>31</v>
      </c>
      <c r="D506" s="36">
        <v>7</v>
      </c>
      <c r="E506" s="36" t="s">
        <v>1416</v>
      </c>
    </row>
    <row r="507" spans="1:5">
      <c r="A507" s="36">
        <v>506</v>
      </c>
      <c r="B507" s="36" t="s">
        <v>664</v>
      </c>
      <c r="C507" s="36">
        <v>31</v>
      </c>
      <c r="D507" s="36">
        <v>9</v>
      </c>
      <c r="E507" s="36" t="s">
        <v>1416</v>
      </c>
    </row>
    <row r="508" spans="1:5">
      <c r="A508" s="36">
        <v>507</v>
      </c>
      <c r="B508" s="36" t="s">
        <v>665</v>
      </c>
      <c r="C508" s="36">
        <v>31</v>
      </c>
      <c r="D508" s="36">
        <v>5</v>
      </c>
      <c r="E508" s="36" t="s">
        <v>1416</v>
      </c>
    </row>
    <row r="509" spans="1:5">
      <c r="A509" s="36">
        <v>508</v>
      </c>
      <c r="B509" s="36" t="s">
        <v>666</v>
      </c>
      <c r="C509" s="36">
        <v>31</v>
      </c>
      <c r="D509" s="36">
        <v>6</v>
      </c>
      <c r="E509" s="36" t="s">
        <v>1416</v>
      </c>
    </row>
    <row r="510" spans="1:5">
      <c r="A510" s="36">
        <v>509</v>
      </c>
      <c r="B510" s="36" t="s">
        <v>667</v>
      </c>
      <c r="C510" s="36">
        <v>31</v>
      </c>
      <c r="D510" s="36">
        <v>7</v>
      </c>
      <c r="E510" s="36" t="s">
        <v>1416</v>
      </c>
    </row>
    <row r="511" spans="1:5">
      <c r="A511" s="36">
        <v>510</v>
      </c>
      <c r="B511" s="36" t="s">
        <v>668</v>
      </c>
      <c r="C511" s="36">
        <v>31</v>
      </c>
      <c r="D511" s="36">
        <v>1</v>
      </c>
      <c r="E511" s="36" t="s">
        <v>1416</v>
      </c>
    </row>
    <row r="512" spans="1:5">
      <c r="A512" s="36">
        <v>511</v>
      </c>
      <c r="B512" s="36" t="s">
        <v>669</v>
      </c>
      <c r="C512" s="36">
        <v>31</v>
      </c>
      <c r="D512" s="36">
        <v>3</v>
      </c>
      <c r="E512" s="36" t="s">
        <v>1416</v>
      </c>
    </row>
    <row r="513" spans="1:5">
      <c r="A513" s="36">
        <v>512</v>
      </c>
      <c r="B513" s="36" t="s">
        <v>670</v>
      </c>
      <c r="C513" s="36">
        <v>31</v>
      </c>
      <c r="D513" s="36">
        <v>13</v>
      </c>
      <c r="E513" s="36" t="s">
        <v>1413</v>
      </c>
    </row>
    <row r="514" spans="1:5">
      <c r="A514" s="36">
        <v>513</v>
      </c>
      <c r="B514" s="36" t="s">
        <v>671</v>
      </c>
      <c r="C514" s="36">
        <v>31</v>
      </c>
      <c r="D514" s="36">
        <v>6</v>
      </c>
      <c r="E514" s="36" t="s">
        <v>1416</v>
      </c>
    </row>
    <row r="515" spans="1:5">
      <c r="A515" s="36">
        <v>514</v>
      </c>
      <c r="B515" s="36" t="s">
        <v>672</v>
      </c>
      <c r="C515" s="36">
        <v>31</v>
      </c>
      <c r="D515" s="36">
        <v>10</v>
      </c>
      <c r="E515" s="36" t="s">
        <v>1416</v>
      </c>
    </row>
    <row r="516" spans="1:5">
      <c r="A516" s="36">
        <v>515</v>
      </c>
      <c r="B516" s="36" t="s">
        <v>673</v>
      </c>
      <c r="C516" s="36">
        <v>31</v>
      </c>
      <c r="D516" s="36">
        <v>7</v>
      </c>
      <c r="E516" s="36" t="s">
        <v>1416</v>
      </c>
    </row>
    <row r="517" spans="1:5">
      <c r="A517" s="36">
        <v>516</v>
      </c>
      <c r="B517" s="36" t="s">
        <v>674</v>
      </c>
      <c r="C517" s="36">
        <v>31</v>
      </c>
      <c r="D517" s="36">
        <v>10</v>
      </c>
      <c r="E517" s="36" t="s">
        <v>1416</v>
      </c>
    </row>
    <row r="518" spans="1:5">
      <c r="A518" s="36">
        <v>517</v>
      </c>
      <c r="B518" s="36" t="s">
        <v>712</v>
      </c>
      <c r="C518" s="36">
        <v>30</v>
      </c>
      <c r="D518" s="36">
        <v>12</v>
      </c>
      <c r="E518" s="36" t="s">
        <v>1413</v>
      </c>
    </row>
    <row r="519" spans="1:5">
      <c r="A519" s="36">
        <v>518</v>
      </c>
      <c r="B519" s="36" t="s">
        <v>713</v>
      </c>
      <c r="C519" s="36">
        <v>30</v>
      </c>
      <c r="D519" s="36">
        <v>9</v>
      </c>
      <c r="E519" s="36" t="s">
        <v>1416</v>
      </c>
    </row>
    <row r="520" spans="1:5">
      <c r="A520" s="36">
        <v>519</v>
      </c>
      <c r="B520" s="36" t="s">
        <v>714</v>
      </c>
      <c r="C520" s="36">
        <v>30</v>
      </c>
      <c r="D520" s="36">
        <v>2</v>
      </c>
      <c r="E520" s="36" t="s">
        <v>1416</v>
      </c>
    </row>
    <row r="521" spans="1:5">
      <c r="A521" s="36">
        <v>520</v>
      </c>
      <c r="B521" s="36" t="s">
        <v>715</v>
      </c>
      <c r="C521" s="36">
        <v>30</v>
      </c>
      <c r="D521" s="36">
        <v>11</v>
      </c>
      <c r="E521" s="36" t="s">
        <v>1413</v>
      </c>
    </row>
    <row r="522" spans="1:5">
      <c r="A522" s="36">
        <v>521</v>
      </c>
      <c r="B522" s="36" t="s">
        <v>716</v>
      </c>
      <c r="C522" s="36">
        <v>30</v>
      </c>
      <c r="D522" s="36">
        <v>1</v>
      </c>
      <c r="E522" s="36" t="s">
        <v>1416</v>
      </c>
    </row>
    <row r="523" spans="1:5">
      <c r="A523" s="36">
        <v>522</v>
      </c>
      <c r="B523" s="36" t="s">
        <v>717</v>
      </c>
      <c r="C523" s="36">
        <v>30</v>
      </c>
      <c r="D523" s="36">
        <v>3</v>
      </c>
      <c r="E523" s="36" t="s">
        <v>1416</v>
      </c>
    </row>
    <row r="524" spans="1:5">
      <c r="A524" s="36">
        <v>523</v>
      </c>
      <c r="B524" s="36" t="s">
        <v>718</v>
      </c>
      <c r="C524" s="36">
        <v>30</v>
      </c>
      <c r="D524" s="36">
        <v>6</v>
      </c>
      <c r="E524" s="36" t="s">
        <v>1416</v>
      </c>
    </row>
    <row r="525" spans="1:5">
      <c r="A525" s="36">
        <v>524</v>
      </c>
      <c r="B525" s="36" t="s">
        <v>691</v>
      </c>
      <c r="C525" s="36">
        <v>30</v>
      </c>
      <c r="D525" s="36">
        <v>8</v>
      </c>
      <c r="E525" s="36" t="s">
        <v>1416</v>
      </c>
    </row>
    <row r="526" spans="1:5">
      <c r="A526" s="36">
        <v>525</v>
      </c>
      <c r="B526" s="36" t="s">
        <v>692</v>
      </c>
      <c r="C526" s="36">
        <v>30</v>
      </c>
      <c r="D526" s="36">
        <v>2</v>
      </c>
      <c r="E526" s="36" t="s">
        <v>1416</v>
      </c>
    </row>
    <row r="527" spans="1:5">
      <c r="A527" s="36">
        <v>526</v>
      </c>
      <c r="B527" s="36" t="s">
        <v>693</v>
      </c>
      <c r="C527" s="36">
        <v>30</v>
      </c>
      <c r="D527" s="36">
        <v>9</v>
      </c>
      <c r="E527" s="36" t="s">
        <v>1413</v>
      </c>
    </row>
    <row r="528" spans="1:5">
      <c r="A528" s="36">
        <v>527</v>
      </c>
      <c r="B528" s="36" t="s">
        <v>694</v>
      </c>
      <c r="C528" s="36">
        <v>30</v>
      </c>
      <c r="D528" s="36">
        <v>10</v>
      </c>
      <c r="E528" s="36" t="s">
        <v>1416</v>
      </c>
    </row>
    <row r="529" spans="1:5">
      <c r="A529" s="36">
        <v>528</v>
      </c>
      <c r="B529" s="36" t="s">
        <v>695</v>
      </c>
      <c r="C529" s="36">
        <v>30</v>
      </c>
      <c r="D529" s="36">
        <v>1</v>
      </c>
      <c r="E529" s="36" t="s">
        <v>1413</v>
      </c>
    </row>
    <row r="530" spans="1:5">
      <c r="A530" s="36">
        <v>529</v>
      </c>
      <c r="B530" s="36" t="s">
        <v>696</v>
      </c>
      <c r="C530" s="36">
        <v>30</v>
      </c>
      <c r="D530" s="36">
        <v>6</v>
      </c>
      <c r="E530" s="36" t="s">
        <v>1416</v>
      </c>
    </row>
    <row r="531" spans="1:5">
      <c r="A531" s="36">
        <v>530</v>
      </c>
      <c r="B531" s="36" t="s">
        <v>697</v>
      </c>
      <c r="C531" s="36">
        <v>30</v>
      </c>
      <c r="D531" s="36">
        <v>1</v>
      </c>
      <c r="E531" s="36" t="s">
        <v>1419</v>
      </c>
    </row>
    <row r="532" spans="1:5">
      <c r="A532" s="36">
        <v>531</v>
      </c>
      <c r="B532" s="36" t="s">
        <v>698</v>
      </c>
      <c r="C532" s="36">
        <v>30</v>
      </c>
      <c r="D532" s="36">
        <v>7</v>
      </c>
      <c r="E532" s="36" t="s">
        <v>1419</v>
      </c>
    </row>
    <row r="533" spans="1:5">
      <c r="A533" s="36">
        <v>532</v>
      </c>
      <c r="B533" s="36" t="s">
        <v>700</v>
      </c>
      <c r="C533" s="36">
        <v>30</v>
      </c>
      <c r="D533" s="36">
        <v>8</v>
      </c>
      <c r="E533" s="36" t="s">
        <v>1416</v>
      </c>
    </row>
    <row r="534" spans="1:5">
      <c r="A534" s="36">
        <v>533</v>
      </c>
      <c r="B534" s="36" t="s">
        <v>701</v>
      </c>
      <c r="C534" s="36">
        <v>30</v>
      </c>
      <c r="D534" s="36">
        <v>5</v>
      </c>
      <c r="E534" s="36" t="s">
        <v>1416</v>
      </c>
    </row>
    <row r="535" spans="1:5">
      <c r="A535" s="36">
        <v>534</v>
      </c>
      <c r="B535" s="36" t="s">
        <v>702</v>
      </c>
      <c r="C535" s="36">
        <v>30</v>
      </c>
      <c r="D535" s="36">
        <v>3</v>
      </c>
      <c r="E535" s="36" t="s">
        <v>1416</v>
      </c>
    </row>
    <row r="536" spans="1:5">
      <c r="A536" s="36">
        <v>535</v>
      </c>
      <c r="B536" s="36" t="s">
        <v>703</v>
      </c>
      <c r="C536" s="36">
        <v>30</v>
      </c>
      <c r="D536" s="36">
        <v>9</v>
      </c>
      <c r="E536" s="36" t="s">
        <v>1419</v>
      </c>
    </row>
    <row r="537" spans="1:5">
      <c r="A537" s="36">
        <v>536</v>
      </c>
      <c r="B537" s="36" t="s">
        <v>704</v>
      </c>
      <c r="C537" s="36">
        <v>30</v>
      </c>
      <c r="D537" s="36">
        <v>5</v>
      </c>
      <c r="E537" s="36" t="s">
        <v>1416</v>
      </c>
    </row>
    <row r="538" spans="1:5">
      <c r="A538" s="36">
        <v>537</v>
      </c>
      <c r="B538" s="36" t="s">
        <v>705</v>
      </c>
      <c r="C538" s="36">
        <v>30</v>
      </c>
      <c r="D538" s="36">
        <v>1</v>
      </c>
      <c r="E538" s="36" t="s">
        <v>1416</v>
      </c>
    </row>
    <row r="539" spans="1:5">
      <c r="A539" s="36">
        <v>538</v>
      </c>
      <c r="B539" s="36" t="s">
        <v>706</v>
      </c>
      <c r="C539" s="36">
        <v>30</v>
      </c>
      <c r="D539" s="36">
        <v>12</v>
      </c>
      <c r="E539" s="36" t="s">
        <v>1416</v>
      </c>
    </row>
    <row r="540" spans="1:5">
      <c r="A540" s="36">
        <v>539</v>
      </c>
      <c r="B540" s="36" t="s">
        <v>707</v>
      </c>
      <c r="C540" s="36">
        <v>30</v>
      </c>
      <c r="D540" s="36">
        <v>6</v>
      </c>
      <c r="E540" s="36" t="s">
        <v>1416</v>
      </c>
    </row>
    <row r="541" spans="1:5">
      <c r="A541" s="36">
        <v>540</v>
      </c>
      <c r="B541" s="36" t="s">
        <v>708</v>
      </c>
      <c r="C541" s="36">
        <v>30</v>
      </c>
      <c r="D541" s="36">
        <v>9</v>
      </c>
      <c r="E541" s="36" t="s">
        <v>1416</v>
      </c>
    </row>
    <row r="542" spans="1:5">
      <c r="A542" s="36">
        <v>541</v>
      </c>
      <c r="B542" s="36" t="s">
        <v>709</v>
      </c>
      <c r="C542" s="36">
        <v>30</v>
      </c>
      <c r="D542" s="36">
        <v>8</v>
      </c>
      <c r="E542" s="36" t="s">
        <v>1419</v>
      </c>
    </row>
    <row r="543" spans="1:5">
      <c r="A543" s="36">
        <v>542</v>
      </c>
      <c r="B543" s="36" t="s">
        <v>710</v>
      </c>
      <c r="C543" s="36">
        <v>30</v>
      </c>
      <c r="D543" s="36">
        <v>9</v>
      </c>
      <c r="E543" s="36" t="s">
        <v>1416</v>
      </c>
    </row>
    <row r="544" spans="1:5">
      <c r="A544" s="36">
        <v>543</v>
      </c>
      <c r="B544" s="36" t="s">
        <v>745</v>
      </c>
      <c r="C544" s="36">
        <v>29</v>
      </c>
      <c r="D544" s="36">
        <v>13</v>
      </c>
      <c r="E544" s="36" t="s">
        <v>1413</v>
      </c>
    </row>
    <row r="545" spans="1:5">
      <c r="A545" s="36">
        <v>544</v>
      </c>
      <c r="B545" s="36" t="s">
        <v>746</v>
      </c>
      <c r="C545" s="36">
        <v>29</v>
      </c>
      <c r="D545" s="36">
        <v>10</v>
      </c>
      <c r="E545" s="36" t="s">
        <v>1413</v>
      </c>
    </row>
    <row r="546" spans="1:5">
      <c r="A546" s="36">
        <v>545</v>
      </c>
      <c r="B546" s="36" t="s">
        <v>747</v>
      </c>
      <c r="C546" s="36">
        <v>29</v>
      </c>
      <c r="D546" s="36">
        <v>5</v>
      </c>
      <c r="E546" s="36" t="s">
        <v>1416</v>
      </c>
    </row>
    <row r="547" spans="1:5">
      <c r="A547" s="36">
        <v>546</v>
      </c>
      <c r="B547" s="36" t="s">
        <v>748</v>
      </c>
      <c r="C547" s="36">
        <v>29</v>
      </c>
      <c r="D547" s="36">
        <v>7</v>
      </c>
      <c r="E547" s="36" t="s">
        <v>1416</v>
      </c>
    </row>
    <row r="548" spans="1:5">
      <c r="A548" s="36">
        <v>547</v>
      </c>
      <c r="B548" s="36" t="s">
        <v>749</v>
      </c>
      <c r="C548" s="36">
        <v>29</v>
      </c>
      <c r="D548" s="36">
        <v>5</v>
      </c>
      <c r="E548" s="36" t="s">
        <v>1416</v>
      </c>
    </row>
    <row r="549" spans="1:5">
      <c r="A549" s="36">
        <v>548</v>
      </c>
      <c r="B549" s="36" t="s">
        <v>750</v>
      </c>
      <c r="C549" s="36">
        <v>29</v>
      </c>
      <c r="D549" s="36">
        <v>13</v>
      </c>
      <c r="E549" s="36" t="s">
        <v>1413</v>
      </c>
    </row>
    <row r="550" spans="1:5">
      <c r="A550" s="36">
        <v>549</v>
      </c>
      <c r="B550" s="36" t="s">
        <v>751</v>
      </c>
      <c r="C550" s="36">
        <v>29</v>
      </c>
      <c r="D550" s="36">
        <v>7</v>
      </c>
      <c r="E550" s="36" t="s">
        <v>1413</v>
      </c>
    </row>
    <row r="551" spans="1:5">
      <c r="A551" s="36">
        <v>550</v>
      </c>
      <c r="B551" s="36" t="s">
        <v>752</v>
      </c>
      <c r="C551" s="36">
        <v>29</v>
      </c>
      <c r="D551" s="36">
        <v>7</v>
      </c>
      <c r="E551" s="36" t="s">
        <v>1416</v>
      </c>
    </row>
    <row r="552" spans="1:5">
      <c r="A552" s="36">
        <v>551</v>
      </c>
      <c r="B552" s="36" t="s">
        <v>753</v>
      </c>
      <c r="C552" s="36">
        <v>29</v>
      </c>
      <c r="D552" s="36">
        <v>2</v>
      </c>
      <c r="E552" s="36" t="s">
        <v>1419</v>
      </c>
    </row>
    <row r="553" spans="1:5">
      <c r="A553" s="36">
        <v>552</v>
      </c>
      <c r="B553" s="36" t="s">
        <v>754</v>
      </c>
      <c r="C553" s="36">
        <v>29</v>
      </c>
      <c r="D553" s="36">
        <v>13</v>
      </c>
      <c r="E553" s="36" t="s">
        <v>1413</v>
      </c>
    </row>
    <row r="554" spans="1:5">
      <c r="A554" s="36">
        <v>553</v>
      </c>
      <c r="B554" s="36" t="s">
        <v>739</v>
      </c>
      <c r="C554" s="36">
        <v>29</v>
      </c>
      <c r="D554" s="36">
        <v>9</v>
      </c>
      <c r="E554" s="36" t="s">
        <v>1413</v>
      </c>
    </row>
    <row r="555" spans="1:5">
      <c r="A555" s="36">
        <v>554</v>
      </c>
      <c r="B555" s="36" t="s">
        <v>720</v>
      </c>
      <c r="C555" s="36">
        <v>29</v>
      </c>
      <c r="D555" s="36">
        <v>10</v>
      </c>
      <c r="E555" s="36" t="s">
        <v>1413</v>
      </c>
    </row>
    <row r="556" spans="1:5">
      <c r="A556" s="36">
        <v>555</v>
      </c>
      <c r="B556" s="36" t="s">
        <v>721</v>
      </c>
      <c r="C556" s="36">
        <v>29</v>
      </c>
      <c r="D556" s="36">
        <v>12</v>
      </c>
      <c r="E556" s="36" t="s">
        <v>1416</v>
      </c>
    </row>
    <row r="557" spans="1:5">
      <c r="A557" s="36">
        <v>556</v>
      </c>
      <c r="B557" s="36" t="s">
        <v>722</v>
      </c>
      <c r="C557" s="36">
        <v>29</v>
      </c>
      <c r="D557" s="36">
        <v>7</v>
      </c>
      <c r="E557" s="36" t="s">
        <v>1416</v>
      </c>
    </row>
    <row r="558" spans="1:5">
      <c r="A558" s="36">
        <v>557</v>
      </c>
      <c r="B558" s="36" t="s">
        <v>723</v>
      </c>
      <c r="C558" s="36">
        <v>29</v>
      </c>
      <c r="D558" s="36">
        <v>1</v>
      </c>
      <c r="E558" s="36" t="s">
        <v>1416</v>
      </c>
    </row>
    <row r="559" spans="1:5">
      <c r="A559" s="36">
        <v>558</v>
      </c>
      <c r="B559" s="36" t="s">
        <v>724</v>
      </c>
      <c r="C559" s="36">
        <v>29</v>
      </c>
      <c r="D559" s="36">
        <v>5</v>
      </c>
      <c r="E559" s="36" t="s">
        <v>1416</v>
      </c>
    </row>
    <row r="560" spans="1:5">
      <c r="A560" s="36">
        <v>559</v>
      </c>
      <c r="B560" s="36" t="s">
        <v>725</v>
      </c>
      <c r="C560" s="36">
        <v>29</v>
      </c>
      <c r="D560" s="36">
        <v>3</v>
      </c>
      <c r="E560" s="36" t="s">
        <v>1416</v>
      </c>
    </row>
    <row r="561" spans="1:5">
      <c r="A561" s="36">
        <v>560</v>
      </c>
      <c r="B561" s="36" t="s">
        <v>726</v>
      </c>
      <c r="C561" s="36">
        <v>29</v>
      </c>
      <c r="D561" s="36">
        <v>6</v>
      </c>
      <c r="E561" s="36" t="s">
        <v>1413</v>
      </c>
    </row>
    <row r="562" spans="1:5">
      <c r="A562" s="36">
        <v>561</v>
      </c>
      <c r="B562" s="36" t="s">
        <v>727</v>
      </c>
      <c r="C562" s="36">
        <v>29</v>
      </c>
      <c r="D562" s="36">
        <v>12</v>
      </c>
      <c r="E562" s="36" t="s">
        <v>1413</v>
      </c>
    </row>
    <row r="563" spans="1:5">
      <c r="A563" s="36">
        <v>562</v>
      </c>
      <c r="B563" s="36" t="s">
        <v>728</v>
      </c>
      <c r="C563" s="36">
        <v>29</v>
      </c>
      <c r="D563" s="36">
        <v>13</v>
      </c>
      <c r="E563" s="36" t="s">
        <v>1416</v>
      </c>
    </row>
    <row r="564" spans="1:5">
      <c r="A564" s="36">
        <v>563</v>
      </c>
      <c r="B564" s="36" t="s">
        <v>729</v>
      </c>
      <c r="C564" s="36">
        <v>29</v>
      </c>
      <c r="D564" s="36">
        <v>4</v>
      </c>
      <c r="E564" s="36" t="s">
        <v>1416</v>
      </c>
    </row>
    <row r="565" spans="1:5">
      <c r="A565" s="36">
        <v>564</v>
      </c>
      <c r="B565" s="36" t="s">
        <v>730</v>
      </c>
      <c r="C565" s="36">
        <v>29</v>
      </c>
      <c r="D565" s="36">
        <v>9</v>
      </c>
      <c r="E565" s="36" t="s">
        <v>1416</v>
      </c>
    </row>
    <row r="566" spans="1:5">
      <c r="A566" s="36">
        <v>565</v>
      </c>
      <c r="B566" s="36" t="s">
        <v>731</v>
      </c>
      <c r="C566" s="36">
        <v>29</v>
      </c>
      <c r="D566" s="36">
        <v>2</v>
      </c>
      <c r="E566" s="36" t="s">
        <v>1416</v>
      </c>
    </row>
    <row r="567" spans="1:5">
      <c r="A567" s="36">
        <v>566</v>
      </c>
      <c r="B567" s="36" t="s">
        <v>733</v>
      </c>
      <c r="C567" s="36">
        <v>29</v>
      </c>
      <c r="D567" s="36">
        <v>12</v>
      </c>
      <c r="E567" s="36" t="s">
        <v>1413</v>
      </c>
    </row>
    <row r="568" spans="1:5">
      <c r="A568" s="36">
        <v>567</v>
      </c>
      <c r="B568" s="36" t="s">
        <v>732</v>
      </c>
      <c r="C568" s="36">
        <v>29</v>
      </c>
      <c r="D568" s="36">
        <v>14</v>
      </c>
      <c r="E568" s="36" t="s">
        <v>1416</v>
      </c>
    </row>
    <row r="569" spans="1:5">
      <c r="A569" s="36">
        <v>568</v>
      </c>
      <c r="B569" s="36" t="s">
        <v>734</v>
      </c>
      <c r="C569" s="36">
        <v>29</v>
      </c>
      <c r="D569" s="36">
        <v>12</v>
      </c>
      <c r="E569" s="36" t="s">
        <v>1416</v>
      </c>
    </row>
    <row r="570" spans="1:5">
      <c r="A570" s="36">
        <v>569</v>
      </c>
      <c r="B570" s="36" t="s">
        <v>744</v>
      </c>
      <c r="C570" s="36">
        <v>29</v>
      </c>
      <c r="D570" s="36">
        <v>1</v>
      </c>
      <c r="E570" s="36" t="s">
        <v>1416</v>
      </c>
    </row>
    <row r="571" spans="1:5">
      <c r="A571" s="36">
        <v>570</v>
      </c>
      <c r="B571" s="36" t="s">
        <v>736</v>
      </c>
      <c r="C571" s="36">
        <v>29</v>
      </c>
      <c r="D571" s="36">
        <v>5</v>
      </c>
      <c r="E571" s="36" t="s">
        <v>1413</v>
      </c>
    </row>
    <row r="572" spans="1:5">
      <c r="A572" s="36">
        <v>571</v>
      </c>
      <c r="B572" s="36" t="s">
        <v>777</v>
      </c>
      <c r="C572" s="36">
        <v>28</v>
      </c>
      <c r="D572" s="36">
        <v>1</v>
      </c>
      <c r="E572" s="36" t="s">
        <v>1419</v>
      </c>
    </row>
    <row r="573" spans="1:5">
      <c r="A573" s="36">
        <v>572</v>
      </c>
      <c r="B573" s="36" t="s">
        <v>778</v>
      </c>
      <c r="C573" s="36">
        <v>28</v>
      </c>
      <c r="D573" s="36">
        <v>14</v>
      </c>
      <c r="E573" s="36" t="s">
        <v>1413</v>
      </c>
    </row>
    <row r="574" spans="1:5">
      <c r="A574" s="36">
        <v>573</v>
      </c>
      <c r="B574" s="36" t="s">
        <v>779</v>
      </c>
      <c r="C574" s="36">
        <v>28</v>
      </c>
      <c r="D574" s="36">
        <v>11</v>
      </c>
      <c r="E574" s="36" t="s">
        <v>1416</v>
      </c>
    </row>
    <row r="575" spans="1:5">
      <c r="A575" s="36">
        <v>574</v>
      </c>
      <c r="B575" s="36" t="s">
        <v>780</v>
      </c>
      <c r="C575" s="36">
        <v>28</v>
      </c>
      <c r="D575" s="36">
        <v>12</v>
      </c>
      <c r="E575" s="36" t="s">
        <v>1413</v>
      </c>
    </row>
    <row r="576" spans="1:5">
      <c r="A576" s="36">
        <v>575</v>
      </c>
      <c r="B576" s="36" t="s">
        <v>781</v>
      </c>
      <c r="C576" s="36">
        <v>28</v>
      </c>
      <c r="D576" s="36">
        <v>1</v>
      </c>
      <c r="E576" s="36" t="s">
        <v>1416</v>
      </c>
    </row>
    <row r="577" spans="1:5">
      <c r="A577" s="36">
        <v>576</v>
      </c>
      <c r="B577" s="36" t="s">
        <v>782</v>
      </c>
      <c r="C577" s="36">
        <v>28</v>
      </c>
      <c r="D577" s="36">
        <v>15</v>
      </c>
      <c r="E577" s="36" t="s">
        <v>1413</v>
      </c>
    </row>
    <row r="578" spans="1:5">
      <c r="A578" s="36">
        <v>577</v>
      </c>
      <c r="B578" s="36" t="s">
        <v>783</v>
      </c>
      <c r="C578" s="36">
        <v>28</v>
      </c>
      <c r="D578" s="36">
        <v>5</v>
      </c>
      <c r="E578" s="36" t="s">
        <v>1419</v>
      </c>
    </row>
    <row r="579" spans="1:5">
      <c r="A579" s="36">
        <v>578</v>
      </c>
      <c r="B579" s="36" t="s">
        <v>759</v>
      </c>
      <c r="C579" s="36">
        <v>28</v>
      </c>
      <c r="D579" s="36">
        <v>2</v>
      </c>
      <c r="E579" s="36" t="s">
        <v>1416</v>
      </c>
    </row>
    <row r="580" spans="1:5">
      <c r="A580" s="36">
        <v>579</v>
      </c>
      <c r="B580" s="36" t="s">
        <v>774</v>
      </c>
      <c r="C580" s="36">
        <v>28</v>
      </c>
      <c r="D580" s="36">
        <v>9</v>
      </c>
      <c r="E580" s="36" t="s">
        <v>1413</v>
      </c>
    </row>
    <row r="581" spans="1:5">
      <c r="A581" s="36">
        <v>580</v>
      </c>
      <c r="B581" s="36" t="s">
        <v>760</v>
      </c>
      <c r="C581" s="36">
        <v>28</v>
      </c>
      <c r="D581" s="36">
        <v>5</v>
      </c>
      <c r="E581" s="36" t="s">
        <v>1416</v>
      </c>
    </row>
    <row r="582" spans="1:5">
      <c r="A582" s="36">
        <v>581</v>
      </c>
      <c r="B582" s="36" t="s">
        <v>761</v>
      </c>
      <c r="C582" s="36">
        <v>28</v>
      </c>
      <c r="D582" s="36">
        <v>12</v>
      </c>
      <c r="E582" s="36" t="s">
        <v>1416</v>
      </c>
    </row>
    <row r="583" spans="1:5">
      <c r="A583" s="36">
        <v>582</v>
      </c>
      <c r="B583" s="36" t="s">
        <v>762</v>
      </c>
      <c r="C583" s="36">
        <v>28</v>
      </c>
      <c r="D583" s="36">
        <v>4</v>
      </c>
      <c r="E583" s="36" t="s">
        <v>1413</v>
      </c>
    </row>
    <row r="584" spans="1:5">
      <c r="A584" s="36">
        <v>583</v>
      </c>
      <c r="B584" s="36" t="s">
        <v>763</v>
      </c>
      <c r="C584" s="36">
        <v>28</v>
      </c>
      <c r="D584" s="36">
        <v>3</v>
      </c>
      <c r="E584" s="36" t="s">
        <v>1416</v>
      </c>
    </row>
    <row r="585" spans="1:5">
      <c r="A585" s="36">
        <v>584</v>
      </c>
      <c r="B585" s="36" t="s">
        <v>764</v>
      </c>
      <c r="C585" s="36">
        <v>28</v>
      </c>
      <c r="D585" s="36">
        <v>10</v>
      </c>
      <c r="E585" s="36" t="s">
        <v>1419</v>
      </c>
    </row>
    <row r="586" spans="1:5">
      <c r="A586" s="36">
        <v>585</v>
      </c>
      <c r="B586" s="36" t="s">
        <v>765</v>
      </c>
      <c r="C586" s="36">
        <v>28</v>
      </c>
      <c r="D586" s="36">
        <v>4</v>
      </c>
      <c r="E586" s="36" t="s">
        <v>1416</v>
      </c>
    </row>
    <row r="587" spans="1:5">
      <c r="A587" s="36">
        <v>586</v>
      </c>
      <c r="B587" s="36" t="s">
        <v>766</v>
      </c>
      <c r="C587" s="36">
        <v>28</v>
      </c>
      <c r="D587" s="36">
        <v>7</v>
      </c>
      <c r="E587" s="36" t="s">
        <v>1419</v>
      </c>
    </row>
    <row r="588" spans="1:5">
      <c r="A588" s="36">
        <v>587</v>
      </c>
      <c r="B588" s="36" t="s">
        <v>767</v>
      </c>
      <c r="C588" s="36">
        <v>28</v>
      </c>
      <c r="D588" s="36">
        <v>6</v>
      </c>
      <c r="E588" s="36" t="s">
        <v>1416</v>
      </c>
    </row>
    <row r="589" spans="1:5">
      <c r="A589" s="36">
        <v>588</v>
      </c>
      <c r="B589" s="36" t="s">
        <v>768</v>
      </c>
      <c r="C589" s="36">
        <v>28</v>
      </c>
      <c r="D589" s="36">
        <v>8</v>
      </c>
      <c r="E589" s="36" t="s">
        <v>1419</v>
      </c>
    </row>
    <row r="590" spans="1:5">
      <c r="A590" s="36">
        <v>589</v>
      </c>
      <c r="B590" s="36" t="s">
        <v>769</v>
      </c>
      <c r="C590" s="36">
        <v>28</v>
      </c>
      <c r="D590" s="36">
        <v>6</v>
      </c>
      <c r="E590" s="36" t="s">
        <v>1416</v>
      </c>
    </row>
    <row r="591" spans="1:5">
      <c r="A591" s="36">
        <v>590</v>
      </c>
      <c r="B591" s="36" t="s">
        <v>770</v>
      </c>
      <c r="C591" s="36">
        <v>28</v>
      </c>
      <c r="D591" s="36">
        <v>4</v>
      </c>
      <c r="E591" s="36" t="s">
        <v>1416</v>
      </c>
    </row>
    <row r="592" spans="1:5">
      <c r="A592" s="36">
        <v>591</v>
      </c>
      <c r="B592" s="36" t="s">
        <v>808</v>
      </c>
      <c r="C592" s="36">
        <v>27</v>
      </c>
      <c r="D592" s="36">
        <v>3</v>
      </c>
      <c r="E592" s="36" t="s">
        <v>1413</v>
      </c>
    </row>
    <row r="593" spans="1:5">
      <c r="A593" s="36">
        <v>592</v>
      </c>
      <c r="B593" s="36" t="s">
        <v>809</v>
      </c>
      <c r="C593" s="36">
        <v>27</v>
      </c>
      <c r="D593" s="36">
        <v>10</v>
      </c>
      <c r="E593" s="36" t="s">
        <v>1416</v>
      </c>
    </row>
    <row r="594" spans="1:5">
      <c r="A594" s="36">
        <v>593</v>
      </c>
      <c r="B594" s="36" t="s">
        <v>810</v>
      </c>
      <c r="C594" s="36">
        <v>27</v>
      </c>
      <c r="D594" s="36">
        <v>9</v>
      </c>
      <c r="E594" s="36" t="s">
        <v>1416</v>
      </c>
    </row>
    <row r="595" spans="1:5">
      <c r="A595" s="36">
        <v>594</v>
      </c>
      <c r="B595" s="36" t="s">
        <v>811</v>
      </c>
      <c r="C595" s="36">
        <v>27</v>
      </c>
      <c r="D595" s="36">
        <v>12</v>
      </c>
      <c r="E595" s="36" t="s">
        <v>1419</v>
      </c>
    </row>
    <row r="596" spans="1:5">
      <c r="A596" s="36">
        <v>595</v>
      </c>
      <c r="B596" s="36" t="s">
        <v>812</v>
      </c>
      <c r="C596" s="36">
        <v>27</v>
      </c>
      <c r="D596" s="36">
        <v>9</v>
      </c>
      <c r="E596" s="36" t="s">
        <v>1413</v>
      </c>
    </row>
    <row r="597" spans="1:5">
      <c r="A597" s="36">
        <v>596</v>
      </c>
      <c r="B597" s="36" t="s">
        <v>813</v>
      </c>
      <c r="C597" s="36">
        <v>27</v>
      </c>
      <c r="D597" s="36">
        <v>15</v>
      </c>
      <c r="E597" s="36" t="s">
        <v>1416</v>
      </c>
    </row>
    <row r="598" spans="1:5">
      <c r="A598" s="36">
        <v>597</v>
      </c>
      <c r="B598" s="36" t="s">
        <v>814</v>
      </c>
      <c r="C598" s="36">
        <v>27</v>
      </c>
      <c r="D598" s="36">
        <v>1</v>
      </c>
      <c r="E598" s="36" t="s">
        <v>1416</v>
      </c>
    </row>
    <row r="599" spans="1:5">
      <c r="A599" s="36">
        <v>598</v>
      </c>
      <c r="B599" s="36" t="s">
        <v>815</v>
      </c>
      <c r="C599" s="36">
        <v>27</v>
      </c>
      <c r="D599" s="36">
        <v>2</v>
      </c>
      <c r="E599" s="36" t="s">
        <v>1416</v>
      </c>
    </row>
    <row r="600" spans="1:5">
      <c r="A600" s="36">
        <v>599</v>
      </c>
      <c r="B600" s="36" t="s">
        <v>816</v>
      </c>
      <c r="C600" s="36">
        <v>27</v>
      </c>
      <c r="D600" s="36">
        <v>7</v>
      </c>
      <c r="E600" s="36" t="s">
        <v>1413</v>
      </c>
    </row>
    <row r="601" spans="1:5">
      <c r="A601" s="36">
        <v>600</v>
      </c>
      <c r="B601" s="36" t="s">
        <v>784</v>
      </c>
      <c r="C601" s="36">
        <v>27</v>
      </c>
      <c r="D601" s="36">
        <v>7</v>
      </c>
      <c r="E601" s="36" t="s">
        <v>1413</v>
      </c>
    </row>
    <row r="602" spans="1:5">
      <c r="A602" s="36">
        <v>601</v>
      </c>
      <c r="B602" s="36" t="s">
        <v>785</v>
      </c>
      <c r="C602" s="36">
        <v>27</v>
      </c>
      <c r="D602" s="36">
        <v>6</v>
      </c>
      <c r="E602" s="36" t="s">
        <v>1419</v>
      </c>
    </row>
    <row r="603" spans="1:5">
      <c r="A603" s="36">
        <v>602</v>
      </c>
      <c r="B603" s="36" t="s">
        <v>817</v>
      </c>
      <c r="C603" s="36">
        <v>27</v>
      </c>
      <c r="D603" s="36">
        <v>3</v>
      </c>
      <c r="E603" s="36" t="s">
        <v>1416</v>
      </c>
    </row>
    <row r="604" spans="1:5">
      <c r="A604" s="36">
        <v>603</v>
      </c>
      <c r="B604" s="36" t="s">
        <v>786</v>
      </c>
      <c r="C604" s="36">
        <v>27</v>
      </c>
      <c r="D604" s="36">
        <v>4</v>
      </c>
      <c r="E604" s="36" t="s">
        <v>1413</v>
      </c>
    </row>
    <row r="605" spans="1:5">
      <c r="A605" s="36">
        <v>604</v>
      </c>
      <c r="B605" s="36" t="s">
        <v>818</v>
      </c>
      <c r="C605" s="36">
        <v>27</v>
      </c>
      <c r="D605" s="36">
        <v>7</v>
      </c>
      <c r="E605" s="36" t="s">
        <v>1419</v>
      </c>
    </row>
    <row r="606" spans="1:5">
      <c r="A606" s="36">
        <v>605</v>
      </c>
      <c r="B606" s="36" t="s">
        <v>787</v>
      </c>
      <c r="C606" s="36">
        <v>27</v>
      </c>
      <c r="D606" s="36">
        <v>6</v>
      </c>
      <c r="E606" s="36" t="s">
        <v>1416</v>
      </c>
    </row>
    <row r="607" spans="1:5">
      <c r="A607" s="36">
        <v>606</v>
      </c>
      <c r="B607" s="36" t="s">
        <v>788</v>
      </c>
      <c r="C607" s="36">
        <v>27</v>
      </c>
      <c r="D607" s="36">
        <v>3</v>
      </c>
      <c r="E607" s="36" t="s">
        <v>1416</v>
      </c>
    </row>
    <row r="608" spans="1:5">
      <c r="A608" s="36">
        <v>607</v>
      </c>
      <c r="B608" s="36" t="s">
        <v>789</v>
      </c>
      <c r="C608" s="36">
        <v>27</v>
      </c>
      <c r="D608" s="36">
        <v>12</v>
      </c>
      <c r="E608" s="36" t="s">
        <v>1416</v>
      </c>
    </row>
    <row r="609" spans="1:5">
      <c r="A609" s="36">
        <v>608</v>
      </c>
      <c r="B609" s="36" t="s">
        <v>790</v>
      </c>
      <c r="C609" s="36">
        <v>27</v>
      </c>
      <c r="D609" s="36">
        <v>15</v>
      </c>
      <c r="E609" s="36" t="s">
        <v>1413</v>
      </c>
    </row>
    <row r="610" spans="1:5">
      <c r="A610" s="36">
        <v>609</v>
      </c>
      <c r="B610" s="36" t="s">
        <v>791</v>
      </c>
      <c r="C610" s="36">
        <v>27</v>
      </c>
      <c r="D610" s="36">
        <v>10</v>
      </c>
      <c r="E610" s="36" t="s">
        <v>1416</v>
      </c>
    </row>
    <row r="611" spans="1:5">
      <c r="A611" s="36">
        <v>610</v>
      </c>
      <c r="B611" s="36" t="s">
        <v>792</v>
      </c>
      <c r="C611" s="36">
        <v>27</v>
      </c>
      <c r="D611" s="36">
        <v>11</v>
      </c>
      <c r="E611" s="36" t="s">
        <v>1413</v>
      </c>
    </row>
    <row r="612" spans="1:5">
      <c r="A612" s="36">
        <v>611</v>
      </c>
      <c r="B612" s="36" t="s">
        <v>793</v>
      </c>
      <c r="C612" s="36">
        <v>27</v>
      </c>
      <c r="D612" s="36">
        <v>9</v>
      </c>
      <c r="E612" s="36" t="s">
        <v>1416</v>
      </c>
    </row>
    <row r="613" spans="1:5">
      <c r="A613" s="36">
        <v>612</v>
      </c>
      <c r="B613" s="36" t="s">
        <v>794</v>
      </c>
      <c r="C613" s="36">
        <v>27</v>
      </c>
      <c r="D613" s="36">
        <v>2</v>
      </c>
      <c r="E613" s="36" t="s">
        <v>1413</v>
      </c>
    </row>
    <row r="614" spans="1:5">
      <c r="A614" s="36">
        <v>613</v>
      </c>
      <c r="B614" s="36" t="s">
        <v>795</v>
      </c>
      <c r="C614" s="36">
        <v>27</v>
      </c>
      <c r="D614" s="36">
        <v>6</v>
      </c>
      <c r="E614" s="36" t="s">
        <v>1416</v>
      </c>
    </row>
    <row r="615" spans="1:5">
      <c r="A615" s="36">
        <v>614</v>
      </c>
      <c r="B615" s="36" t="s">
        <v>807</v>
      </c>
      <c r="C615" s="36">
        <v>27</v>
      </c>
      <c r="D615" s="36">
        <v>13</v>
      </c>
      <c r="E615" s="36" t="s">
        <v>1413</v>
      </c>
    </row>
    <row r="616" spans="1:5">
      <c r="A616" s="36">
        <v>615</v>
      </c>
      <c r="B616" s="36" t="s">
        <v>796</v>
      </c>
      <c r="C616" s="36">
        <v>27</v>
      </c>
      <c r="D616" s="36">
        <v>13</v>
      </c>
      <c r="E616" s="36" t="s">
        <v>1413</v>
      </c>
    </row>
    <row r="617" spans="1:5">
      <c r="A617" s="36">
        <v>616</v>
      </c>
      <c r="B617" s="36" t="s">
        <v>797</v>
      </c>
      <c r="C617" s="36">
        <v>27</v>
      </c>
      <c r="D617" s="36">
        <v>15</v>
      </c>
      <c r="E617" s="36" t="s">
        <v>1413</v>
      </c>
    </row>
    <row r="618" spans="1:5">
      <c r="A618" s="36">
        <v>617</v>
      </c>
      <c r="B618" s="36" t="s">
        <v>798</v>
      </c>
      <c r="C618" s="36">
        <v>27</v>
      </c>
      <c r="D618" s="36">
        <v>15</v>
      </c>
      <c r="E618" s="36" t="s">
        <v>1413</v>
      </c>
    </row>
    <row r="619" spans="1:5">
      <c r="A619" s="36">
        <v>618</v>
      </c>
      <c r="B619" s="36" t="s">
        <v>799</v>
      </c>
      <c r="C619" s="36">
        <v>27</v>
      </c>
      <c r="D619" s="36">
        <v>9</v>
      </c>
      <c r="E619" s="36" t="s">
        <v>1419</v>
      </c>
    </row>
    <row r="620" spans="1:5">
      <c r="A620" s="36">
        <v>619</v>
      </c>
      <c r="B620" s="36" t="s">
        <v>800</v>
      </c>
      <c r="C620" s="36">
        <v>27</v>
      </c>
      <c r="D620" s="36">
        <v>8</v>
      </c>
      <c r="E620" s="36" t="s">
        <v>1416</v>
      </c>
    </row>
    <row r="621" spans="1:5">
      <c r="A621" s="36">
        <v>620</v>
      </c>
      <c r="B621" s="36" t="s">
        <v>801</v>
      </c>
      <c r="C621" s="36">
        <v>27</v>
      </c>
      <c r="D621" s="36">
        <v>3</v>
      </c>
      <c r="E621" s="36" t="s">
        <v>1416</v>
      </c>
    </row>
    <row r="622" spans="1:5">
      <c r="A622" s="36">
        <v>621</v>
      </c>
      <c r="B622" s="36" t="s">
        <v>802</v>
      </c>
      <c r="C622" s="36">
        <v>27</v>
      </c>
      <c r="D622" s="36">
        <v>3</v>
      </c>
      <c r="E622" s="36" t="s">
        <v>1413</v>
      </c>
    </row>
    <row r="623" spans="1:5">
      <c r="A623" s="36">
        <v>622</v>
      </c>
      <c r="B623" s="36" t="s">
        <v>803</v>
      </c>
      <c r="C623" s="36">
        <v>27</v>
      </c>
      <c r="D623" s="36">
        <v>8</v>
      </c>
      <c r="E623" s="36" t="s">
        <v>1416</v>
      </c>
    </row>
    <row r="624" spans="1:5">
      <c r="A624" s="36">
        <v>623</v>
      </c>
      <c r="B624" s="36" t="s">
        <v>804</v>
      </c>
      <c r="C624" s="36">
        <v>27</v>
      </c>
      <c r="D624" s="36">
        <v>15</v>
      </c>
      <c r="E624" s="36" t="s">
        <v>1413</v>
      </c>
    </row>
    <row r="625" spans="1:5">
      <c r="A625" s="36">
        <v>624</v>
      </c>
      <c r="B625" s="36" t="s">
        <v>805</v>
      </c>
      <c r="C625" s="36">
        <v>27</v>
      </c>
      <c r="D625" s="36">
        <v>15</v>
      </c>
      <c r="E625" s="36" t="s">
        <v>1413</v>
      </c>
    </row>
    <row r="626" spans="1:5">
      <c r="A626" s="36">
        <v>625</v>
      </c>
      <c r="B626" s="36" t="s">
        <v>806</v>
      </c>
      <c r="C626" s="36">
        <v>27</v>
      </c>
      <c r="D626" s="36">
        <v>3</v>
      </c>
      <c r="E626" s="36" t="s">
        <v>1413</v>
      </c>
    </row>
    <row r="627" spans="1:5">
      <c r="A627" s="36">
        <v>626</v>
      </c>
      <c r="B627" s="36" t="s">
        <v>845</v>
      </c>
      <c r="C627" s="36">
        <v>26</v>
      </c>
      <c r="D627" s="36">
        <v>15</v>
      </c>
      <c r="E627" s="36" t="s">
        <v>1413</v>
      </c>
    </row>
    <row r="628" spans="1:5">
      <c r="A628" s="36">
        <v>627</v>
      </c>
      <c r="B628" s="36" t="s">
        <v>846</v>
      </c>
      <c r="C628" s="36">
        <v>26</v>
      </c>
      <c r="D628" s="36">
        <v>15</v>
      </c>
      <c r="E628" s="36" t="s">
        <v>1416</v>
      </c>
    </row>
    <row r="629" spans="1:5">
      <c r="A629" s="36">
        <v>628</v>
      </c>
      <c r="B629" s="36" t="s">
        <v>847</v>
      </c>
      <c r="C629" s="36">
        <v>26</v>
      </c>
      <c r="D629" s="36">
        <v>7</v>
      </c>
      <c r="E629" s="36" t="s">
        <v>1419</v>
      </c>
    </row>
    <row r="630" spans="1:5">
      <c r="A630" s="36">
        <v>629</v>
      </c>
      <c r="B630" s="36" t="s">
        <v>848</v>
      </c>
      <c r="C630" s="36">
        <v>26</v>
      </c>
      <c r="D630" s="36">
        <v>12</v>
      </c>
      <c r="E630" s="36" t="s">
        <v>1413</v>
      </c>
    </row>
    <row r="631" spans="1:5">
      <c r="A631" s="36">
        <v>630</v>
      </c>
      <c r="B631" s="36" t="s">
        <v>849</v>
      </c>
      <c r="C631" s="36">
        <v>26</v>
      </c>
      <c r="D631" s="36">
        <v>6</v>
      </c>
      <c r="E631" s="36" t="s">
        <v>1416</v>
      </c>
    </row>
    <row r="632" spans="1:5">
      <c r="A632" s="36">
        <v>631</v>
      </c>
      <c r="B632" s="36" t="s">
        <v>850</v>
      </c>
      <c r="C632" s="36">
        <v>26</v>
      </c>
      <c r="D632" s="36">
        <v>15</v>
      </c>
      <c r="E632" s="36" t="s">
        <v>1413</v>
      </c>
    </row>
    <row r="633" spans="1:5">
      <c r="A633" s="36">
        <v>632</v>
      </c>
      <c r="B633" s="36" t="s">
        <v>851</v>
      </c>
      <c r="C633" s="36">
        <v>26</v>
      </c>
      <c r="D633" s="36">
        <v>5</v>
      </c>
      <c r="E633" s="36" t="s">
        <v>1416</v>
      </c>
    </row>
    <row r="634" spans="1:5">
      <c r="A634" s="36">
        <v>633</v>
      </c>
      <c r="B634" s="36" t="s">
        <v>852</v>
      </c>
      <c r="C634" s="36">
        <v>26</v>
      </c>
      <c r="D634" s="36">
        <v>1</v>
      </c>
      <c r="E634" s="36" t="s">
        <v>1416</v>
      </c>
    </row>
    <row r="635" spans="1:5">
      <c r="A635" s="36">
        <v>634</v>
      </c>
      <c r="B635" s="36" t="s">
        <v>853</v>
      </c>
      <c r="C635" s="36">
        <v>26</v>
      </c>
      <c r="D635" s="36">
        <v>9</v>
      </c>
      <c r="E635" s="36" t="s">
        <v>1413</v>
      </c>
    </row>
    <row r="636" spans="1:5">
      <c r="A636" s="36">
        <v>635</v>
      </c>
      <c r="B636" s="36" t="s">
        <v>854</v>
      </c>
      <c r="C636" s="36">
        <v>26</v>
      </c>
      <c r="D636" s="36">
        <v>6</v>
      </c>
      <c r="E636" s="36" t="s">
        <v>1416</v>
      </c>
    </row>
    <row r="637" spans="1:5">
      <c r="A637" s="36">
        <v>636</v>
      </c>
      <c r="B637" s="36" t="s">
        <v>819</v>
      </c>
      <c r="C637" s="36">
        <v>26</v>
      </c>
      <c r="D637" s="36">
        <v>12</v>
      </c>
      <c r="E637" s="36" t="s">
        <v>1416</v>
      </c>
    </row>
    <row r="638" spans="1:5">
      <c r="A638" s="36">
        <v>637</v>
      </c>
      <c r="B638" s="36" t="s">
        <v>820</v>
      </c>
      <c r="C638" s="36">
        <v>26</v>
      </c>
      <c r="D638" s="36">
        <v>14</v>
      </c>
      <c r="E638" s="36" t="s">
        <v>1413</v>
      </c>
    </row>
    <row r="639" spans="1:5">
      <c r="A639" s="36">
        <v>638</v>
      </c>
      <c r="B639" s="36" t="s">
        <v>821</v>
      </c>
      <c r="C639" s="36">
        <v>26</v>
      </c>
      <c r="D639" s="36">
        <v>12</v>
      </c>
      <c r="E639" s="36" t="s">
        <v>1419</v>
      </c>
    </row>
    <row r="640" spans="1:5">
      <c r="A640" s="36">
        <v>639</v>
      </c>
      <c r="B640" s="36" t="s">
        <v>822</v>
      </c>
      <c r="C640" s="36">
        <v>26</v>
      </c>
      <c r="D640" s="36">
        <v>15</v>
      </c>
      <c r="E640" s="36" t="s">
        <v>1413</v>
      </c>
    </row>
    <row r="641" spans="1:5">
      <c r="A641" s="36">
        <v>640</v>
      </c>
      <c r="B641" s="36" t="s">
        <v>823</v>
      </c>
      <c r="C641" s="36">
        <v>26</v>
      </c>
      <c r="D641" s="36">
        <v>15</v>
      </c>
      <c r="E641" s="36" t="s">
        <v>1416</v>
      </c>
    </row>
    <row r="642" spans="1:5">
      <c r="A642" s="36">
        <v>641</v>
      </c>
      <c r="B642" s="36" t="s">
        <v>824</v>
      </c>
      <c r="C642" s="36">
        <v>26</v>
      </c>
      <c r="D642" s="36">
        <v>5</v>
      </c>
      <c r="E642" s="36" t="s">
        <v>1416</v>
      </c>
    </row>
    <row r="643" spans="1:5">
      <c r="A643" s="36">
        <v>642</v>
      </c>
      <c r="B643" s="36" t="s">
        <v>825</v>
      </c>
      <c r="C643" s="36">
        <v>26</v>
      </c>
      <c r="D643" s="36">
        <v>9</v>
      </c>
      <c r="E643" s="36" t="s">
        <v>1419</v>
      </c>
    </row>
    <row r="644" spans="1:5">
      <c r="A644" s="36">
        <v>643</v>
      </c>
      <c r="B644" s="36" t="s">
        <v>826</v>
      </c>
      <c r="C644" s="36">
        <v>26</v>
      </c>
      <c r="D644" s="36">
        <v>1</v>
      </c>
      <c r="E644" s="36" t="s">
        <v>1419</v>
      </c>
    </row>
    <row r="645" spans="1:5">
      <c r="A645" s="36">
        <v>644</v>
      </c>
      <c r="B645" s="36" t="s">
        <v>827</v>
      </c>
      <c r="C645" s="36">
        <v>26</v>
      </c>
      <c r="D645" s="36">
        <v>15</v>
      </c>
      <c r="E645" s="36" t="s">
        <v>1413</v>
      </c>
    </row>
    <row r="646" spans="1:5">
      <c r="A646" s="36">
        <v>645</v>
      </c>
      <c r="B646" s="36" t="s">
        <v>828</v>
      </c>
      <c r="C646" s="36">
        <v>26</v>
      </c>
      <c r="D646" s="36">
        <v>11</v>
      </c>
      <c r="E646" s="36" t="s">
        <v>1413</v>
      </c>
    </row>
    <row r="647" spans="1:5">
      <c r="A647" s="36">
        <v>646</v>
      </c>
      <c r="B647" s="36" t="s">
        <v>829</v>
      </c>
      <c r="C647" s="36">
        <v>26</v>
      </c>
      <c r="D647" s="36">
        <v>3</v>
      </c>
      <c r="E647" s="36" t="s">
        <v>1413</v>
      </c>
    </row>
    <row r="648" spans="1:5">
      <c r="A648" s="36">
        <v>647</v>
      </c>
      <c r="B648" s="36" t="s">
        <v>830</v>
      </c>
      <c r="C648" s="36">
        <v>26</v>
      </c>
      <c r="D648" s="36">
        <v>7</v>
      </c>
      <c r="E648" s="36" t="s">
        <v>1413</v>
      </c>
    </row>
    <row r="649" spans="1:5">
      <c r="A649" s="36">
        <v>648</v>
      </c>
      <c r="B649" s="36" t="s">
        <v>831</v>
      </c>
      <c r="C649" s="36">
        <v>26</v>
      </c>
      <c r="D649" s="36">
        <v>10</v>
      </c>
      <c r="E649" s="36" t="s">
        <v>1413</v>
      </c>
    </row>
    <row r="650" spans="1:5">
      <c r="A650" s="36">
        <v>649</v>
      </c>
      <c r="B650" s="36" t="s">
        <v>832</v>
      </c>
      <c r="C650" s="36">
        <v>26</v>
      </c>
      <c r="D650" s="36">
        <v>3</v>
      </c>
      <c r="E650" s="36" t="s">
        <v>1416</v>
      </c>
    </row>
    <row r="651" spans="1:5">
      <c r="A651" s="36">
        <v>650</v>
      </c>
      <c r="B651" s="36" t="s">
        <v>833</v>
      </c>
      <c r="C651" s="36">
        <v>26</v>
      </c>
      <c r="D651" s="36">
        <v>10</v>
      </c>
      <c r="E651" s="36" t="s">
        <v>1413</v>
      </c>
    </row>
    <row r="652" spans="1:5">
      <c r="A652" s="36">
        <v>651</v>
      </c>
      <c r="B652" s="36" t="s">
        <v>834</v>
      </c>
      <c r="C652" s="36">
        <v>26</v>
      </c>
      <c r="D652" s="36">
        <v>6</v>
      </c>
      <c r="E652" s="36" t="s">
        <v>1419</v>
      </c>
    </row>
    <row r="653" spans="1:5">
      <c r="A653" s="36">
        <v>652</v>
      </c>
      <c r="B653" s="36" t="s">
        <v>835</v>
      </c>
      <c r="C653" s="36">
        <v>26</v>
      </c>
      <c r="D653" s="36">
        <v>6</v>
      </c>
      <c r="E653" s="36" t="s">
        <v>1416</v>
      </c>
    </row>
    <row r="654" spans="1:5">
      <c r="A654" s="36">
        <v>653</v>
      </c>
      <c r="B654" s="36" t="s">
        <v>837</v>
      </c>
      <c r="C654" s="36">
        <v>26</v>
      </c>
      <c r="D654" s="36">
        <v>14</v>
      </c>
      <c r="E654" s="36" t="s">
        <v>1416</v>
      </c>
    </row>
    <row r="655" spans="1:5">
      <c r="A655" s="36">
        <v>654</v>
      </c>
      <c r="B655" s="36" t="s">
        <v>836</v>
      </c>
      <c r="C655" s="36">
        <v>26</v>
      </c>
      <c r="D655" s="36">
        <v>7</v>
      </c>
      <c r="E655" s="36" t="s">
        <v>1419</v>
      </c>
    </row>
    <row r="656" spans="1:5">
      <c r="A656" s="36">
        <v>655</v>
      </c>
      <c r="B656" s="36" t="s">
        <v>838</v>
      </c>
      <c r="C656" s="36">
        <v>26</v>
      </c>
      <c r="D656" s="36">
        <v>5</v>
      </c>
      <c r="E656" s="36" t="s">
        <v>1413</v>
      </c>
    </row>
    <row r="657" spans="1:5">
      <c r="A657" s="36">
        <v>656</v>
      </c>
      <c r="B657" s="36" t="s">
        <v>839</v>
      </c>
      <c r="C657" s="36">
        <v>26</v>
      </c>
      <c r="D657" s="36">
        <v>2</v>
      </c>
      <c r="E657" s="36" t="s">
        <v>1416</v>
      </c>
    </row>
    <row r="658" spans="1:5">
      <c r="A658" s="36">
        <v>657</v>
      </c>
      <c r="B658" s="36" t="s">
        <v>840</v>
      </c>
      <c r="C658" s="36">
        <v>26</v>
      </c>
      <c r="D658" s="36">
        <v>15</v>
      </c>
      <c r="E658" s="36" t="s">
        <v>1413</v>
      </c>
    </row>
    <row r="659" spans="1:5">
      <c r="A659" s="36">
        <v>658</v>
      </c>
      <c r="B659" s="36" t="s">
        <v>841</v>
      </c>
      <c r="C659" s="36">
        <v>26</v>
      </c>
      <c r="D659" s="36">
        <v>15</v>
      </c>
      <c r="E659" s="36" t="s">
        <v>1416</v>
      </c>
    </row>
    <row r="660" spans="1:5">
      <c r="A660" s="36">
        <v>659</v>
      </c>
      <c r="B660" s="36" t="s">
        <v>884</v>
      </c>
      <c r="C660" s="36">
        <v>25</v>
      </c>
      <c r="D660" s="36">
        <v>10</v>
      </c>
      <c r="E660" s="36" t="s">
        <v>1413</v>
      </c>
    </row>
    <row r="661" spans="1:5">
      <c r="A661" s="36">
        <v>660</v>
      </c>
      <c r="B661" s="36" t="s">
        <v>885</v>
      </c>
      <c r="C661" s="36">
        <v>25</v>
      </c>
      <c r="D661" s="36">
        <v>9</v>
      </c>
      <c r="E661" s="36" t="s">
        <v>1416</v>
      </c>
    </row>
    <row r="662" spans="1:5">
      <c r="A662" s="36">
        <v>661</v>
      </c>
      <c r="B662" s="36" t="s">
        <v>886</v>
      </c>
      <c r="C662" s="36">
        <v>25</v>
      </c>
      <c r="D662" s="36">
        <v>1</v>
      </c>
      <c r="E662" s="36" t="s">
        <v>1419</v>
      </c>
    </row>
    <row r="663" spans="1:5">
      <c r="A663" s="36">
        <v>662</v>
      </c>
      <c r="B663" s="36" t="s">
        <v>887</v>
      </c>
      <c r="C663" s="36">
        <v>25</v>
      </c>
      <c r="D663" s="36">
        <v>12</v>
      </c>
      <c r="E663" s="36" t="s">
        <v>1416</v>
      </c>
    </row>
    <row r="664" spans="1:5">
      <c r="A664" s="36">
        <v>663</v>
      </c>
      <c r="B664" s="36" t="s">
        <v>888</v>
      </c>
      <c r="C664" s="36">
        <v>25</v>
      </c>
      <c r="D664" s="36">
        <v>6</v>
      </c>
      <c r="E664" s="36" t="s">
        <v>1416</v>
      </c>
    </row>
    <row r="665" spans="1:5">
      <c r="A665" s="36">
        <v>664</v>
      </c>
      <c r="B665" s="36" t="s">
        <v>889</v>
      </c>
      <c r="C665" s="36">
        <v>25</v>
      </c>
      <c r="D665" s="36">
        <v>15</v>
      </c>
      <c r="E665" s="36" t="s">
        <v>1416</v>
      </c>
    </row>
    <row r="666" spans="1:5">
      <c r="A666" s="36">
        <v>665</v>
      </c>
      <c r="B666" s="36" t="s">
        <v>890</v>
      </c>
      <c r="C666" s="36">
        <v>25</v>
      </c>
      <c r="D666" s="36">
        <v>8</v>
      </c>
      <c r="E666" s="36" t="s">
        <v>1416</v>
      </c>
    </row>
    <row r="667" spans="1:5">
      <c r="A667" s="36">
        <v>666</v>
      </c>
      <c r="B667" s="36" t="s">
        <v>855</v>
      </c>
      <c r="C667" s="36">
        <v>25</v>
      </c>
      <c r="D667" s="36">
        <v>3</v>
      </c>
      <c r="E667" s="36" t="s">
        <v>1413</v>
      </c>
    </row>
    <row r="668" spans="1:5">
      <c r="A668" s="36">
        <v>667</v>
      </c>
      <c r="B668" s="36" t="s">
        <v>856</v>
      </c>
      <c r="C668" s="36">
        <v>25</v>
      </c>
      <c r="D668" s="36">
        <v>12</v>
      </c>
      <c r="E668" s="36" t="s">
        <v>1413</v>
      </c>
    </row>
    <row r="669" spans="1:5">
      <c r="A669" s="36">
        <v>668</v>
      </c>
      <c r="B669" s="36" t="s">
        <v>857</v>
      </c>
      <c r="C669" s="36">
        <v>25</v>
      </c>
      <c r="D669" s="36">
        <v>11</v>
      </c>
      <c r="E669" s="36" t="s">
        <v>1416</v>
      </c>
    </row>
    <row r="670" spans="1:5">
      <c r="A670" s="36">
        <v>669</v>
      </c>
      <c r="B670" s="36" t="s">
        <v>858</v>
      </c>
      <c r="C670" s="36">
        <v>25</v>
      </c>
      <c r="D670" s="36">
        <v>12</v>
      </c>
      <c r="E670" s="36" t="s">
        <v>1413</v>
      </c>
    </row>
    <row r="671" spans="1:5">
      <c r="A671" s="36">
        <v>670</v>
      </c>
      <c r="B671" s="36" t="s">
        <v>859</v>
      </c>
      <c r="C671" s="36">
        <v>25</v>
      </c>
      <c r="D671" s="36">
        <v>4</v>
      </c>
      <c r="E671" s="36" t="s">
        <v>1416</v>
      </c>
    </row>
    <row r="672" spans="1:5">
      <c r="A672" s="36">
        <v>671</v>
      </c>
      <c r="B672" s="36" t="s">
        <v>860</v>
      </c>
      <c r="C672" s="36">
        <v>25</v>
      </c>
      <c r="D672" s="36">
        <v>15</v>
      </c>
      <c r="E672" s="36" t="s">
        <v>1413</v>
      </c>
    </row>
    <row r="673" spans="1:5">
      <c r="A673" s="36">
        <v>672</v>
      </c>
      <c r="B673" s="36" t="s">
        <v>861</v>
      </c>
      <c r="C673" s="36">
        <v>25</v>
      </c>
      <c r="D673" s="36">
        <v>6</v>
      </c>
      <c r="E673" s="36" t="s">
        <v>1416</v>
      </c>
    </row>
    <row r="674" spans="1:5">
      <c r="A674" s="36">
        <v>673</v>
      </c>
      <c r="B674" s="36" t="s">
        <v>862</v>
      </c>
      <c r="C674" s="36">
        <v>25</v>
      </c>
      <c r="D674" s="36">
        <v>15</v>
      </c>
      <c r="E674" s="36" t="s">
        <v>1416</v>
      </c>
    </row>
    <row r="675" spans="1:5">
      <c r="A675" s="36">
        <v>674</v>
      </c>
      <c r="B675" s="36" t="s">
        <v>863</v>
      </c>
      <c r="C675" s="36">
        <v>25</v>
      </c>
      <c r="D675" s="36">
        <v>1</v>
      </c>
      <c r="E675" s="36" t="s">
        <v>1416</v>
      </c>
    </row>
    <row r="676" spans="1:5">
      <c r="A676" s="36">
        <v>675</v>
      </c>
      <c r="B676" s="36" t="s">
        <v>864</v>
      </c>
      <c r="C676" s="36">
        <v>25</v>
      </c>
      <c r="D676" s="36">
        <v>12</v>
      </c>
      <c r="E676" s="36" t="s">
        <v>1413</v>
      </c>
    </row>
    <row r="677" spans="1:5">
      <c r="A677" s="36">
        <v>676</v>
      </c>
      <c r="B677" s="36" t="s">
        <v>865</v>
      </c>
      <c r="C677" s="36">
        <v>25</v>
      </c>
      <c r="D677" s="36">
        <v>6</v>
      </c>
      <c r="E677" s="36" t="s">
        <v>1416</v>
      </c>
    </row>
    <row r="678" spans="1:5">
      <c r="A678" s="36">
        <v>677</v>
      </c>
      <c r="B678" s="36" t="s">
        <v>866</v>
      </c>
      <c r="C678" s="36">
        <v>25</v>
      </c>
      <c r="D678" s="36">
        <v>2</v>
      </c>
      <c r="E678" s="36" t="s">
        <v>1416</v>
      </c>
    </row>
    <row r="679" spans="1:5">
      <c r="A679" s="36">
        <v>678</v>
      </c>
      <c r="B679" s="36" t="s">
        <v>867</v>
      </c>
      <c r="C679" s="36">
        <v>25</v>
      </c>
      <c r="D679" s="36">
        <v>1</v>
      </c>
      <c r="E679" s="36" t="s">
        <v>1416</v>
      </c>
    </row>
    <row r="680" spans="1:5">
      <c r="A680" s="36">
        <v>679</v>
      </c>
      <c r="B680" s="36" t="s">
        <v>879</v>
      </c>
      <c r="C680" s="36">
        <v>25</v>
      </c>
      <c r="D680" s="36">
        <v>4</v>
      </c>
      <c r="E680" s="36" t="s">
        <v>1416</v>
      </c>
    </row>
    <row r="681" spans="1:5">
      <c r="A681" s="36">
        <v>680</v>
      </c>
      <c r="B681" s="36" t="s">
        <v>868</v>
      </c>
      <c r="C681" s="36">
        <v>25</v>
      </c>
      <c r="D681" s="36">
        <v>1</v>
      </c>
      <c r="E681" s="36" t="s">
        <v>1416</v>
      </c>
    </row>
    <row r="682" spans="1:5">
      <c r="A682" s="36">
        <v>681</v>
      </c>
      <c r="B682" s="36" t="s">
        <v>869</v>
      </c>
      <c r="C682" s="36">
        <v>25</v>
      </c>
      <c r="D682" s="36">
        <v>3</v>
      </c>
      <c r="E682" s="36" t="s">
        <v>1416</v>
      </c>
    </row>
    <row r="683" spans="1:5">
      <c r="A683" s="36">
        <v>682</v>
      </c>
      <c r="B683" s="36" t="s">
        <v>870</v>
      </c>
      <c r="C683" s="36">
        <v>25</v>
      </c>
      <c r="D683" s="36">
        <v>15</v>
      </c>
      <c r="E683" s="36" t="s">
        <v>1413</v>
      </c>
    </row>
    <row r="684" spans="1:5">
      <c r="A684" s="36">
        <v>683</v>
      </c>
      <c r="B684" s="36" t="s">
        <v>871</v>
      </c>
      <c r="C684" s="36">
        <v>25</v>
      </c>
      <c r="D684" s="36">
        <v>9</v>
      </c>
      <c r="E684" s="36" t="s">
        <v>1416</v>
      </c>
    </row>
    <row r="685" spans="1:5">
      <c r="A685" s="36">
        <v>684</v>
      </c>
      <c r="B685" s="36" t="s">
        <v>872</v>
      </c>
      <c r="C685" s="36">
        <v>25</v>
      </c>
      <c r="D685" s="36">
        <v>2</v>
      </c>
      <c r="E685" s="36" t="s">
        <v>1419</v>
      </c>
    </row>
    <row r="686" spans="1:5">
      <c r="A686" s="36">
        <v>685</v>
      </c>
      <c r="B686" s="36" t="s">
        <v>873</v>
      </c>
      <c r="C686" s="36">
        <v>25</v>
      </c>
      <c r="D686" s="36">
        <v>6</v>
      </c>
      <c r="E686" s="36" t="s">
        <v>1416</v>
      </c>
    </row>
    <row r="687" spans="1:5">
      <c r="A687" s="36">
        <v>686</v>
      </c>
      <c r="B687" s="36" t="s">
        <v>880</v>
      </c>
      <c r="C687" s="36">
        <v>25</v>
      </c>
      <c r="D687" s="36">
        <v>1</v>
      </c>
      <c r="E687" s="36" t="s">
        <v>1416</v>
      </c>
    </row>
    <row r="688" spans="1:5">
      <c r="A688" s="36">
        <v>687</v>
      </c>
      <c r="B688" s="36" t="s">
        <v>874</v>
      </c>
      <c r="C688" s="36">
        <v>25</v>
      </c>
      <c r="D688" s="36">
        <v>3</v>
      </c>
      <c r="E688" s="36" t="s">
        <v>1416</v>
      </c>
    </row>
    <row r="689" spans="1:5">
      <c r="A689" s="36">
        <v>688</v>
      </c>
      <c r="B689" s="36" t="s">
        <v>875</v>
      </c>
      <c r="C689" s="36">
        <v>25</v>
      </c>
      <c r="D689" s="36">
        <v>12</v>
      </c>
      <c r="E689" s="36" t="s">
        <v>1416</v>
      </c>
    </row>
    <row r="690" spans="1:5">
      <c r="A690" s="36">
        <v>689</v>
      </c>
      <c r="B690" s="36" t="s">
        <v>876</v>
      </c>
      <c r="C690" s="36">
        <v>25</v>
      </c>
      <c r="D690" s="36">
        <v>15</v>
      </c>
      <c r="E690" s="36" t="s">
        <v>1413</v>
      </c>
    </row>
    <row r="691" spans="1:5">
      <c r="A691" s="36">
        <v>690</v>
      </c>
      <c r="B691" s="36" t="s">
        <v>877</v>
      </c>
      <c r="C691" s="36">
        <v>25</v>
      </c>
      <c r="D691" s="36">
        <v>2</v>
      </c>
      <c r="E691" s="36" t="s">
        <v>1416</v>
      </c>
    </row>
    <row r="692" spans="1:5">
      <c r="A692" s="36">
        <v>691</v>
      </c>
      <c r="B692" s="36" t="s">
        <v>878</v>
      </c>
      <c r="C692" s="36">
        <v>25</v>
      </c>
      <c r="D692" s="36">
        <v>6</v>
      </c>
      <c r="E692" s="36" t="s">
        <v>1413</v>
      </c>
    </row>
    <row r="693" spans="1:5">
      <c r="A693" s="36">
        <v>692</v>
      </c>
      <c r="B693" s="36" t="s">
        <v>882</v>
      </c>
      <c r="C693" s="36">
        <v>25</v>
      </c>
      <c r="D693" s="36">
        <v>13</v>
      </c>
      <c r="E693" s="36" t="s">
        <v>1413</v>
      </c>
    </row>
    <row r="694" spans="1:5">
      <c r="A694" s="36">
        <v>693</v>
      </c>
      <c r="B694" s="36" t="s">
        <v>926</v>
      </c>
      <c r="C694" s="36">
        <v>24</v>
      </c>
      <c r="D694" s="36">
        <v>10</v>
      </c>
      <c r="E694" s="36" t="s">
        <v>1416</v>
      </c>
    </row>
    <row r="695" spans="1:5">
      <c r="A695" s="36">
        <v>694</v>
      </c>
      <c r="B695" s="36" t="s">
        <v>927</v>
      </c>
      <c r="C695" s="36">
        <v>24</v>
      </c>
      <c r="D695" s="36">
        <v>3</v>
      </c>
      <c r="E695" s="36" t="s">
        <v>1413</v>
      </c>
    </row>
    <row r="696" spans="1:5">
      <c r="A696" s="36">
        <v>695</v>
      </c>
      <c r="B696" s="36" t="s">
        <v>894</v>
      </c>
      <c r="C696" s="36">
        <v>24</v>
      </c>
      <c r="D696" s="36">
        <v>8</v>
      </c>
      <c r="E696" s="36" t="s">
        <v>1419</v>
      </c>
    </row>
    <row r="697" spans="1:5">
      <c r="A697" s="36">
        <v>696</v>
      </c>
      <c r="B697" s="36" t="s">
        <v>895</v>
      </c>
      <c r="C697" s="36">
        <v>24</v>
      </c>
      <c r="D697" s="36">
        <v>6</v>
      </c>
      <c r="E697" s="36" t="s">
        <v>1419</v>
      </c>
    </row>
    <row r="698" spans="1:5">
      <c r="A698" s="36">
        <v>697</v>
      </c>
      <c r="B698" s="36" t="s">
        <v>896</v>
      </c>
      <c r="C698" s="36">
        <v>24</v>
      </c>
      <c r="D698" s="36">
        <v>3</v>
      </c>
      <c r="E698" s="36" t="s">
        <v>1416</v>
      </c>
    </row>
    <row r="699" spans="1:5">
      <c r="A699" s="36">
        <v>698</v>
      </c>
      <c r="B699" s="36" t="s">
        <v>897</v>
      </c>
      <c r="C699" s="36">
        <v>24</v>
      </c>
      <c r="D699" s="36">
        <v>5</v>
      </c>
      <c r="E699" s="36" t="s">
        <v>1419</v>
      </c>
    </row>
    <row r="700" spans="1:5">
      <c r="A700" s="36">
        <v>699</v>
      </c>
      <c r="B700" s="36" t="s">
        <v>898</v>
      </c>
      <c r="C700" s="36">
        <v>24</v>
      </c>
      <c r="D700" s="36">
        <v>9</v>
      </c>
      <c r="E700" s="36" t="s">
        <v>1413</v>
      </c>
    </row>
    <row r="701" spans="1:5">
      <c r="A701" s="36">
        <v>700</v>
      </c>
      <c r="B701" s="36" t="s">
        <v>899</v>
      </c>
      <c r="C701" s="36">
        <v>24</v>
      </c>
      <c r="D701" s="36">
        <v>10</v>
      </c>
      <c r="E701" s="36" t="s">
        <v>1413</v>
      </c>
    </row>
    <row r="702" spans="1:5">
      <c r="A702" s="36">
        <v>701</v>
      </c>
      <c r="B702" s="36" t="s">
        <v>900</v>
      </c>
      <c r="C702" s="36">
        <v>24</v>
      </c>
      <c r="D702" s="36">
        <v>6</v>
      </c>
      <c r="E702" s="36" t="s">
        <v>1416</v>
      </c>
    </row>
    <row r="703" spans="1:5">
      <c r="A703" s="36">
        <v>702</v>
      </c>
      <c r="B703" s="36" t="s">
        <v>901</v>
      </c>
      <c r="C703" s="36">
        <v>24</v>
      </c>
      <c r="D703" s="36">
        <v>6</v>
      </c>
      <c r="E703" s="36" t="s">
        <v>1419</v>
      </c>
    </row>
    <row r="704" spans="1:5">
      <c r="A704" s="36">
        <v>703</v>
      </c>
      <c r="B704" s="36" t="s">
        <v>902</v>
      </c>
      <c r="C704" s="36">
        <v>24</v>
      </c>
      <c r="D704" s="36">
        <v>13</v>
      </c>
      <c r="E704" s="36" t="s">
        <v>1413</v>
      </c>
    </row>
    <row r="705" spans="1:5">
      <c r="A705" s="36">
        <v>704</v>
      </c>
      <c r="B705" s="36" t="s">
        <v>903</v>
      </c>
      <c r="C705" s="36">
        <v>24</v>
      </c>
      <c r="D705" s="36">
        <v>10</v>
      </c>
      <c r="E705" s="36" t="s">
        <v>1413</v>
      </c>
    </row>
    <row r="706" spans="1:5">
      <c r="A706" s="36">
        <v>705</v>
      </c>
      <c r="B706" s="36" t="s">
        <v>904</v>
      </c>
      <c r="C706" s="36">
        <v>24</v>
      </c>
      <c r="D706" s="36">
        <v>10</v>
      </c>
      <c r="E706" s="36" t="s">
        <v>1413</v>
      </c>
    </row>
    <row r="707" spans="1:5">
      <c r="A707" s="36">
        <v>706</v>
      </c>
      <c r="B707" s="36" t="s">
        <v>905</v>
      </c>
      <c r="C707" s="36">
        <v>24</v>
      </c>
      <c r="D707" s="36">
        <v>12</v>
      </c>
      <c r="E707" s="36" t="s">
        <v>1416</v>
      </c>
    </row>
    <row r="708" spans="1:5">
      <c r="A708" s="36">
        <v>707</v>
      </c>
      <c r="B708" s="36" t="s">
        <v>906</v>
      </c>
      <c r="C708" s="36">
        <v>24</v>
      </c>
      <c r="D708" s="36">
        <v>1</v>
      </c>
      <c r="E708" s="36" t="s">
        <v>1416</v>
      </c>
    </row>
    <row r="709" spans="1:5">
      <c r="A709" s="36">
        <v>708</v>
      </c>
      <c r="B709" s="36" t="s">
        <v>907</v>
      </c>
      <c r="C709" s="36">
        <v>24</v>
      </c>
      <c r="D709" s="36">
        <v>15</v>
      </c>
      <c r="E709" s="36" t="s">
        <v>1413</v>
      </c>
    </row>
    <row r="710" spans="1:5">
      <c r="A710" s="36">
        <v>709</v>
      </c>
      <c r="B710" s="36" t="s">
        <v>908</v>
      </c>
      <c r="C710" s="36">
        <v>24</v>
      </c>
      <c r="D710" s="36">
        <v>10</v>
      </c>
      <c r="E710" s="36" t="s">
        <v>1416</v>
      </c>
    </row>
    <row r="711" spans="1:5">
      <c r="A711" s="36">
        <v>710</v>
      </c>
      <c r="B711" s="36" t="s">
        <v>909</v>
      </c>
      <c r="C711" s="36">
        <v>24</v>
      </c>
      <c r="D711" s="36">
        <v>3</v>
      </c>
      <c r="E711" s="36" t="s">
        <v>1413</v>
      </c>
    </row>
    <row r="712" spans="1:5">
      <c r="A712" s="36">
        <v>711</v>
      </c>
      <c r="B712" s="36" t="s">
        <v>910</v>
      </c>
      <c r="C712" s="36">
        <v>24</v>
      </c>
      <c r="D712" s="36">
        <v>2</v>
      </c>
      <c r="E712" s="36" t="s">
        <v>1416</v>
      </c>
    </row>
    <row r="713" spans="1:5">
      <c r="A713" s="36">
        <v>712</v>
      </c>
      <c r="B713" s="36" t="s">
        <v>911</v>
      </c>
      <c r="C713" s="36">
        <v>24</v>
      </c>
      <c r="D713" s="36">
        <v>12</v>
      </c>
      <c r="E713" s="36" t="s">
        <v>1416</v>
      </c>
    </row>
    <row r="714" spans="1:5">
      <c r="A714" s="36">
        <v>713</v>
      </c>
      <c r="B714" s="36" t="s">
        <v>912</v>
      </c>
      <c r="C714" s="36">
        <v>24</v>
      </c>
      <c r="D714" s="36">
        <v>1</v>
      </c>
      <c r="E714" s="36" t="s">
        <v>1419</v>
      </c>
    </row>
    <row r="715" spans="1:5">
      <c r="A715" s="36">
        <v>714</v>
      </c>
      <c r="B715" s="36" t="s">
        <v>913</v>
      </c>
      <c r="C715" s="36">
        <v>24</v>
      </c>
      <c r="D715" s="36">
        <v>5</v>
      </c>
      <c r="E715" s="36" t="s">
        <v>1416</v>
      </c>
    </row>
    <row r="716" spans="1:5">
      <c r="A716" s="36">
        <v>715</v>
      </c>
      <c r="B716" s="36" t="s">
        <v>914</v>
      </c>
      <c r="C716" s="36">
        <v>24</v>
      </c>
      <c r="D716" s="36">
        <v>7</v>
      </c>
      <c r="E716" s="36" t="s">
        <v>1413</v>
      </c>
    </row>
    <row r="717" spans="1:5">
      <c r="A717" s="36">
        <v>716</v>
      </c>
      <c r="B717" s="36" t="s">
        <v>915</v>
      </c>
      <c r="C717" s="36">
        <v>24</v>
      </c>
      <c r="D717" s="36">
        <v>6</v>
      </c>
      <c r="E717" s="36" t="s">
        <v>1419</v>
      </c>
    </row>
    <row r="718" spans="1:5">
      <c r="A718" s="36">
        <v>717</v>
      </c>
      <c r="B718" s="36" t="s">
        <v>916</v>
      </c>
      <c r="C718" s="36">
        <v>24</v>
      </c>
      <c r="D718" s="36">
        <v>15</v>
      </c>
      <c r="E718" s="36" t="s">
        <v>1416</v>
      </c>
    </row>
    <row r="719" spans="1:5">
      <c r="A719" s="36">
        <v>718</v>
      </c>
      <c r="B719" s="36" t="s">
        <v>917</v>
      </c>
      <c r="C719" s="36">
        <v>24</v>
      </c>
      <c r="D719" s="36">
        <v>1</v>
      </c>
      <c r="E719" s="36" t="s">
        <v>1413</v>
      </c>
    </row>
    <row r="720" spans="1:5">
      <c r="A720" s="36">
        <v>719</v>
      </c>
      <c r="B720" s="36" t="s">
        <v>918</v>
      </c>
      <c r="C720" s="36">
        <v>24</v>
      </c>
      <c r="D720" s="36">
        <v>15</v>
      </c>
      <c r="E720" s="36" t="s">
        <v>1416</v>
      </c>
    </row>
    <row r="721" spans="1:5">
      <c r="A721" s="36">
        <v>720</v>
      </c>
      <c r="B721" s="36" t="s">
        <v>919</v>
      </c>
      <c r="C721" s="36">
        <v>24</v>
      </c>
      <c r="D721" s="36">
        <v>15</v>
      </c>
      <c r="E721" s="36" t="s">
        <v>1416</v>
      </c>
    </row>
    <row r="722" spans="1:5">
      <c r="A722" s="36">
        <v>721</v>
      </c>
      <c r="B722" s="36" t="s">
        <v>920</v>
      </c>
      <c r="C722" s="36">
        <v>24</v>
      </c>
      <c r="D722" s="36">
        <v>10</v>
      </c>
      <c r="E722" s="36" t="s">
        <v>1416</v>
      </c>
    </row>
    <row r="723" spans="1:5">
      <c r="A723" s="36">
        <v>722</v>
      </c>
      <c r="B723" s="36" t="s">
        <v>922</v>
      </c>
      <c r="C723" s="36">
        <v>24</v>
      </c>
      <c r="D723" s="36">
        <v>6</v>
      </c>
      <c r="E723" s="36" t="s">
        <v>1419</v>
      </c>
    </row>
    <row r="724" spans="1:5">
      <c r="A724" s="36">
        <v>723</v>
      </c>
      <c r="B724" s="36" t="s">
        <v>921</v>
      </c>
      <c r="C724" s="36">
        <v>24</v>
      </c>
      <c r="D724" s="36">
        <v>1</v>
      </c>
      <c r="E724" s="36" t="s">
        <v>1413</v>
      </c>
    </row>
    <row r="725" spans="1:5">
      <c r="A725" s="36">
        <v>724</v>
      </c>
      <c r="B725" s="36" t="s">
        <v>923</v>
      </c>
      <c r="C725" s="36">
        <v>24</v>
      </c>
      <c r="D725" s="36">
        <v>2</v>
      </c>
      <c r="E725" s="36" t="s">
        <v>1416</v>
      </c>
    </row>
    <row r="726" spans="1:5">
      <c r="A726" s="36">
        <v>725</v>
      </c>
      <c r="B726" s="36" t="s">
        <v>924</v>
      </c>
      <c r="C726" s="36">
        <v>24</v>
      </c>
      <c r="D726" s="36">
        <v>5</v>
      </c>
      <c r="E726" s="36" t="s">
        <v>1416</v>
      </c>
    </row>
    <row r="727" spans="1:5">
      <c r="A727" s="36">
        <v>726</v>
      </c>
      <c r="B727" s="36" t="s">
        <v>925</v>
      </c>
      <c r="C727" s="36">
        <v>24</v>
      </c>
      <c r="D727" s="36">
        <v>3</v>
      </c>
      <c r="E727" s="36" t="s">
        <v>1416</v>
      </c>
    </row>
    <row r="728" spans="1:5">
      <c r="A728" s="36">
        <v>727</v>
      </c>
      <c r="B728" s="36" t="s">
        <v>975</v>
      </c>
      <c r="C728" s="36">
        <v>23</v>
      </c>
      <c r="D728" s="36">
        <v>7</v>
      </c>
      <c r="E728" s="36" t="s">
        <v>1416</v>
      </c>
    </row>
    <row r="729" spans="1:5">
      <c r="A729" s="36">
        <v>728</v>
      </c>
      <c r="B729" s="36" t="s">
        <v>934</v>
      </c>
      <c r="C729" s="36">
        <v>23</v>
      </c>
      <c r="D729" s="36">
        <v>8</v>
      </c>
      <c r="E729" s="36" t="s">
        <v>1416</v>
      </c>
    </row>
    <row r="730" spans="1:5">
      <c r="A730" s="36">
        <v>729</v>
      </c>
      <c r="B730" s="36" t="s">
        <v>935</v>
      </c>
      <c r="C730" s="36">
        <v>23</v>
      </c>
      <c r="D730" s="36">
        <v>12</v>
      </c>
      <c r="E730" s="36" t="s">
        <v>1413</v>
      </c>
    </row>
    <row r="731" spans="1:5">
      <c r="A731" s="36">
        <v>730</v>
      </c>
      <c r="B731" s="36" t="s">
        <v>936</v>
      </c>
      <c r="C731" s="36">
        <v>23</v>
      </c>
      <c r="D731" s="36">
        <v>15</v>
      </c>
      <c r="E731" s="36" t="s">
        <v>1413</v>
      </c>
    </row>
    <row r="732" spans="1:5">
      <c r="A732" s="36">
        <v>731</v>
      </c>
      <c r="B732" s="36" t="s">
        <v>937</v>
      </c>
      <c r="C732" s="36">
        <v>23</v>
      </c>
      <c r="D732" s="36">
        <v>9</v>
      </c>
      <c r="E732" s="36" t="s">
        <v>1416</v>
      </c>
    </row>
    <row r="733" spans="1:5">
      <c r="A733" s="36">
        <v>732</v>
      </c>
      <c r="B733" s="36" t="s">
        <v>938</v>
      </c>
      <c r="C733" s="36">
        <v>23</v>
      </c>
      <c r="D733" s="36">
        <v>12</v>
      </c>
      <c r="E733" s="36" t="s">
        <v>1413</v>
      </c>
    </row>
    <row r="734" spans="1:5">
      <c r="A734" s="36">
        <v>733</v>
      </c>
      <c r="B734" s="36" t="s">
        <v>976</v>
      </c>
      <c r="C734" s="36">
        <v>23</v>
      </c>
      <c r="D734" s="36">
        <v>13</v>
      </c>
      <c r="E734" s="36" t="s">
        <v>1413</v>
      </c>
    </row>
    <row r="735" spans="1:5">
      <c r="A735" s="36">
        <v>734</v>
      </c>
      <c r="B735" s="36" t="s">
        <v>939</v>
      </c>
      <c r="C735" s="36">
        <v>23</v>
      </c>
      <c r="D735" s="36">
        <v>8</v>
      </c>
      <c r="E735" s="36" t="s">
        <v>1416</v>
      </c>
    </row>
    <row r="736" spans="1:5">
      <c r="A736" s="36">
        <v>735</v>
      </c>
      <c r="B736" s="36" t="s">
        <v>940</v>
      </c>
      <c r="C736" s="36">
        <v>23</v>
      </c>
      <c r="D736" s="36">
        <v>5</v>
      </c>
      <c r="E736" s="36" t="s">
        <v>1416</v>
      </c>
    </row>
    <row r="737" spans="1:5">
      <c r="A737" s="36">
        <v>736</v>
      </c>
      <c r="B737" s="36" t="s">
        <v>941</v>
      </c>
      <c r="C737" s="36">
        <v>23</v>
      </c>
      <c r="D737" s="36">
        <v>5</v>
      </c>
      <c r="E737" s="36" t="s">
        <v>1419</v>
      </c>
    </row>
    <row r="738" spans="1:5">
      <c r="A738" s="36">
        <v>737</v>
      </c>
      <c r="B738" s="36" t="s">
        <v>942</v>
      </c>
      <c r="C738" s="36">
        <v>23</v>
      </c>
      <c r="D738" s="36">
        <v>15</v>
      </c>
      <c r="E738" s="36" t="s">
        <v>1416</v>
      </c>
    </row>
    <row r="739" spans="1:5">
      <c r="A739" s="36">
        <v>738</v>
      </c>
      <c r="B739" s="36" t="s">
        <v>943</v>
      </c>
      <c r="C739" s="36">
        <v>23</v>
      </c>
      <c r="D739" s="36">
        <v>10</v>
      </c>
      <c r="E739" s="36" t="s">
        <v>1413</v>
      </c>
    </row>
    <row r="740" spans="1:5">
      <c r="A740" s="36">
        <v>739</v>
      </c>
      <c r="B740" s="36" t="s">
        <v>944</v>
      </c>
      <c r="C740" s="36">
        <v>23</v>
      </c>
      <c r="D740" s="36">
        <v>3</v>
      </c>
      <c r="E740" s="36" t="s">
        <v>1416</v>
      </c>
    </row>
    <row r="741" spans="1:5">
      <c r="A741" s="36">
        <v>740</v>
      </c>
      <c r="B741" s="36" t="s">
        <v>945</v>
      </c>
      <c r="C741" s="36">
        <v>23</v>
      </c>
      <c r="D741" s="36">
        <v>8</v>
      </c>
      <c r="E741" s="36" t="s">
        <v>1419</v>
      </c>
    </row>
    <row r="742" spans="1:5">
      <c r="A742" s="36">
        <v>741</v>
      </c>
      <c r="B742" s="36" t="s">
        <v>946</v>
      </c>
      <c r="C742" s="36">
        <v>23</v>
      </c>
      <c r="D742" s="36">
        <v>6</v>
      </c>
      <c r="E742" s="36" t="s">
        <v>1416</v>
      </c>
    </row>
    <row r="743" spans="1:5">
      <c r="A743" s="36">
        <v>742</v>
      </c>
      <c r="B743" s="36" t="s">
        <v>947</v>
      </c>
      <c r="C743" s="36">
        <v>23</v>
      </c>
      <c r="D743" s="36">
        <v>1</v>
      </c>
      <c r="E743" s="36" t="s">
        <v>1416</v>
      </c>
    </row>
    <row r="744" spans="1:5">
      <c r="A744" s="36">
        <v>743</v>
      </c>
      <c r="B744" s="36" t="s">
        <v>948</v>
      </c>
      <c r="C744" s="36">
        <v>23</v>
      </c>
      <c r="D744" s="36">
        <v>5</v>
      </c>
      <c r="E744" s="36" t="s">
        <v>1416</v>
      </c>
    </row>
    <row r="745" spans="1:5">
      <c r="A745" s="36">
        <v>744</v>
      </c>
      <c r="B745" s="36" t="s">
        <v>949</v>
      </c>
      <c r="C745" s="36">
        <v>23</v>
      </c>
      <c r="D745" s="36">
        <v>10</v>
      </c>
      <c r="E745" s="36" t="s">
        <v>1419</v>
      </c>
    </row>
    <row r="746" spans="1:5">
      <c r="A746" s="36">
        <v>745</v>
      </c>
      <c r="B746" s="36" t="s">
        <v>950</v>
      </c>
      <c r="C746" s="36">
        <v>23</v>
      </c>
      <c r="D746" s="36">
        <v>8</v>
      </c>
      <c r="E746" s="36" t="s">
        <v>1416</v>
      </c>
    </row>
    <row r="747" spans="1:5">
      <c r="A747" s="36">
        <v>746</v>
      </c>
      <c r="B747" s="36" t="s">
        <v>951</v>
      </c>
      <c r="C747" s="36">
        <v>23</v>
      </c>
      <c r="D747" s="36">
        <v>13</v>
      </c>
      <c r="E747" s="36" t="s">
        <v>1416</v>
      </c>
    </row>
    <row r="748" spans="1:5">
      <c r="A748" s="36">
        <v>747</v>
      </c>
      <c r="B748" s="36" t="s">
        <v>952</v>
      </c>
      <c r="C748" s="36">
        <v>23</v>
      </c>
      <c r="D748" s="36">
        <v>15</v>
      </c>
      <c r="E748" s="36" t="s">
        <v>1413</v>
      </c>
    </row>
    <row r="749" spans="1:5">
      <c r="A749" s="36">
        <v>748</v>
      </c>
      <c r="B749" s="36" t="s">
        <v>953</v>
      </c>
      <c r="C749" s="36">
        <v>23</v>
      </c>
      <c r="D749" s="36">
        <v>10</v>
      </c>
      <c r="E749" s="36" t="s">
        <v>1413</v>
      </c>
    </row>
    <row r="750" spans="1:5">
      <c r="A750" s="36">
        <v>749</v>
      </c>
      <c r="B750" s="36" t="s">
        <v>977</v>
      </c>
      <c r="C750" s="36">
        <v>23</v>
      </c>
      <c r="D750" s="36">
        <v>1</v>
      </c>
      <c r="E750" s="36" t="s">
        <v>1413</v>
      </c>
    </row>
    <row r="751" spans="1:5">
      <c r="A751" s="36">
        <v>750</v>
      </c>
      <c r="B751" s="36" t="s">
        <v>954</v>
      </c>
      <c r="C751" s="36">
        <v>23</v>
      </c>
      <c r="D751" s="36">
        <v>1</v>
      </c>
      <c r="E751" s="36" t="s">
        <v>1416</v>
      </c>
    </row>
    <row r="752" spans="1:5">
      <c r="A752" s="36">
        <v>751</v>
      </c>
      <c r="B752" s="36" t="s">
        <v>955</v>
      </c>
      <c r="C752" s="36">
        <v>23</v>
      </c>
      <c r="D752" s="36">
        <v>10</v>
      </c>
      <c r="E752" s="36" t="s">
        <v>1413</v>
      </c>
    </row>
    <row r="753" spans="1:5">
      <c r="A753" s="36">
        <v>752</v>
      </c>
      <c r="B753" s="36" t="s">
        <v>956</v>
      </c>
      <c r="C753" s="36">
        <v>23</v>
      </c>
      <c r="D753" s="36">
        <v>13</v>
      </c>
      <c r="E753" s="36" t="s">
        <v>1413</v>
      </c>
    </row>
    <row r="754" spans="1:5">
      <c r="A754" s="36">
        <v>753</v>
      </c>
      <c r="B754" s="36" t="s">
        <v>979</v>
      </c>
      <c r="C754" s="36">
        <v>23</v>
      </c>
      <c r="D754" s="36">
        <v>3</v>
      </c>
      <c r="E754" s="36" t="s">
        <v>1413</v>
      </c>
    </row>
    <row r="755" spans="1:5">
      <c r="A755" s="36">
        <v>754</v>
      </c>
      <c r="B755" s="36" t="s">
        <v>957</v>
      </c>
      <c r="C755" s="36">
        <v>23</v>
      </c>
      <c r="D755" s="36">
        <v>9</v>
      </c>
      <c r="E755" s="36" t="s">
        <v>1416</v>
      </c>
    </row>
    <row r="756" spans="1:5">
      <c r="A756" s="36">
        <v>755</v>
      </c>
      <c r="B756" s="36" t="s">
        <v>958</v>
      </c>
      <c r="C756" s="36">
        <v>23</v>
      </c>
      <c r="D756" s="36">
        <v>15</v>
      </c>
      <c r="E756" s="36" t="s">
        <v>1413</v>
      </c>
    </row>
    <row r="757" spans="1:5">
      <c r="A757" s="36">
        <v>756</v>
      </c>
      <c r="B757" s="36" t="s">
        <v>959</v>
      </c>
      <c r="C757" s="36">
        <v>23</v>
      </c>
      <c r="D757" s="36">
        <v>8</v>
      </c>
      <c r="E757" s="36" t="s">
        <v>1419</v>
      </c>
    </row>
    <row r="758" spans="1:5">
      <c r="A758" s="36">
        <v>757</v>
      </c>
      <c r="B758" s="36" t="s">
        <v>967</v>
      </c>
      <c r="C758" s="36">
        <v>23</v>
      </c>
      <c r="D758" s="36">
        <v>2</v>
      </c>
      <c r="E758" s="36" t="s">
        <v>1416</v>
      </c>
    </row>
    <row r="759" spans="1:5">
      <c r="A759" s="36">
        <v>758</v>
      </c>
      <c r="B759" s="36" t="s">
        <v>960</v>
      </c>
      <c r="C759" s="36">
        <v>23</v>
      </c>
      <c r="D759" s="36">
        <v>5</v>
      </c>
      <c r="E759" s="36" t="s">
        <v>1416</v>
      </c>
    </row>
    <row r="760" spans="1:5">
      <c r="A760" s="36">
        <v>759</v>
      </c>
      <c r="B760" s="36" t="s">
        <v>961</v>
      </c>
      <c r="C760" s="36">
        <v>23</v>
      </c>
      <c r="D760" s="36">
        <v>8</v>
      </c>
      <c r="E760" s="36" t="s">
        <v>1416</v>
      </c>
    </row>
    <row r="761" spans="1:5">
      <c r="A761" s="36">
        <v>760</v>
      </c>
      <c r="B761" s="36" t="s">
        <v>962</v>
      </c>
      <c r="C761" s="36">
        <v>23</v>
      </c>
      <c r="D761" s="36">
        <v>1</v>
      </c>
      <c r="E761" s="36" t="s">
        <v>1416</v>
      </c>
    </row>
    <row r="762" spans="1:5">
      <c r="A762" s="36">
        <v>761</v>
      </c>
      <c r="B762" s="36" t="s">
        <v>965</v>
      </c>
      <c r="C762" s="36">
        <v>23</v>
      </c>
      <c r="D762" s="36">
        <v>6</v>
      </c>
      <c r="E762" s="36" t="s">
        <v>1416</v>
      </c>
    </row>
    <row r="763" spans="1:5">
      <c r="A763" s="36">
        <v>762</v>
      </c>
      <c r="B763" s="36" t="s">
        <v>963</v>
      </c>
      <c r="C763" s="36">
        <v>23</v>
      </c>
      <c r="D763" s="36">
        <v>12</v>
      </c>
      <c r="E763" s="36" t="s">
        <v>1413</v>
      </c>
    </row>
    <row r="764" spans="1:5">
      <c r="A764" s="36">
        <v>763</v>
      </c>
      <c r="B764" s="36" t="s">
        <v>964</v>
      </c>
      <c r="C764" s="36">
        <v>23</v>
      </c>
      <c r="D764" s="36">
        <v>5</v>
      </c>
      <c r="E764" s="36" t="s">
        <v>1416</v>
      </c>
    </row>
    <row r="765" spans="1:5">
      <c r="A765" s="36">
        <v>764</v>
      </c>
      <c r="B765" s="36" t="s">
        <v>968</v>
      </c>
      <c r="C765" s="36">
        <v>23</v>
      </c>
      <c r="D765" s="36">
        <v>1</v>
      </c>
      <c r="E765" s="36" t="s">
        <v>1416</v>
      </c>
    </row>
    <row r="766" spans="1:5">
      <c r="A766" s="36">
        <v>765</v>
      </c>
      <c r="B766" s="36" t="s">
        <v>966</v>
      </c>
      <c r="C766" s="36">
        <v>23</v>
      </c>
      <c r="D766" s="36">
        <v>10</v>
      </c>
      <c r="E766" s="36" t="s">
        <v>1416</v>
      </c>
    </row>
    <row r="767" spans="1:5">
      <c r="A767" s="36">
        <v>766</v>
      </c>
      <c r="B767" s="36" t="s">
        <v>969</v>
      </c>
      <c r="C767" s="36">
        <v>23</v>
      </c>
      <c r="D767" s="36">
        <v>15</v>
      </c>
      <c r="E767" s="36" t="s">
        <v>1413</v>
      </c>
    </row>
    <row r="768" spans="1:5">
      <c r="A768" s="36">
        <v>767</v>
      </c>
      <c r="B768" s="36" t="s">
        <v>970</v>
      </c>
      <c r="C768" s="36">
        <v>23</v>
      </c>
      <c r="D768" s="36">
        <v>4</v>
      </c>
      <c r="E768" s="36" t="s">
        <v>1416</v>
      </c>
    </row>
    <row r="769" spans="1:5">
      <c r="A769" s="36">
        <v>768</v>
      </c>
      <c r="B769" s="36" t="s">
        <v>971</v>
      </c>
      <c r="C769" s="36">
        <v>23</v>
      </c>
      <c r="D769" s="36">
        <v>3</v>
      </c>
      <c r="E769" s="36" t="s">
        <v>1413</v>
      </c>
    </row>
    <row r="770" spans="1:5">
      <c r="A770" s="36">
        <v>769</v>
      </c>
      <c r="B770" s="36" t="s">
        <v>972</v>
      </c>
      <c r="C770" s="36">
        <v>23</v>
      </c>
      <c r="D770" s="36">
        <v>4</v>
      </c>
      <c r="E770" s="36" t="s">
        <v>1416</v>
      </c>
    </row>
    <row r="771" spans="1:5">
      <c r="A771" s="36">
        <v>770</v>
      </c>
      <c r="B771" s="36" t="s">
        <v>933</v>
      </c>
      <c r="C771" s="36">
        <v>23</v>
      </c>
      <c r="D771" s="36">
        <v>1</v>
      </c>
      <c r="E771" s="36" t="s">
        <v>1416</v>
      </c>
    </row>
    <row r="772" spans="1:5">
      <c r="A772" s="36">
        <v>771</v>
      </c>
      <c r="B772" s="36" t="s">
        <v>973</v>
      </c>
      <c r="C772" s="36">
        <v>23</v>
      </c>
      <c r="D772" s="36">
        <v>12</v>
      </c>
      <c r="E772" s="36" t="s">
        <v>1416</v>
      </c>
    </row>
    <row r="773" spans="1:5">
      <c r="A773" s="36">
        <v>772</v>
      </c>
      <c r="B773" s="36" t="s">
        <v>974</v>
      </c>
      <c r="C773" s="36">
        <v>23</v>
      </c>
      <c r="D773" s="36">
        <v>4</v>
      </c>
      <c r="E773" s="36" t="s">
        <v>1416</v>
      </c>
    </row>
    <row r="774" spans="1:5">
      <c r="A774" s="36">
        <v>773</v>
      </c>
      <c r="B774" s="36" t="s">
        <v>984</v>
      </c>
      <c r="C774" s="36">
        <v>22</v>
      </c>
      <c r="D774" s="36">
        <v>14</v>
      </c>
      <c r="E774" s="36" t="s">
        <v>1416</v>
      </c>
    </row>
    <row r="775" spans="1:5">
      <c r="A775" s="36">
        <v>774</v>
      </c>
      <c r="B775" s="36" t="s">
        <v>985</v>
      </c>
      <c r="C775" s="36">
        <v>22</v>
      </c>
      <c r="D775" s="36">
        <v>7</v>
      </c>
      <c r="E775" s="36" t="s">
        <v>1416</v>
      </c>
    </row>
    <row r="776" spans="1:5">
      <c r="A776" s="36">
        <v>775</v>
      </c>
      <c r="B776" s="36" t="s">
        <v>986</v>
      </c>
      <c r="C776" s="36">
        <v>22</v>
      </c>
      <c r="D776" s="36">
        <v>13</v>
      </c>
      <c r="E776" s="36" t="s">
        <v>1413</v>
      </c>
    </row>
    <row r="777" spans="1:5">
      <c r="A777" s="36">
        <v>776</v>
      </c>
      <c r="B777" s="36" t="s">
        <v>987</v>
      </c>
      <c r="C777" s="36">
        <v>22</v>
      </c>
      <c r="D777" s="36">
        <v>15</v>
      </c>
      <c r="E777" s="36" t="s">
        <v>1413</v>
      </c>
    </row>
    <row r="778" spans="1:5">
      <c r="A778" s="36">
        <v>777</v>
      </c>
      <c r="B778" s="36" t="s">
        <v>1022</v>
      </c>
      <c r="C778" s="36">
        <v>22</v>
      </c>
      <c r="D778" s="36">
        <v>3</v>
      </c>
      <c r="E778" s="36" t="s">
        <v>1413</v>
      </c>
    </row>
    <row r="779" spans="1:5">
      <c r="A779" s="36">
        <v>778</v>
      </c>
      <c r="B779" s="36" t="s">
        <v>988</v>
      </c>
      <c r="C779" s="36">
        <v>22</v>
      </c>
      <c r="D779" s="36">
        <v>13</v>
      </c>
      <c r="E779" s="36" t="s">
        <v>1413</v>
      </c>
    </row>
    <row r="780" spans="1:5">
      <c r="A780" s="36">
        <v>779</v>
      </c>
      <c r="B780" s="36" t="s">
        <v>989</v>
      </c>
      <c r="C780" s="36">
        <v>22</v>
      </c>
      <c r="D780" s="36">
        <v>3</v>
      </c>
      <c r="E780" s="36" t="s">
        <v>1413</v>
      </c>
    </row>
    <row r="781" spans="1:5">
      <c r="A781" s="36">
        <v>780</v>
      </c>
      <c r="B781" s="36" t="s">
        <v>990</v>
      </c>
      <c r="C781" s="36">
        <v>22</v>
      </c>
      <c r="D781" s="36">
        <v>11</v>
      </c>
      <c r="E781" s="36" t="s">
        <v>1413</v>
      </c>
    </row>
    <row r="782" spans="1:5">
      <c r="A782" s="36">
        <v>781</v>
      </c>
      <c r="B782" s="36" t="s">
        <v>991</v>
      </c>
      <c r="C782" s="36">
        <v>22</v>
      </c>
      <c r="D782" s="36">
        <v>2</v>
      </c>
      <c r="E782" s="36" t="s">
        <v>1416</v>
      </c>
    </row>
    <row r="783" spans="1:5">
      <c r="A783" s="36">
        <v>782</v>
      </c>
      <c r="B783" s="36" t="s">
        <v>992</v>
      </c>
      <c r="C783" s="36">
        <v>22</v>
      </c>
      <c r="D783" s="36">
        <v>4</v>
      </c>
      <c r="E783" s="36" t="s">
        <v>1416</v>
      </c>
    </row>
    <row r="784" spans="1:5">
      <c r="A784" s="36">
        <v>783</v>
      </c>
      <c r="B784" s="36" t="s">
        <v>993</v>
      </c>
      <c r="C784" s="36">
        <v>22</v>
      </c>
      <c r="D784" s="36">
        <v>1</v>
      </c>
      <c r="E784" s="36" t="s">
        <v>1416</v>
      </c>
    </row>
    <row r="785" spans="1:5">
      <c r="A785" s="36">
        <v>784</v>
      </c>
      <c r="B785" s="36" t="s">
        <v>994</v>
      </c>
      <c r="C785" s="36">
        <v>22</v>
      </c>
      <c r="D785" s="36">
        <v>6</v>
      </c>
      <c r="E785" s="36" t="s">
        <v>1419</v>
      </c>
    </row>
    <row r="786" spans="1:5">
      <c r="A786" s="36">
        <v>785</v>
      </c>
      <c r="B786" s="36" t="s">
        <v>995</v>
      </c>
      <c r="C786" s="36">
        <v>22</v>
      </c>
      <c r="D786" s="36">
        <v>12</v>
      </c>
      <c r="E786" s="36" t="s">
        <v>1419</v>
      </c>
    </row>
    <row r="787" spans="1:5">
      <c r="A787" s="36">
        <v>786</v>
      </c>
      <c r="B787" s="36" t="s">
        <v>996</v>
      </c>
      <c r="C787" s="36">
        <v>22</v>
      </c>
      <c r="D787" s="36">
        <v>8</v>
      </c>
      <c r="E787" s="36" t="s">
        <v>1419</v>
      </c>
    </row>
    <row r="788" spans="1:5">
      <c r="A788" s="36">
        <v>787</v>
      </c>
      <c r="B788" s="36" t="s">
        <v>997</v>
      </c>
      <c r="C788" s="36">
        <v>22</v>
      </c>
      <c r="D788" s="36">
        <v>12</v>
      </c>
      <c r="E788" s="36" t="s">
        <v>1416</v>
      </c>
    </row>
    <row r="789" spans="1:5">
      <c r="A789" s="36">
        <v>788</v>
      </c>
      <c r="B789" s="36" t="s">
        <v>998</v>
      </c>
      <c r="C789" s="36">
        <v>22</v>
      </c>
      <c r="D789" s="36">
        <v>5</v>
      </c>
      <c r="E789" s="36" t="s">
        <v>1413</v>
      </c>
    </row>
    <row r="790" spans="1:5">
      <c r="A790" s="36">
        <v>789</v>
      </c>
      <c r="B790" s="36" t="s">
        <v>999</v>
      </c>
      <c r="C790" s="36">
        <v>22</v>
      </c>
      <c r="D790" s="36">
        <v>4</v>
      </c>
      <c r="E790" s="36" t="s">
        <v>1416</v>
      </c>
    </row>
    <row r="791" spans="1:5">
      <c r="A791" s="36">
        <v>790</v>
      </c>
      <c r="B791" s="36" t="s">
        <v>1000</v>
      </c>
      <c r="C791" s="36">
        <v>22</v>
      </c>
      <c r="D791" s="36">
        <v>7</v>
      </c>
      <c r="E791" s="36" t="s">
        <v>1419</v>
      </c>
    </row>
    <row r="792" spans="1:5">
      <c r="A792" s="36">
        <v>791</v>
      </c>
      <c r="B792" s="36" t="s">
        <v>1001</v>
      </c>
      <c r="C792" s="36">
        <v>22</v>
      </c>
      <c r="D792" s="36">
        <v>2</v>
      </c>
      <c r="E792" s="36" t="s">
        <v>1416</v>
      </c>
    </row>
    <row r="793" spans="1:5">
      <c r="A793" s="36">
        <v>792</v>
      </c>
      <c r="B793" s="36" t="s">
        <v>1025</v>
      </c>
      <c r="C793" s="36">
        <v>22</v>
      </c>
      <c r="D793" s="36">
        <v>13</v>
      </c>
      <c r="E793" s="36" t="s">
        <v>1413</v>
      </c>
    </row>
    <row r="794" spans="1:5">
      <c r="A794" s="36">
        <v>793</v>
      </c>
      <c r="B794" s="36" t="s">
        <v>1026</v>
      </c>
      <c r="C794" s="36">
        <v>22</v>
      </c>
      <c r="D794" s="36">
        <v>9</v>
      </c>
      <c r="E794" s="36" t="s">
        <v>1413</v>
      </c>
    </row>
    <row r="795" spans="1:5">
      <c r="A795" s="36">
        <v>794</v>
      </c>
      <c r="B795" s="36" t="s">
        <v>1002</v>
      </c>
      <c r="C795" s="36">
        <v>22</v>
      </c>
      <c r="D795" s="36">
        <v>11</v>
      </c>
      <c r="E795" s="36" t="s">
        <v>1413</v>
      </c>
    </row>
    <row r="796" spans="1:5">
      <c r="A796" s="36">
        <v>795</v>
      </c>
      <c r="B796" s="36" t="s">
        <v>1003</v>
      </c>
      <c r="C796" s="36">
        <v>22</v>
      </c>
      <c r="D796" s="36">
        <v>1</v>
      </c>
      <c r="E796" s="36" t="s">
        <v>1416</v>
      </c>
    </row>
    <row r="797" spans="1:5">
      <c r="A797" s="36">
        <v>796</v>
      </c>
      <c r="B797" s="36" t="s">
        <v>1004</v>
      </c>
      <c r="C797" s="36">
        <v>22</v>
      </c>
      <c r="D797" s="36">
        <v>4</v>
      </c>
      <c r="E797" s="36" t="s">
        <v>1413</v>
      </c>
    </row>
    <row r="798" spans="1:5">
      <c r="A798" s="36">
        <v>797</v>
      </c>
      <c r="B798" s="36" t="s">
        <v>1005</v>
      </c>
      <c r="C798" s="36">
        <v>22</v>
      </c>
      <c r="D798" s="36">
        <v>6</v>
      </c>
      <c r="E798" s="36" t="s">
        <v>1416</v>
      </c>
    </row>
    <row r="799" spans="1:5">
      <c r="A799" s="36">
        <v>798</v>
      </c>
      <c r="B799" s="36" t="s">
        <v>1006</v>
      </c>
      <c r="C799" s="36">
        <v>22</v>
      </c>
      <c r="D799" s="36">
        <v>12</v>
      </c>
      <c r="E799" s="36" t="s">
        <v>1413</v>
      </c>
    </row>
    <row r="800" spans="1:5">
      <c r="A800" s="36">
        <v>799</v>
      </c>
      <c r="B800" s="36" t="s">
        <v>1007</v>
      </c>
      <c r="C800" s="36">
        <v>22</v>
      </c>
      <c r="D800" s="36">
        <v>11</v>
      </c>
      <c r="E800" s="36" t="s">
        <v>1419</v>
      </c>
    </row>
    <row r="801" spans="1:5">
      <c r="A801" s="36">
        <v>800</v>
      </c>
      <c r="B801" s="36" t="s">
        <v>1008</v>
      </c>
      <c r="C801" s="36">
        <v>22</v>
      </c>
      <c r="D801" s="36">
        <v>2</v>
      </c>
      <c r="E801" s="36" t="s">
        <v>1416</v>
      </c>
    </row>
    <row r="802" spans="1:5">
      <c r="A802" s="36">
        <v>801</v>
      </c>
      <c r="B802" s="36" t="s">
        <v>1009</v>
      </c>
      <c r="C802" s="36">
        <v>22</v>
      </c>
      <c r="D802" s="36">
        <v>1</v>
      </c>
      <c r="E802" s="36" t="s">
        <v>1416</v>
      </c>
    </row>
    <row r="803" spans="1:5">
      <c r="A803" s="36">
        <v>802</v>
      </c>
      <c r="B803" s="36" t="s">
        <v>1010</v>
      </c>
      <c r="C803" s="36">
        <v>22</v>
      </c>
      <c r="D803" s="36">
        <v>13</v>
      </c>
      <c r="E803" s="36" t="s">
        <v>1416</v>
      </c>
    </row>
    <row r="804" spans="1:5">
      <c r="A804" s="36">
        <v>803</v>
      </c>
      <c r="B804" s="36" t="s">
        <v>1011</v>
      </c>
      <c r="C804" s="36">
        <v>22</v>
      </c>
      <c r="D804" s="36">
        <v>3</v>
      </c>
      <c r="E804" s="36" t="s">
        <v>1416</v>
      </c>
    </row>
    <row r="805" spans="1:5">
      <c r="A805" s="36">
        <v>804</v>
      </c>
      <c r="B805" s="36" t="s">
        <v>1012</v>
      </c>
      <c r="C805" s="36">
        <v>22</v>
      </c>
      <c r="D805" s="36">
        <v>12</v>
      </c>
      <c r="E805" s="36" t="s">
        <v>1416</v>
      </c>
    </row>
    <row r="806" spans="1:5">
      <c r="A806" s="36">
        <v>805</v>
      </c>
      <c r="B806" s="36" t="s">
        <v>1013</v>
      </c>
      <c r="C806" s="36">
        <v>22</v>
      </c>
      <c r="D806" s="36">
        <v>5</v>
      </c>
      <c r="E806" s="36" t="s">
        <v>1416</v>
      </c>
    </row>
    <row r="807" spans="1:5">
      <c r="A807" s="36">
        <v>806</v>
      </c>
      <c r="B807" s="36" t="s">
        <v>1014</v>
      </c>
      <c r="C807" s="36">
        <v>22</v>
      </c>
      <c r="D807" s="36">
        <v>5</v>
      </c>
      <c r="E807" s="36" t="s">
        <v>1416</v>
      </c>
    </row>
    <row r="808" spans="1:5">
      <c r="A808" s="36">
        <v>807</v>
      </c>
      <c r="B808" s="36" t="s">
        <v>1015</v>
      </c>
      <c r="C808" s="36">
        <v>22</v>
      </c>
      <c r="D808" s="36">
        <v>13</v>
      </c>
      <c r="E808" s="36" t="s">
        <v>1413</v>
      </c>
    </row>
    <row r="809" spans="1:5">
      <c r="A809" s="36">
        <v>808</v>
      </c>
      <c r="B809" s="36" t="s">
        <v>1016</v>
      </c>
      <c r="C809" s="36">
        <v>22</v>
      </c>
      <c r="D809" s="36">
        <v>15</v>
      </c>
      <c r="E809" s="36" t="s">
        <v>1413</v>
      </c>
    </row>
    <row r="810" spans="1:5">
      <c r="A810" s="36">
        <v>809</v>
      </c>
      <c r="B810" s="36" t="s">
        <v>1017</v>
      </c>
      <c r="C810" s="36">
        <v>22</v>
      </c>
      <c r="D810" s="36">
        <v>4</v>
      </c>
      <c r="E810" s="36" t="s">
        <v>1413</v>
      </c>
    </row>
    <row r="811" spans="1:5">
      <c r="A811" s="36">
        <v>810</v>
      </c>
      <c r="B811" s="36" t="s">
        <v>1018</v>
      </c>
      <c r="C811" s="36">
        <v>22</v>
      </c>
      <c r="D811" s="36">
        <v>11</v>
      </c>
      <c r="E811" s="36" t="s">
        <v>1413</v>
      </c>
    </row>
    <row r="812" spans="1:5">
      <c r="A812" s="36">
        <v>811</v>
      </c>
      <c r="B812" s="36" t="s">
        <v>1019</v>
      </c>
      <c r="C812" s="36">
        <v>22</v>
      </c>
      <c r="D812" s="36">
        <v>1</v>
      </c>
      <c r="E812" s="36" t="s">
        <v>1416</v>
      </c>
    </row>
    <row r="813" spans="1:5">
      <c r="A813" s="36">
        <v>812</v>
      </c>
      <c r="B813" s="36" t="s">
        <v>983</v>
      </c>
      <c r="C813" s="36">
        <v>22</v>
      </c>
      <c r="D813" s="36">
        <v>9</v>
      </c>
      <c r="E813" s="36" t="s">
        <v>1413</v>
      </c>
    </row>
    <row r="814" spans="1:5">
      <c r="A814" s="36">
        <v>813</v>
      </c>
      <c r="B814" s="36" t="s">
        <v>1020</v>
      </c>
      <c r="C814" s="36">
        <v>22</v>
      </c>
      <c r="D814" s="36">
        <v>10</v>
      </c>
      <c r="E814" s="36" t="s">
        <v>1416</v>
      </c>
    </row>
    <row r="815" spans="1:5">
      <c r="A815" s="36">
        <v>814</v>
      </c>
      <c r="B815" s="36" t="s">
        <v>1021</v>
      </c>
      <c r="C815" s="36">
        <v>22</v>
      </c>
      <c r="D815" s="36">
        <v>6</v>
      </c>
      <c r="E815" s="36" t="s">
        <v>1416</v>
      </c>
    </row>
    <row r="816" spans="1:5">
      <c r="A816" s="36">
        <v>815</v>
      </c>
      <c r="B816" s="36" t="s">
        <v>1065</v>
      </c>
      <c r="C816" s="36">
        <v>21</v>
      </c>
      <c r="D816" s="36">
        <v>5</v>
      </c>
      <c r="E816" s="36" t="s">
        <v>1416</v>
      </c>
    </row>
    <row r="817" spans="1:5">
      <c r="A817" s="36">
        <v>816</v>
      </c>
      <c r="B817" s="36" t="s">
        <v>1066</v>
      </c>
      <c r="C817" s="36">
        <v>21</v>
      </c>
      <c r="D817" s="36">
        <v>9</v>
      </c>
      <c r="E817" s="36" t="s">
        <v>1416</v>
      </c>
    </row>
    <row r="818" spans="1:5">
      <c r="A818" s="36">
        <v>817</v>
      </c>
      <c r="B818" s="36" t="s">
        <v>1067</v>
      </c>
      <c r="C818" s="36">
        <v>21</v>
      </c>
      <c r="D818" s="36">
        <v>15</v>
      </c>
      <c r="E818" s="36" t="s">
        <v>1413</v>
      </c>
    </row>
    <row r="819" spans="1:5">
      <c r="A819" s="36">
        <v>818</v>
      </c>
      <c r="B819" s="36" t="s">
        <v>1063</v>
      </c>
      <c r="C819" s="36">
        <v>21</v>
      </c>
      <c r="D819" s="36">
        <v>8</v>
      </c>
      <c r="E819" s="36" t="s">
        <v>1419</v>
      </c>
    </row>
    <row r="820" spans="1:5">
      <c r="A820" s="36">
        <v>819</v>
      </c>
      <c r="B820" s="36" t="s">
        <v>1068</v>
      </c>
      <c r="C820" s="36">
        <v>21</v>
      </c>
      <c r="D820" s="36">
        <v>11</v>
      </c>
      <c r="E820" s="36" t="s">
        <v>1416</v>
      </c>
    </row>
    <row r="821" spans="1:5">
      <c r="A821" s="36">
        <v>820</v>
      </c>
      <c r="B821" s="36" t="s">
        <v>1030</v>
      </c>
      <c r="C821" s="36">
        <v>21</v>
      </c>
      <c r="D821" s="36">
        <v>6</v>
      </c>
      <c r="E821" s="36" t="s">
        <v>1416</v>
      </c>
    </row>
    <row r="822" spans="1:5">
      <c r="A822" s="36">
        <v>821</v>
      </c>
      <c r="B822" s="36" t="s">
        <v>1069</v>
      </c>
      <c r="C822" s="36">
        <v>21</v>
      </c>
      <c r="D822" s="36">
        <v>4</v>
      </c>
      <c r="E822" s="36" t="s">
        <v>1416</v>
      </c>
    </row>
    <row r="823" spans="1:5">
      <c r="A823" s="36">
        <v>822</v>
      </c>
      <c r="B823" s="36" t="s">
        <v>1070</v>
      </c>
      <c r="C823" s="36">
        <v>21</v>
      </c>
      <c r="D823" s="36">
        <v>9</v>
      </c>
      <c r="E823" s="36" t="s">
        <v>1416</v>
      </c>
    </row>
    <row r="824" spans="1:5">
      <c r="A824" s="36">
        <v>823</v>
      </c>
      <c r="B824" s="36" t="s">
        <v>1071</v>
      </c>
      <c r="C824" s="36">
        <v>21</v>
      </c>
      <c r="D824" s="36">
        <v>7</v>
      </c>
      <c r="E824" s="36" t="s">
        <v>1413</v>
      </c>
    </row>
    <row r="825" spans="1:5">
      <c r="A825" s="36">
        <v>824</v>
      </c>
      <c r="B825" s="36" t="s">
        <v>1072</v>
      </c>
      <c r="C825" s="36">
        <v>21</v>
      </c>
      <c r="D825" s="36">
        <v>3</v>
      </c>
      <c r="E825" s="36" t="s">
        <v>1413</v>
      </c>
    </row>
    <row r="826" spans="1:5">
      <c r="A826" s="36">
        <v>825</v>
      </c>
      <c r="B826" s="36" t="s">
        <v>1073</v>
      </c>
      <c r="C826" s="36">
        <v>21</v>
      </c>
      <c r="D826" s="36">
        <v>4</v>
      </c>
      <c r="E826" s="36" t="s">
        <v>1416</v>
      </c>
    </row>
    <row r="827" spans="1:5">
      <c r="A827" s="36">
        <v>826</v>
      </c>
      <c r="B827" s="36" t="s">
        <v>1031</v>
      </c>
      <c r="C827" s="36">
        <v>21</v>
      </c>
      <c r="D827" s="36">
        <v>7</v>
      </c>
      <c r="E827" s="36" t="s">
        <v>1416</v>
      </c>
    </row>
    <row r="828" spans="1:5">
      <c r="A828" s="36">
        <v>827</v>
      </c>
      <c r="B828" s="36" t="s">
        <v>1032</v>
      </c>
      <c r="C828" s="36">
        <v>21</v>
      </c>
      <c r="D828" s="36">
        <v>10</v>
      </c>
      <c r="E828" s="36" t="s">
        <v>1413</v>
      </c>
    </row>
    <row r="829" spans="1:5">
      <c r="A829" s="36">
        <v>828</v>
      </c>
      <c r="B829" s="36" t="s">
        <v>1033</v>
      </c>
      <c r="C829" s="36">
        <v>21</v>
      </c>
      <c r="D829" s="36">
        <v>8</v>
      </c>
      <c r="E829" s="36" t="s">
        <v>1419</v>
      </c>
    </row>
    <row r="830" spans="1:5">
      <c r="A830" s="36">
        <v>829</v>
      </c>
      <c r="B830" s="36" t="s">
        <v>1034</v>
      </c>
      <c r="C830" s="36">
        <v>21</v>
      </c>
      <c r="D830" s="36">
        <v>2</v>
      </c>
      <c r="E830" s="36" t="s">
        <v>1416</v>
      </c>
    </row>
    <row r="831" spans="1:5">
      <c r="A831" s="36">
        <v>830</v>
      </c>
      <c r="B831" s="36" t="s">
        <v>1035</v>
      </c>
      <c r="C831" s="36">
        <v>21</v>
      </c>
      <c r="D831" s="36">
        <v>10</v>
      </c>
      <c r="E831" s="36" t="s">
        <v>1416</v>
      </c>
    </row>
    <row r="832" spans="1:5">
      <c r="A832" s="36">
        <v>831</v>
      </c>
      <c r="B832" s="36" t="s">
        <v>1036</v>
      </c>
      <c r="C832" s="36">
        <v>21</v>
      </c>
      <c r="D832" s="36">
        <v>6</v>
      </c>
      <c r="E832" s="36" t="s">
        <v>1419</v>
      </c>
    </row>
    <row r="833" spans="1:5">
      <c r="A833" s="36">
        <v>832</v>
      </c>
      <c r="B833" s="36" t="s">
        <v>1037</v>
      </c>
      <c r="C833" s="36">
        <v>21</v>
      </c>
      <c r="D833" s="36">
        <v>1</v>
      </c>
      <c r="E833" s="36" t="s">
        <v>1416</v>
      </c>
    </row>
    <row r="834" spans="1:5">
      <c r="A834" s="36">
        <v>833</v>
      </c>
      <c r="B834" s="36" t="s">
        <v>1038</v>
      </c>
      <c r="C834" s="36">
        <v>21</v>
      </c>
      <c r="D834" s="36">
        <v>6</v>
      </c>
      <c r="E834" s="36" t="s">
        <v>1419</v>
      </c>
    </row>
    <row r="835" spans="1:5">
      <c r="A835" s="36">
        <v>834</v>
      </c>
      <c r="B835" s="36" t="s">
        <v>1039</v>
      </c>
      <c r="C835" s="36">
        <v>21</v>
      </c>
      <c r="D835" s="36">
        <v>2</v>
      </c>
      <c r="E835" s="36" t="s">
        <v>1416</v>
      </c>
    </row>
    <row r="836" spans="1:5">
      <c r="A836" s="36">
        <v>835</v>
      </c>
      <c r="B836" s="36" t="s">
        <v>1040</v>
      </c>
      <c r="C836" s="36">
        <v>21</v>
      </c>
      <c r="D836" s="36">
        <v>12</v>
      </c>
      <c r="E836" s="36" t="s">
        <v>1416</v>
      </c>
    </row>
    <row r="837" spans="1:5">
      <c r="A837" s="36">
        <v>836</v>
      </c>
      <c r="B837" s="36" t="s">
        <v>1041</v>
      </c>
      <c r="C837" s="36">
        <v>21</v>
      </c>
      <c r="D837" s="36">
        <v>1</v>
      </c>
      <c r="E837" s="36" t="s">
        <v>1416</v>
      </c>
    </row>
    <row r="838" spans="1:5">
      <c r="A838" s="36">
        <v>837</v>
      </c>
      <c r="B838" s="36" t="s">
        <v>1042</v>
      </c>
      <c r="C838" s="36">
        <v>21</v>
      </c>
      <c r="D838" s="36">
        <v>15</v>
      </c>
      <c r="E838" s="36" t="s">
        <v>1413</v>
      </c>
    </row>
    <row r="839" spans="1:5">
      <c r="A839" s="36">
        <v>838</v>
      </c>
      <c r="B839" s="36" t="s">
        <v>1043</v>
      </c>
      <c r="C839" s="36">
        <v>21</v>
      </c>
      <c r="D839" s="36">
        <v>9</v>
      </c>
      <c r="E839" s="36" t="s">
        <v>1413</v>
      </c>
    </row>
    <row r="840" spans="1:5">
      <c r="A840" s="36">
        <v>839</v>
      </c>
      <c r="B840" s="36" t="s">
        <v>1044</v>
      </c>
      <c r="C840" s="36">
        <v>21</v>
      </c>
      <c r="D840" s="36">
        <v>3</v>
      </c>
      <c r="E840" s="36" t="s">
        <v>1416</v>
      </c>
    </row>
    <row r="841" spans="1:5">
      <c r="A841" s="36">
        <v>840</v>
      </c>
      <c r="B841" s="36" t="s">
        <v>1045</v>
      </c>
      <c r="C841" s="36">
        <v>21</v>
      </c>
      <c r="D841" s="36">
        <v>2</v>
      </c>
      <c r="E841" s="36" t="s">
        <v>1419</v>
      </c>
    </row>
    <row r="842" spans="1:5">
      <c r="A842" s="36">
        <v>841</v>
      </c>
      <c r="B842" s="36" t="s">
        <v>1046</v>
      </c>
      <c r="C842" s="36">
        <v>21</v>
      </c>
      <c r="D842" s="36">
        <v>12</v>
      </c>
      <c r="E842" s="36" t="s">
        <v>1419</v>
      </c>
    </row>
    <row r="843" spans="1:5">
      <c r="A843" s="36">
        <v>842</v>
      </c>
      <c r="B843" s="36" t="s">
        <v>1047</v>
      </c>
      <c r="C843" s="36">
        <v>21</v>
      </c>
      <c r="D843" s="36">
        <v>13</v>
      </c>
      <c r="E843" s="36" t="s">
        <v>1416</v>
      </c>
    </row>
    <row r="844" spans="1:5">
      <c r="A844" s="36">
        <v>843</v>
      </c>
      <c r="B844" s="36" t="s">
        <v>1048</v>
      </c>
      <c r="C844" s="36">
        <v>21</v>
      </c>
      <c r="D844" s="36">
        <v>1</v>
      </c>
      <c r="E844" s="36" t="s">
        <v>1416</v>
      </c>
    </row>
    <row r="845" spans="1:5">
      <c r="A845" s="36">
        <v>844</v>
      </c>
      <c r="B845" s="36" t="s">
        <v>1049</v>
      </c>
      <c r="C845" s="36">
        <v>21</v>
      </c>
      <c r="D845" s="36">
        <v>9</v>
      </c>
      <c r="E845" s="36" t="s">
        <v>1413</v>
      </c>
    </row>
    <row r="846" spans="1:5">
      <c r="A846" s="36">
        <v>845</v>
      </c>
      <c r="B846" s="36" t="s">
        <v>1064</v>
      </c>
      <c r="C846" s="36">
        <v>21</v>
      </c>
      <c r="D846" s="36">
        <v>13</v>
      </c>
      <c r="E846" s="36" t="s">
        <v>1413</v>
      </c>
    </row>
    <row r="847" spans="1:5">
      <c r="A847" s="36">
        <v>846</v>
      </c>
      <c r="B847" s="36" t="s">
        <v>1050</v>
      </c>
      <c r="C847" s="36">
        <v>21</v>
      </c>
      <c r="D847" s="36">
        <v>1</v>
      </c>
      <c r="E847" s="36" t="s">
        <v>1416</v>
      </c>
    </row>
    <row r="848" spans="1:5">
      <c r="A848" s="36">
        <v>847</v>
      </c>
      <c r="B848" s="36" t="s">
        <v>1051</v>
      </c>
      <c r="C848" s="36">
        <v>21</v>
      </c>
      <c r="D848" s="36">
        <v>4</v>
      </c>
      <c r="E848" s="36" t="s">
        <v>1413</v>
      </c>
    </row>
    <row r="849" spans="1:5">
      <c r="A849" s="36">
        <v>848</v>
      </c>
      <c r="B849" s="36" t="s">
        <v>1052</v>
      </c>
      <c r="C849" s="36">
        <v>21</v>
      </c>
      <c r="D849" s="36">
        <v>12</v>
      </c>
      <c r="E849" s="36" t="s">
        <v>1416</v>
      </c>
    </row>
    <row r="850" spans="1:5">
      <c r="A850" s="36">
        <v>849</v>
      </c>
      <c r="B850" s="36" t="s">
        <v>1053</v>
      </c>
      <c r="C850" s="36">
        <v>21</v>
      </c>
      <c r="D850" s="36">
        <v>3</v>
      </c>
      <c r="E850" s="36" t="s">
        <v>1416</v>
      </c>
    </row>
    <row r="851" spans="1:5">
      <c r="A851" s="36">
        <v>850</v>
      </c>
      <c r="B851" s="36" t="s">
        <v>1054</v>
      </c>
      <c r="C851" s="36">
        <v>21</v>
      </c>
      <c r="D851" s="36">
        <v>12</v>
      </c>
      <c r="E851" s="36" t="s">
        <v>1413</v>
      </c>
    </row>
    <row r="852" spans="1:5">
      <c r="A852" s="36">
        <v>851</v>
      </c>
      <c r="B852" s="36" t="s">
        <v>1055</v>
      </c>
      <c r="C852" s="36">
        <v>21</v>
      </c>
      <c r="D852" s="36">
        <v>5</v>
      </c>
      <c r="E852" s="36" t="s">
        <v>1419</v>
      </c>
    </row>
    <row r="853" spans="1:5">
      <c r="A853" s="36">
        <v>852</v>
      </c>
      <c r="B853" s="36" t="s">
        <v>1056</v>
      </c>
      <c r="C853" s="36">
        <v>21</v>
      </c>
      <c r="D853" s="36">
        <v>10</v>
      </c>
      <c r="E853" s="36" t="s">
        <v>1416</v>
      </c>
    </row>
    <row r="854" spans="1:5">
      <c r="A854" s="36">
        <v>853</v>
      </c>
      <c r="B854" s="36" t="s">
        <v>1057</v>
      </c>
      <c r="C854" s="36">
        <v>21</v>
      </c>
      <c r="D854" s="36">
        <v>7</v>
      </c>
      <c r="E854" s="36" t="s">
        <v>1416</v>
      </c>
    </row>
    <row r="855" spans="1:5">
      <c r="A855" s="36">
        <v>854</v>
      </c>
      <c r="B855" s="36" t="s">
        <v>1058</v>
      </c>
      <c r="C855" s="36">
        <v>21</v>
      </c>
      <c r="D855" s="36">
        <v>1</v>
      </c>
      <c r="E855" s="36" t="s">
        <v>1416</v>
      </c>
    </row>
    <row r="856" spans="1:5">
      <c r="A856" s="36">
        <v>855</v>
      </c>
      <c r="B856" s="36" t="s">
        <v>1059</v>
      </c>
      <c r="C856" s="36">
        <v>21</v>
      </c>
      <c r="D856" s="36">
        <v>13</v>
      </c>
      <c r="E856" s="36" t="s">
        <v>1413</v>
      </c>
    </row>
    <row r="857" spans="1:5">
      <c r="A857" s="36">
        <v>856</v>
      </c>
      <c r="B857" s="36" t="s">
        <v>1060</v>
      </c>
      <c r="C857" s="36">
        <v>21</v>
      </c>
      <c r="D857" s="36">
        <v>10</v>
      </c>
      <c r="E857" s="36" t="s">
        <v>1416</v>
      </c>
    </row>
    <row r="858" spans="1:5">
      <c r="A858" s="36">
        <v>857</v>
      </c>
      <c r="B858" s="36" t="s">
        <v>1060</v>
      </c>
      <c r="C858" s="36">
        <v>21</v>
      </c>
      <c r="D858" s="36">
        <v>10</v>
      </c>
      <c r="E858" s="36" t="s">
        <v>1416</v>
      </c>
    </row>
    <row r="859" spans="1:5">
      <c r="A859" s="36">
        <v>858</v>
      </c>
      <c r="B859" s="36" t="s">
        <v>1074</v>
      </c>
      <c r="C859" s="36">
        <v>20</v>
      </c>
      <c r="D859" s="36">
        <v>5</v>
      </c>
      <c r="E859" s="36" t="s">
        <v>1416</v>
      </c>
    </row>
    <row r="860" spans="1:5">
      <c r="A860" s="36">
        <v>859</v>
      </c>
      <c r="B860" s="36" t="s">
        <v>1075</v>
      </c>
      <c r="C860" s="36">
        <v>20</v>
      </c>
      <c r="D860" s="36">
        <v>5</v>
      </c>
      <c r="E860" s="36" t="s">
        <v>1416</v>
      </c>
    </row>
    <row r="861" spans="1:5">
      <c r="A861" s="36">
        <v>860</v>
      </c>
      <c r="B861" s="36" t="s">
        <v>563</v>
      </c>
      <c r="C861" s="36">
        <v>0</v>
      </c>
      <c r="D861" s="36">
        <v>2</v>
      </c>
      <c r="E861" s="36" t="s">
        <v>1416</v>
      </c>
    </row>
    <row r="862" spans="1:5">
      <c r="A862" s="36">
        <v>861</v>
      </c>
      <c r="B862" s="36" t="s">
        <v>477</v>
      </c>
      <c r="C862" s="36">
        <v>0</v>
      </c>
      <c r="D862" s="36">
        <v>13</v>
      </c>
      <c r="E862" s="36" t="s">
        <v>1413</v>
      </c>
    </row>
    <row r="863" spans="1:5">
      <c r="A863" s="36">
        <v>862</v>
      </c>
      <c r="B863" s="36" t="s">
        <v>422</v>
      </c>
      <c r="C863" s="36">
        <v>0</v>
      </c>
      <c r="D863" s="36">
        <v>6</v>
      </c>
      <c r="E863" s="36" t="s">
        <v>1416</v>
      </c>
    </row>
    <row r="864" spans="1:5">
      <c r="A864" s="36">
        <v>863</v>
      </c>
      <c r="B864" s="36" t="s">
        <v>440</v>
      </c>
      <c r="C864" s="36">
        <v>0</v>
      </c>
      <c r="D864" s="36">
        <v>5</v>
      </c>
      <c r="E864" s="36" t="s">
        <v>1416</v>
      </c>
    </row>
    <row r="865" spans="1:5">
      <c r="A865" s="36">
        <v>864</v>
      </c>
      <c r="B865" s="36" t="s">
        <v>316</v>
      </c>
      <c r="C865" s="36">
        <v>0</v>
      </c>
      <c r="D865" s="36">
        <v>3</v>
      </c>
      <c r="E865" s="36" t="s">
        <v>1416</v>
      </c>
    </row>
    <row r="866" spans="1:5">
      <c r="A866" s="36">
        <v>865</v>
      </c>
      <c r="B866" s="36" t="s">
        <v>891</v>
      </c>
      <c r="C866" s="36">
        <v>0</v>
      </c>
      <c r="D866" s="36">
        <v>3</v>
      </c>
      <c r="E866" s="36" t="s">
        <v>1419</v>
      </c>
    </row>
    <row r="867" spans="1:5">
      <c r="A867" s="36">
        <v>866</v>
      </c>
      <c r="B867" s="36" t="s">
        <v>892</v>
      </c>
      <c r="C867" s="36">
        <v>0</v>
      </c>
      <c r="D867" s="36">
        <v>9</v>
      </c>
      <c r="E867" s="36" t="s">
        <v>1416</v>
      </c>
    </row>
    <row r="868" spans="1:5">
      <c r="A868" s="36">
        <v>867</v>
      </c>
      <c r="B868" s="36" t="s">
        <v>893</v>
      </c>
      <c r="C868" s="36">
        <v>0</v>
      </c>
      <c r="D868" s="36">
        <v>15</v>
      </c>
      <c r="E868" s="36" t="s">
        <v>1413</v>
      </c>
    </row>
    <row r="869" spans="1:5">
      <c r="A869" s="36">
        <v>868</v>
      </c>
      <c r="B869" s="36" t="s">
        <v>453</v>
      </c>
      <c r="C869" s="36">
        <v>0</v>
      </c>
      <c r="D869" s="36">
        <v>6</v>
      </c>
      <c r="E869" s="36" t="s">
        <v>1416</v>
      </c>
    </row>
    <row r="870" spans="1:5">
      <c r="A870" s="36">
        <v>869</v>
      </c>
      <c r="B870" s="36" t="s">
        <v>660</v>
      </c>
      <c r="C870" s="36">
        <v>0</v>
      </c>
      <c r="D870" s="36">
        <v>12</v>
      </c>
      <c r="E870" s="36" t="s">
        <v>1416</v>
      </c>
    </row>
    <row r="871" spans="1:5">
      <c r="A871" s="36">
        <v>870</v>
      </c>
      <c r="B871" s="36" t="s">
        <v>454</v>
      </c>
      <c r="C871" s="36">
        <v>0</v>
      </c>
      <c r="D871" s="36">
        <v>3</v>
      </c>
      <c r="E871" s="36" t="s">
        <v>1416</v>
      </c>
    </row>
    <row r="872" spans="1:5">
      <c r="A872" s="36">
        <v>871</v>
      </c>
      <c r="B872" s="36" t="s">
        <v>407</v>
      </c>
      <c r="C872" s="36">
        <v>0</v>
      </c>
      <c r="D872" s="36">
        <v>7</v>
      </c>
      <c r="E872" s="36" t="s">
        <v>1413</v>
      </c>
    </row>
    <row r="873" spans="1:5">
      <c r="A873" s="36">
        <v>872</v>
      </c>
      <c r="B873" s="36" t="s">
        <v>755</v>
      </c>
      <c r="C873" s="36">
        <v>0</v>
      </c>
      <c r="D873" s="36">
        <v>12</v>
      </c>
      <c r="E873" s="36" t="s">
        <v>1413</v>
      </c>
    </row>
    <row r="874" spans="1:5">
      <c r="A874" s="36">
        <v>873</v>
      </c>
      <c r="B874" s="36" t="s">
        <v>756</v>
      </c>
      <c r="C874" s="36">
        <v>0</v>
      </c>
      <c r="D874" s="36">
        <v>12</v>
      </c>
      <c r="E874" s="36" t="s">
        <v>1416</v>
      </c>
    </row>
    <row r="875" spans="1:5">
      <c r="A875" s="36">
        <v>874</v>
      </c>
      <c r="B875" s="36" t="s">
        <v>757</v>
      </c>
      <c r="C875" s="36">
        <v>0</v>
      </c>
      <c r="D875" s="36">
        <v>6</v>
      </c>
      <c r="E875" s="36" t="s">
        <v>1419</v>
      </c>
    </row>
    <row r="876" spans="1:5">
      <c r="A876" s="36">
        <v>875</v>
      </c>
      <c r="B876" s="36" t="s">
        <v>578</v>
      </c>
      <c r="C876" s="36">
        <v>0</v>
      </c>
      <c r="D876" s="36">
        <v>10</v>
      </c>
      <c r="E876" s="36" t="s">
        <v>1413</v>
      </c>
    </row>
    <row r="877" spans="1:5">
      <c r="A877" s="36">
        <v>876</v>
      </c>
      <c r="B877" s="36" t="s">
        <v>719</v>
      </c>
      <c r="C877" s="36">
        <v>0</v>
      </c>
      <c r="D877" s="36">
        <v>6</v>
      </c>
      <c r="E877" s="36" t="s">
        <v>1419</v>
      </c>
    </row>
    <row r="878" spans="1:5">
      <c r="A878" s="36">
        <v>877</v>
      </c>
      <c r="B878" s="36" t="s">
        <v>758</v>
      </c>
      <c r="C878" s="36">
        <v>0</v>
      </c>
      <c r="D878" s="36">
        <v>6</v>
      </c>
      <c r="E878" s="36" t="s">
        <v>1416</v>
      </c>
    </row>
    <row r="879" spans="1:5">
      <c r="A879" s="36">
        <v>878</v>
      </c>
      <c r="B879" s="36" t="s">
        <v>416</v>
      </c>
      <c r="C879" s="36">
        <v>0</v>
      </c>
      <c r="D879" s="36">
        <v>6</v>
      </c>
      <c r="E879" s="36" t="s">
        <v>1416</v>
      </c>
    </row>
    <row r="880" spans="1:5">
      <c r="A880" s="36">
        <v>879</v>
      </c>
      <c r="B880" s="36" t="s">
        <v>688</v>
      </c>
      <c r="C880" s="36">
        <v>0</v>
      </c>
      <c r="D880" s="36">
        <v>10</v>
      </c>
      <c r="E880" s="36" t="s">
        <v>1413</v>
      </c>
    </row>
    <row r="881" spans="1:5">
      <c r="A881" s="36">
        <v>880</v>
      </c>
      <c r="B881" s="36" t="s">
        <v>930</v>
      </c>
      <c r="C881" s="36">
        <v>0</v>
      </c>
      <c r="D881" s="36">
        <v>13</v>
      </c>
      <c r="E881" s="36" t="s">
        <v>1413</v>
      </c>
    </row>
    <row r="882" spans="1:5">
      <c r="A882" s="36">
        <v>881</v>
      </c>
      <c r="B882" s="36" t="s">
        <v>561</v>
      </c>
      <c r="C882" s="36">
        <v>0</v>
      </c>
      <c r="D882" s="36">
        <v>3</v>
      </c>
      <c r="E882" s="36" t="s">
        <v>1413</v>
      </c>
    </row>
    <row r="883" spans="1:5">
      <c r="A883" s="36">
        <v>882</v>
      </c>
      <c r="B883" s="36" t="s">
        <v>596</v>
      </c>
      <c r="C883" s="36">
        <v>0</v>
      </c>
      <c r="D883" s="36">
        <v>9</v>
      </c>
      <c r="E883" s="36" t="s">
        <v>1413</v>
      </c>
    </row>
    <row r="884" spans="1:5">
      <c r="A884" s="36">
        <v>883</v>
      </c>
      <c r="B884" s="36" t="s">
        <v>312</v>
      </c>
      <c r="C884" s="36">
        <v>0</v>
      </c>
      <c r="D884" s="36">
        <v>13</v>
      </c>
      <c r="E884" s="36" t="s">
        <v>1413</v>
      </c>
    </row>
    <row r="885" spans="1:5">
      <c r="A885" s="36">
        <v>884</v>
      </c>
      <c r="B885" s="36" t="s">
        <v>408</v>
      </c>
      <c r="C885" s="36">
        <v>0</v>
      </c>
      <c r="D885" s="36">
        <v>3</v>
      </c>
      <c r="E885" s="36" t="s">
        <v>1413</v>
      </c>
    </row>
    <row r="886" spans="1:5">
      <c r="A886" s="36">
        <v>885</v>
      </c>
      <c r="B886" s="36" t="s">
        <v>508</v>
      </c>
      <c r="C886" s="36">
        <v>0</v>
      </c>
      <c r="D886" s="36">
        <v>3</v>
      </c>
      <c r="E886" s="36" t="s">
        <v>1413</v>
      </c>
    </row>
    <row r="887" spans="1:5">
      <c r="A887" s="36">
        <v>886</v>
      </c>
      <c r="B887" s="36" t="s">
        <v>689</v>
      </c>
      <c r="C887" s="36">
        <v>0</v>
      </c>
      <c r="D887" s="36">
        <v>13</v>
      </c>
      <c r="E887" s="36" t="s">
        <v>1416</v>
      </c>
    </row>
    <row r="888" spans="1:5">
      <c r="A888" s="36">
        <v>887</v>
      </c>
      <c r="B888" s="36" t="s">
        <v>463</v>
      </c>
      <c r="C888" s="36">
        <v>0</v>
      </c>
      <c r="D888" s="36">
        <v>12</v>
      </c>
      <c r="E888" s="36" t="s">
        <v>1416</v>
      </c>
    </row>
    <row r="889" spans="1:5">
      <c r="A889" s="36">
        <v>888</v>
      </c>
      <c r="B889" s="36" t="s">
        <v>484</v>
      </c>
      <c r="C889" s="36">
        <v>0</v>
      </c>
      <c r="D889" s="36">
        <v>1</v>
      </c>
      <c r="E889" s="36" t="s">
        <v>1413</v>
      </c>
    </row>
    <row r="890" spans="1:5">
      <c r="A890" s="36">
        <v>889</v>
      </c>
      <c r="B890" s="36" t="s">
        <v>614</v>
      </c>
      <c r="C890" s="36">
        <v>0</v>
      </c>
      <c r="D890" s="36">
        <v>12</v>
      </c>
      <c r="E890" s="36" t="s">
        <v>1416</v>
      </c>
    </row>
    <row r="891" spans="1:5">
      <c r="A891" s="36">
        <v>890</v>
      </c>
      <c r="B891" s="36" t="s">
        <v>383</v>
      </c>
      <c r="C891" s="36">
        <v>0</v>
      </c>
      <c r="D891" s="36">
        <v>1</v>
      </c>
      <c r="E891" s="36" t="s">
        <v>1416</v>
      </c>
    </row>
    <row r="892" spans="1:5">
      <c r="A892" s="36">
        <v>891</v>
      </c>
      <c r="B892" s="36" t="s">
        <v>495</v>
      </c>
      <c r="C892" s="36">
        <v>0</v>
      </c>
      <c r="D892" s="36">
        <v>1</v>
      </c>
      <c r="E892" s="36" t="s">
        <v>1416</v>
      </c>
    </row>
    <row r="893" spans="1:5">
      <c r="A893" s="36">
        <v>892</v>
      </c>
      <c r="B893" s="36" t="s">
        <v>372</v>
      </c>
      <c r="C893" s="36">
        <v>0</v>
      </c>
      <c r="D893" s="36">
        <v>4</v>
      </c>
      <c r="E893" s="36" t="s">
        <v>1416</v>
      </c>
    </row>
    <row r="894" spans="1:5">
      <c r="A894" s="36">
        <v>893</v>
      </c>
      <c r="B894" s="36" t="s">
        <v>540</v>
      </c>
      <c r="C894" s="36">
        <v>0</v>
      </c>
      <c r="D894" s="36">
        <v>2</v>
      </c>
      <c r="E894" s="36" t="s">
        <v>1416</v>
      </c>
    </row>
    <row r="895" spans="1:5">
      <c r="A895" s="36">
        <v>894</v>
      </c>
      <c r="B895" s="36" t="s">
        <v>541</v>
      </c>
      <c r="C895" s="36">
        <v>0</v>
      </c>
      <c r="D895" s="36">
        <v>11</v>
      </c>
      <c r="E895" s="36" t="s">
        <v>1413</v>
      </c>
    </row>
    <row r="896" spans="1:5">
      <c r="A896" s="36">
        <v>895</v>
      </c>
      <c r="B896" s="36" t="s">
        <v>981</v>
      </c>
      <c r="C896" s="36">
        <v>0</v>
      </c>
      <c r="D896" s="36">
        <v>13</v>
      </c>
      <c r="E896" s="36" t="s">
        <v>1413</v>
      </c>
    </row>
    <row r="897" spans="1:5">
      <c r="A897" s="36">
        <v>896</v>
      </c>
      <c r="B897" s="36" t="s">
        <v>542</v>
      </c>
      <c r="C897" s="36">
        <v>0</v>
      </c>
      <c r="D897" s="36">
        <v>4</v>
      </c>
      <c r="E897" s="36" t="s">
        <v>1413</v>
      </c>
    </row>
    <row r="898" spans="1:5">
      <c r="A898" s="36">
        <v>897</v>
      </c>
      <c r="B898" s="36" t="s">
        <v>373</v>
      </c>
      <c r="C898" s="36">
        <v>0</v>
      </c>
      <c r="D898" s="36">
        <v>5</v>
      </c>
      <c r="E898" s="36" t="s">
        <v>1416</v>
      </c>
    </row>
    <row r="899" spans="1:5">
      <c r="A899" s="36">
        <v>898</v>
      </c>
      <c r="B899" s="36" t="s">
        <v>543</v>
      </c>
      <c r="C899" s="36">
        <v>0</v>
      </c>
      <c r="D899" s="36">
        <v>9</v>
      </c>
      <c r="E899" s="36" t="s">
        <v>1416</v>
      </c>
    </row>
    <row r="900" spans="1:5">
      <c r="A900" s="36">
        <v>899</v>
      </c>
      <c r="B900" s="36" t="s">
        <v>496</v>
      </c>
      <c r="C900" s="36">
        <v>0</v>
      </c>
      <c r="D900" s="36">
        <v>12</v>
      </c>
      <c r="E900" s="36" t="s">
        <v>1413</v>
      </c>
    </row>
    <row r="901" spans="1:5">
      <c r="A901" s="36">
        <v>900</v>
      </c>
      <c r="B901" s="36" t="s">
        <v>374</v>
      </c>
      <c r="C901" s="36">
        <v>0</v>
      </c>
      <c r="D901" s="36">
        <v>10</v>
      </c>
      <c r="E901" s="36" t="s">
        <v>1413</v>
      </c>
    </row>
    <row r="902" spans="1:5">
      <c r="A902" s="36">
        <v>901</v>
      </c>
      <c r="B902" s="36" t="s">
        <v>562</v>
      </c>
      <c r="C902" s="36">
        <v>0</v>
      </c>
      <c r="D902" s="36">
        <v>9</v>
      </c>
      <c r="E902" s="36" t="s">
        <v>1413</v>
      </c>
    </row>
    <row r="903" spans="1:5">
      <c r="A903" s="36">
        <v>902</v>
      </c>
      <c r="B903" s="36" t="s">
        <v>497</v>
      </c>
      <c r="C903" s="36">
        <v>0</v>
      </c>
      <c r="D903" s="36">
        <v>1</v>
      </c>
      <c r="E903" s="36" t="s">
        <v>1416</v>
      </c>
    </row>
    <row r="904" spans="1:5">
      <c r="A904" s="36">
        <v>903</v>
      </c>
      <c r="B904" s="36" t="s">
        <v>341</v>
      </c>
      <c r="C904" s="36">
        <v>0</v>
      </c>
      <c r="D904" s="36">
        <v>9</v>
      </c>
      <c r="E904" s="36" t="s">
        <v>1413</v>
      </c>
    </row>
    <row r="905" spans="1:5">
      <c r="A905" s="36">
        <v>904</v>
      </c>
      <c r="B905" s="36" t="s">
        <v>577</v>
      </c>
      <c r="C905" s="36">
        <v>0</v>
      </c>
      <c r="D905" s="36">
        <v>12</v>
      </c>
      <c r="E905" s="36" t="s">
        <v>1416</v>
      </c>
    </row>
    <row r="906" spans="1:5">
      <c r="A906" s="36">
        <v>905</v>
      </c>
      <c r="B906" s="36" t="s">
        <v>735</v>
      </c>
      <c r="C906" s="36">
        <v>0</v>
      </c>
      <c r="D906" s="36">
        <v>3</v>
      </c>
      <c r="E906" s="36" t="s">
        <v>1416</v>
      </c>
    </row>
    <row r="907" spans="1:5">
      <c r="A907" s="36">
        <v>906</v>
      </c>
      <c r="B907" s="36" t="s">
        <v>645</v>
      </c>
      <c r="C907" s="36">
        <v>0</v>
      </c>
      <c r="D907" s="36">
        <v>9</v>
      </c>
      <c r="E907" s="36" t="s">
        <v>1413</v>
      </c>
    </row>
    <row r="908" spans="1:5">
      <c r="A908" s="36">
        <v>907</v>
      </c>
      <c r="B908" s="36" t="s">
        <v>483</v>
      </c>
      <c r="C908" s="36">
        <v>0</v>
      </c>
      <c r="D908" s="36">
        <v>8</v>
      </c>
      <c r="E908" s="36" t="s">
        <v>1416</v>
      </c>
    </row>
    <row r="909" spans="1:5">
      <c r="A909" s="36">
        <v>908</v>
      </c>
      <c r="B909" s="36" t="s">
        <v>498</v>
      </c>
      <c r="C909" s="36">
        <v>0</v>
      </c>
      <c r="D909" s="36">
        <v>14</v>
      </c>
      <c r="E909" s="36" t="s">
        <v>1416</v>
      </c>
    </row>
    <row r="910" spans="1:5">
      <c r="A910" s="36">
        <v>909</v>
      </c>
      <c r="B910" s="36" t="s">
        <v>499</v>
      </c>
      <c r="C910" s="36">
        <v>0</v>
      </c>
      <c r="D910" s="36">
        <v>6</v>
      </c>
      <c r="E910" s="36" t="s">
        <v>1416</v>
      </c>
    </row>
    <row r="911" spans="1:5">
      <c r="A911" s="36">
        <v>910</v>
      </c>
      <c r="B911" s="36" t="s">
        <v>1028</v>
      </c>
      <c r="C911" s="36">
        <v>0</v>
      </c>
      <c r="D911" s="36">
        <v>1</v>
      </c>
      <c r="E911" s="36" t="s">
        <v>1416</v>
      </c>
    </row>
    <row r="912" spans="1:5">
      <c r="A912" s="36">
        <v>911</v>
      </c>
      <c r="B912" s="36" t="s">
        <v>595</v>
      </c>
      <c r="C912" s="36">
        <v>0</v>
      </c>
      <c r="D912" s="36">
        <v>9</v>
      </c>
      <c r="E912" s="36" t="s">
        <v>1416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Trujillo</dc:creator>
  <cp:keywords/>
  <dc:description/>
  <cp:lastModifiedBy/>
  <cp:revision/>
  <dcterms:created xsi:type="dcterms:W3CDTF">2026-02-05T21:57:34Z</dcterms:created>
  <dcterms:modified xsi:type="dcterms:W3CDTF">2026-02-13T18:48:43Z</dcterms:modified>
  <cp:category/>
  <cp:contentStatus/>
</cp:coreProperties>
</file>